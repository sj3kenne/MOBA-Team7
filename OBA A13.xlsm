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309" codeName="{51196F13-6AD0-C1B8-E2B4-A1F9AE17003E}"/>
  <workbookPr codeName="ThisWorkbook" autoCompressPictures="0"/>
  <mc:AlternateContent xmlns:mc="http://schemas.openxmlformats.org/markup-compatibility/2006">
    <mc:Choice Requires="x15">
      <x15ac:absPath xmlns:x15ac="http://schemas.microsoft.com/office/spreadsheetml/2010/11/ac" url="/Users/Juana/Desktop/"/>
    </mc:Choice>
  </mc:AlternateContent>
  <bookViews>
    <workbookView xWindow="0" yWindow="460" windowWidth="25600" windowHeight="14780" tabRatio="730" firstSheet="1" activeTab="20"/>
  </bookViews>
  <sheets>
    <sheet name="Data" sheetId="28" state="hidden" r:id="rId1"/>
    <sheet name="CourseInfo" sheetId="23" r:id="rId2"/>
    <sheet name="Assessment Documentation" sheetId="5" r:id="rId3"/>
    <sheet name="Master" sheetId="19" r:id="rId4"/>
    <sheet name="PLI" sheetId="27" r:id="rId5"/>
    <sheet name="Marks" sheetId="20" r:id="rId6"/>
    <sheet name="Mapping" sheetId="25" r:id="rId7"/>
    <sheet name="ProgInd" sheetId="26" r:id="rId8"/>
    <sheet name="A1" sheetId="6" state="hidden" r:id="rId9"/>
    <sheet name="A2" sheetId="7" state="hidden" r:id="rId10"/>
    <sheet name="A3" sheetId="8" state="hidden" r:id="rId11"/>
    <sheet name="A4" sheetId="1" state="hidden" r:id="rId12"/>
    <sheet name="A5" sheetId="9" state="hidden" r:id="rId13"/>
    <sheet name="A6" sheetId="16" state="hidden" r:id="rId14"/>
    <sheet name="A7" sheetId="10" state="hidden" r:id="rId15"/>
    <sheet name="A8" sheetId="11" state="hidden" r:id="rId16"/>
    <sheet name="A9" sheetId="12" state="hidden" r:id="rId17"/>
    <sheet name="A10" sheetId="13" state="hidden" r:id="rId18"/>
    <sheet name="A11" sheetId="14" state="hidden" r:id="rId19"/>
    <sheet name="A12" sheetId="15" state="hidden" r:id="rId20"/>
    <sheet name="A13" sheetId="22" r:id="rId21"/>
  </sheets>
  <definedNames>
    <definedName name="_xlnm._FilterDatabase" localSheetId="20" hidden="1">'A13'!$A$1:$C$61</definedName>
    <definedName name="_xlnm._FilterDatabase" localSheetId="7" hidden="1">ProgInd!$A$1:$J$457</definedName>
    <definedName name="_xlnm.Print_Area" localSheetId="0">Data!#REF!</definedName>
    <definedName name="_xlnm.Print_Area" localSheetId="6">Mapping!$A$1:$B$56</definedName>
    <definedName name="_xlnm.Print_Area" localSheetId="4">PLI!$A$1:$F$34</definedName>
    <definedName name="_xlnm.Print_Titles" localSheetId="0">Data!$1:$1</definedName>
    <definedName name="_xlnm.Print_Titles" localSheetId="4">PLI!$1:$1</definedName>
    <definedName name="Terms" localSheetId="1">CourseInfo!#REF!</definedName>
    <definedName name="Type" localSheetId="1">CourseInfo!#REF!</definedName>
    <definedName name="Type" localSheetId="0">CourseInfo!#REF!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18" i="28" l="1"/>
  <c r="M19" i="28"/>
  <c r="M20" i="28"/>
  <c r="M21" i="28"/>
  <c r="M22" i="28"/>
  <c r="M23" i="28"/>
  <c r="M24" i="28"/>
  <c r="M25" i="28"/>
  <c r="M26" i="28"/>
  <c r="M27" i="28"/>
  <c r="M28" i="28"/>
  <c r="M17" i="28"/>
  <c r="C2"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C6" i="25"/>
  <c r="C5" i="25"/>
  <c r="C4" i="25"/>
  <c r="C3" i="25"/>
  <c r="AR5" i="19"/>
  <c r="BD64" i="19"/>
  <c r="BC64" i="19"/>
  <c r="BB64" i="19"/>
  <c r="BA64" i="19"/>
  <c r="AZ64" i="19"/>
  <c r="AY64" i="19"/>
  <c r="AX64" i="19"/>
  <c r="BD63" i="19"/>
  <c r="BC63" i="19"/>
  <c r="BB63" i="19"/>
  <c r="BA63" i="19"/>
  <c r="AZ63" i="19"/>
  <c r="AY63" i="19"/>
  <c r="AX63" i="19"/>
  <c r="BD62" i="19"/>
  <c r="BC62" i="19"/>
  <c r="BB62" i="19"/>
  <c r="BA62" i="19"/>
  <c r="AZ62" i="19"/>
  <c r="AY62" i="19"/>
  <c r="AX62" i="19"/>
  <c r="BD61" i="19"/>
  <c r="BC61" i="19"/>
  <c r="BB61" i="19"/>
  <c r="BA61" i="19"/>
  <c r="AZ61" i="19"/>
  <c r="AY61" i="19"/>
  <c r="AX61" i="19"/>
  <c r="BD60" i="19"/>
  <c r="BC60" i="19"/>
  <c r="BB60" i="19"/>
  <c r="BA60" i="19"/>
  <c r="AZ60" i="19"/>
  <c r="AY60" i="19"/>
  <c r="AX60" i="19"/>
  <c r="BD59" i="19"/>
  <c r="BC59" i="19"/>
  <c r="BB59" i="19"/>
  <c r="BA59" i="19"/>
  <c r="AZ59" i="19"/>
  <c r="AY59" i="19"/>
  <c r="AX59" i="19"/>
  <c r="BD58" i="19"/>
  <c r="BC58" i="19"/>
  <c r="BB58" i="19"/>
  <c r="BA58" i="19"/>
  <c r="AZ58" i="19"/>
  <c r="AY58" i="19"/>
  <c r="AX58" i="19"/>
  <c r="BD57" i="19"/>
  <c r="BC57" i="19"/>
  <c r="BB57" i="19"/>
  <c r="BA57" i="19"/>
  <c r="AZ57" i="19"/>
  <c r="AY57" i="19"/>
  <c r="AX57" i="19"/>
  <c r="BD56" i="19"/>
  <c r="BC56" i="19"/>
  <c r="BB56" i="19"/>
  <c r="BA56" i="19"/>
  <c r="AZ56" i="19"/>
  <c r="AY56" i="19"/>
  <c r="AX56" i="19"/>
  <c r="BD55" i="19"/>
  <c r="BC55" i="19"/>
  <c r="BB55" i="19"/>
  <c r="BA55" i="19"/>
  <c r="AZ55" i="19"/>
  <c r="AY55" i="19"/>
  <c r="AX55" i="19"/>
  <c r="BD54" i="19"/>
  <c r="BC54" i="19"/>
  <c r="BB54" i="19"/>
  <c r="BA54" i="19"/>
  <c r="AZ54" i="19"/>
  <c r="AY54" i="19"/>
  <c r="AX54" i="19"/>
  <c r="BD53" i="19"/>
  <c r="BC53" i="19"/>
  <c r="BB53" i="19"/>
  <c r="BA53" i="19"/>
  <c r="AZ53" i="19"/>
  <c r="AY53" i="19"/>
  <c r="AX53" i="19"/>
  <c r="BD52" i="19"/>
  <c r="BC52" i="19"/>
  <c r="BB52" i="19"/>
  <c r="BA52" i="19"/>
  <c r="AZ52" i="19"/>
  <c r="AY52" i="19"/>
  <c r="AX52" i="19"/>
  <c r="BD51" i="19"/>
  <c r="BC51" i="19"/>
  <c r="BB51" i="19"/>
  <c r="BA51" i="19"/>
  <c r="AZ51" i="19"/>
  <c r="AY51" i="19"/>
  <c r="AX51" i="19"/>
  <c r="BD50" i="19"/>
  <c r="BC50" i="19"/>
  <c r="BB50" i="19"/>
  <c r="BA50" i="19"/>
  <c r="AZ50" i="19"/>
  <c r="AY50" i="19"/>
  <c r="AX50" i="19"/>
  <c r="BD49" i="19"/>
  <c r="BC49" i="19"/>
  <c r="BB49" i="19"/>
  <c r="BA49" i="19"/>
  <c r="AZ49" i="19"/>
  <c r="AY49" i="19"/>
  <c r="AX49" i="19"/>
  <c r="BD48" i="19"/>
  <c r="BC48" i="19"/>
  <c r="BB48" i="19"/>
  <c r="BA48" i="19"/>
  <c r="AZ48" i="19"/>
  <c r="AY48" i="19"/>
  <c r="AX48" i="19"/>
  <c r="BD47" i="19"/>
  <c r="BC47" i="19"/>
  <c r="BB47" i="19"/>
  <c r="BA47" i="19"/>
  <c r="AZ47" i="19"/>
  <c r="AY47" i="19"/>
  <c r="AX47" i="19"/>
  <c r="BD46" i="19"/>
  <c r="BC46" i="19"/>
  <c r="BB46" i="19"/>
  <c r="BA46" i="19"/>
  <c r="AZ46" i="19"/>
  <c r="AY46" i="19"/>
  <c r="AX46" i="19"/>
  <c r="BD45" i="19"/>
  <c r="BC45" i="19"/>
  <c r="BB45" i="19"/>
  <c r="BA45" i="19"/>
  <c r="AZ45" i="19"/>
  <c r="AY45" i="19"/>
  <c r="AX45" i="19"/>
  <c r="BD44" i="19"/>
  <c r="BC44" i="19"/>
  <c r="BB44" i="19"/>
  <c r="BA44" i="19"/>
  <c r="AZ44" i="19"/>
  <c r="AY44" i="19"/>
  <c r="AX44" i="19"/>
  <c r="BD43" i="19"/>
  <c r="BC43" i="19"/>
  <c r="BB43" i="19"/>
  <c r="BA43" i="19"/>
  <c r="AZ43" i="19"/>
  <c r="AY43" i="19"/>
  <c r="AX43" i="19"/>
  <c r="BD42" i="19"/>
  <c r="BC42" i="19"/>
  <c r="BB42" i="19"/>
  <c r="BA42" i="19"/>
  <c r="AZ42" i="19"/>
  <c r="AY42" i="19"/>
  <c r="AX42" i="19"/>
  <c r="BD41" i="19"/>
  <c r="BC41" i="19"/>
  <c r="BB41" i="19"/>
  <c r="BA41" i="19"/>
  <c r="AZ41" i="19"/>
  <c r="AY41" i="19"/>
  <c r="AX41" i="19"/>
  <c r="BD40" i="19"/>
  <c r="BC40" i="19"/>
  <c r="BB40" i="19"/>
  <c r="BA40" i="19"/>
  <c r="AZ40" i="19"/>
  <c r="AY40" i="19"/>
  <c r="AX40" i="19"/>
  <c r="BD39" i="19"/>
  <c r="BC39" i="19"/>
  <c r="BB39" i="19"/>
  <c r="BA39" i="19"/>
  <c r="AZ39" i="19"/>
  <c r="AY39" i="19"/>
  <c r="AX39" i="19"/>
  <c r="BD38" i="19"/>
  <c r="BC38" i="19"/>
  <c r="BB38" i="19"/>
  <c r="BA38" i="19"/>
  <c r="AZ38" i="19"/>
  <c r="AY38" i="19"/>
  <c r="AX38" i="19"/>
  <c r="BD37" i="19"/>
  <c r="BC37" i="19"/>
  <c r="BB37" i="19"/>
  <c r="BA37" i="19"/>
  <c r="AZ37" i="19"/>
  <c r="AY37" i="19"/>
  <c r="AX37" i="19"/>
  <c r="BD36" i="19"/>
  <c r="BC36" i="19"/>
  <c r="BB36" i="19"/>
  <c r="BA36" i="19"/>
  <c r="AZ36" i="19"/>
  <c r="AY36" i="19"/>
  <c r="AX36" i="19"/>
  <c r="BD35" i="19"/>
  <c r="BC35" i="19"/>
  <c r="BB35" i="19"/>
  <c r="BA35" i="19"/>
  <c r="AZ35" i="19"/>
  <c r="AY35" i="19"/>
  <c r="AX35" i="19"/>
  <c r="BD34" i="19"/>
  <c r="BC34" i="19"/>
  <c r="BB34" i="19"/>
  <c r="BA34" i="19"/>
  <c r="AZ34" i="19"/>
  <c r="AY34" i="19"/>
  <c r="AX34" i="19"/>
  <c r="BD33" i="19"/>
  <c r="BC33" i="19"/>
  <c r="BB33" i="19"/>
  <c r="BA33" i="19"/>
  <c r="AZ33" i="19"/>
  <c r="AY33" i="19"/>
  <c r="AX33" i="19"/>
  <c r="BD32" i="19"/>
  <c r="BC32" i="19"/>
  <c r="BB32" i="19"/>
  <c r="BA32" i="19"/>
  <c r="AZ32" i="19"/>
  <c r="AY32" i="19"/>
  <c r="AX32" i="19"/>
  <c r="BD31" i="19"/>
  <c r="BC31" i="19"/>
  <c r="BB31" i="19"/>
  <c r="BA31" i="19"/>
  <c r="AZ31" i="19"/>
  <c r="AY31" i="19"/>
  <c r="AX31" i="19"/>
  <c r="BD30" i="19"/>
  <c r="BC30" i="19"/>
  <c r="BB30" i="19"/>
  <c r="BA30" i="19"/>
  <c r="AZ30" i="19"/>
  <c r="AY30" i="19"/>
  <c r="AX30" i="19"/>
  <c r="BD29" i="19"/>
  <c r="BC29" i="19"/>
  <c r="BB29" i="19"/>
  <c r="BA29" i="19"/>
  <c r="AZ29" i="19"/>
  <c r="AY29" i="19"/>
  <c r="AX29" i="19"/>
  <c r="BD28" i="19"/>
  <c r="BC28" i="19"/>
  <c r="BB28" i="19"/>
  <c r="BA28" i="19"/>
  <c r="AZ28" i="19"/>
  <c r="AY28" i="19"/>
  <c r="AX28" i="19"/>
  <c r="BD27" i="19"/>
  <c r="BC27" i="19"/>
  <c r="BB27" i="19"/>
  <c r="BA27" i="19"/>
  <c r="AZ27" i="19"/>
  <c r="AY27" i="19"/>
  <c r="AX27" i="19"/>
  <c r="BD26" i="19"/>
  <c r="BC26" i="19"/>
  <c r="BB26" i="19"/>
  <c r="BA26" i="19"/>
  <c r="AZ26" i="19"/>
  <c r="AY26" i="19"/>
  <c r="AX26" i="19"/>
  <c r="BD25" i="19"/>
  <c r="BC25" i="19"/>
  <c r="BB25" i="19"/>
  <c r="BA25" i="19"/>
  <c r="AZ25" i="19"/>
  <c r="AY25" i="19"/>
  <c r="AX25" i="19"/>
  <c r="BD24" i="19"/>
  <c r="BC24" i="19"/>
  <c r="BB24" i="19"/>
  <c r="BA24" i="19"/>
  <c r="AZ24" i="19"/>
  <c r="AY24" i="19"/>
  <c r="AX24" i="19"/>
  <c r="BD23" i="19"/>
  <c r="BC23" i="19"/>
  <c r="BB23" i="19"/>
  <c r="BA23" i="19"/>
  <c r="AZ23" i="19"/>
  <c r="AY23" i="19"/>
  <c r="AX23" i="19"/>
  <c r="BD22" i="19"/>
  <c r="BC22" i="19"/>
  <c r="BB22" i="19"/>
  <c r="BA22" i="19"/>
  <c r="AZ22" i="19"/>
  <c r="AY22" i="19"/>
  <c r="AX22" i="19"/>
  <c r="BD21" i="19"/>
  <c r="BC21" i="19"/>
  <c r="BB21" i="19"/>
  <c r="BA21" i="19"/>
  <c r="AZ21" i="19"/>
  <c r="AY21" i="19"/>
  <c r="AX21" i="19"/>
  <c r="BD20" i="19"/>
  <c r="BC20" i="19"/>
  <c r="BB20" i="19"/>
  <c r="BA20" i="19"/>
  <c r="AZ20" i="19"/>
  <c r="AY20" i="19"/>
  <c r="AX20" i="19"/>
  <c r="BD19" i="19"/>
  <c r="BC19" i="19"/>
  <c r="BB19" i="19"/>
  <c r="BA19" i="19"/>
  <c r="AZ19" i="19"/>
  <c r="AY19" i="19"/>
  <c r="AX19" i="19"/>
  <c r="BD18" i="19"/>
  <c r="BC18" i="19"/>
  <c r="BB18" i="19"/>
  <c r="BA18" i="19"/>
  <c r="AZ18" i="19"/>
  <c r="AY18" i="19"/>
  <c r="AX18" i="19"/>
  <c r="BD17" i="19"/>
  <c r="BC17" i="19"/>
  <c r="BB17" i="19"/>
  <c r="BA17" i="19"/>
  <c r="AZ17" i="19"/>
  <c r="AY17" i="19"/>
  <c r="AX17" i="19"/>
  <c r="BD16" i="19"/>
  <c r="BC16" i="19"/>
  <c r="BB16" i="19"/>
  <c r="BA16" i="19"/>
  <c r="AZ16" i="19"/>
  <c r="AY16" i="19"/>
  <c r="AX16" i="19"/>
  <c r="BD15" i="19"/>
  <c r="L23" i="28"/>
  <c r="BC15" i="19"/>
  <c r="BB15" i="19"/>
  <c r="BA15" i="19"/>
  <c r="AZ15" i="19"/>
  <c r="H23" i="28"/>
  <c r="AY15" i="19"/>
  <c r="AX15" i="19"/>
  <c r="BD14" i="19"/>
  <c r="BC14" i="19"/>
  <c r="BB14" i="19"/>
  <c r="BA14" i="19"/>
  <c r="AZ14" i="19"/>
  <c r="AY14" i="19"/>
  <c r="AX14" i="19"/>
  <c r="BD13" i="19"/>
  <c r="BC13" i="19"/>
  <c r="BB13" i="19"/>
  <c r="J23" i="28"/>
  <c r="BA13" i="19"/>
  <c r="AZ13" i="19"/>
  <c r="AY13" i="19"/>
  <c r="AX13" i="19"/>
  <c r="F23" i="28"/>
  <c r="BD12" i="19"/>
  <c r="BC12" i="19"/>
  <c r="BB12" i="19"/>
  <c r="BA12" i="19"/>
  <c r="AZ12" i="19"/>
  <c r="AY12" i="19"/>
  <c r="AX12" i="19"/>
  <c r="BD11" i="19"/>
  <c r="BC11" i="19"/>
  <c r="BB11" i="19"/>
  <c r="BA11" i="19"/>
  <c r="AZ11" i="19"/>
  <c r="AY11" i="19"/>
  <c r="AX11" i="19"/>
  <c r="BD10" i="19"/>
  <c r="BC10" i="19"/>
  <c r="BB10" i="19"/>
  <c r="BA10" i="19"/>
  <c r="AZ10" i="19"/>
  <c r="AY10" i="19"/>
  <c r="AX10" i="19"/>
  <c r="BD9" i="19"/>
  <c r="BC9" i="19"/>
  <c r="BB9" i="19"/>
  <c r="BA9" i="19"/>
  <c r="AZ9" i="19"/>
  <c r="AY9" i="19"/>
  <c r="G18" i="28"/>
  <c r="AX9" i="19"/>
  <c r="BD8" i="19"/>
  <c r="BC8" i="19"/>
  <c r="BB8" i="19"/>
  <c r="J18" i="28"/>
  <c r="BA8" i="19"/>
  <c r="I18" i="28"/>
  <c r="AZ8" i="19"/>
  <c r="AY8" i="19"/>
  <c r="AX8" i="19"/>
  <c r="BD7" i="19"/>
  <c r="BC7" i="19"/>
  <c r="BB7" i="19"/>
  <c r="BA7" i="19"/>
  <c r="AZ7" i="19"/>
  <c r="AY7" i="19"/>
  <c r="AX7" i="19"/>
  <c r="BD6" i="19"/>
  <c r="BC6" i="19"/>
  <c r="BB6" i="19"/>
  <c r="BA6" i="19"/>
  <c r="AZ6" i="19"/>
  <c r="AY6" i="19"/>
  <c r="AX6" i="19"/>
  <c r="BD5" i="19"/>
  <c r="BC5" i="19"/>
  <c r="BB5" i="19"/>
  <c r="J17" i="28"/>
  <c r="BA5" i="19"/>
  <c r="AZ5" i="19"/>
  <c r="AY5" i="19"/>
  <c r="AX5" i="19"/>
  <c r="F17" i="28"/>
  <c r="BD4" i="19"/>
  <c r="BC4" i="19"/>
  <c r="BB4" i="19"/>
  <c r="BA4" i="19"/>
  <c r="AZ4" i="19"/>
  <c r="AY4" i="19"/>
  <c r="AX4" i="19"/>
  <c r="L28" i="28"/>
  <c r="K28" i="28"/>
  <c r="J28" i="28"/>
  <c r="I28" i="28"/>
  <c r="H28" i="28"/>
  <c r="G28" i="28"/>
  <c r="F28" i="28"/>
  <c r="L27" i="28"/>
  <c r="K27" i="28"/>
  <c r="J27" i="28"/>
  <c r="I27" i="28"/>
  <c r="H27" i="28"/>
  <c r="G27" i="28"/>
  <c r="F27" i="28"/>
  <c r="L26" i="28"/>
  <c r="K26" i="28"/>
  <c r="J26" i="28"/>
  <c r="I26" i="28"/>
  <c r="H26" i="28"/>
  <c r="G26" i="28"/>
  <c r="F26" i="28"/>
  <c r="L25" i="28"/>
  <c r="K25" i="28"/>
  <c r="J25" i="28"/>
  <c r="I25" i="28"/>
  <c r="H25" i="28"/>
  <c r="G25" i="28"/>
  <c r="F25" i="28"/>
  <c r="L24" i="28"/>
  <c r="K24" i="28"/>
  <c r="J24" i="28"/>
  <c r="I24" i="28"/>
  <c r="H24" i="28"/>
  <c r="G24" i="28"/>
  <c r="F24" i="28"/>
  <c r="K23" i="28"/>
  <c r="G23" i="28"/>
  <c r="L22" i="28"/>
  <c r="K22" i="28"/>
  <c r="J22" i="28"/>
  <c r="I22" i="28"/>
  <c r="H22" i="28"/>
  <c r="G22" i="28"/>
  <c r="F22" i="28"/>
  <c r="L21" i="28"/>
  <c r="K21" i="28"/>
  <c r="J21" i="28"/>
  <c r="I21" i="28"/>
  <c r="H21" i="28"/>
  <c r="G21" i="28"/>
  <c r="F21" i="28"/>
  <c r="L20" i="28"/>
  <c r="K20" i="28"/>
  <c r="J20" i="28"/>
  <c r="I20" i="28"/>
  <c r="H20" i="28"/>
  <c r="G20" i="28"/>
  <c r="F20" i="28"/>
  <c r="L19" i="28"/>
  <c r="K19" i="28"/>
  <c r="J19" i="28"/>
  <c r="I19" i="28"/>
  <c r="H19" i="28"/>
  <c r="G19" i="28"/>
  <c r="F19" i="28"/>
  <c r="L17" i="28"/>
  <c r="K17" i="28"/>
  <c r="I17" i="28"/>
  <c r="H17" i="28"/>
  <c r="G17" i="28"/>
  <c r="AS8" i="19"/>
  <c r="L18" i="28"/>
  <c r="K18" i="28"/>
  <c r="H18" i="28"/>
  <c r="F18" i="28"/>
  <c r="F2" i="28"/>
  <c r="O2" i="28"/>
  <c r="P2" i="28"/>
  <c r="Q2" i="28"/>
  <c r="R2" i="28"/>
  <c r="S2" i="28"/>
  <c r="T2" i="28"/>
  <c r="U2" i="28"/>
  <c r="V2" i="28"/>
  <c r="W2" i="28"/>
  <c r="X2" i="28"/>
  <c r="Y2" i="28"/>
  <c r="Z2" i="28"/>
  <c r="AA2" i="28"/>
  <c r="AB2" i="28"/>
  <c r="AC2" i="28"/>
  <c r="AD2" i="28"/>
  <c r="AE2" i="28"/>
  <c r="AF2" i="28"/>
  <c r="AG2" i="28"/>
  <c r="AH2" i="28"/>
  <c r="AI2" i="28"/>
  <c r="AJ2" i="28"/>
  <c r="AK2" i="28"/>
  <c r="O3" i="28"/>
  <c r="P3" i="28"/>
  <c r="Q3" i="28"/>
  <c r="R3" i="28"/>
  <c r="S3" i="28"/>
  <c r="T3" i="28"/>
  <c r="U3" i="28"/>
  <c r="V3" i="28"/>
  <c r="W3" i="28"/>
  <c r="X3" i="28"/>
  <c r="Y3" i="28"/>
  <c r="Z3" i="28"/>
  <c r="AA3" i="28"/>
  <c r="AB3" i="28"/>
  <c r="AC3" i="28"/>
  <c r="AD3" i="28"/>
  <c r="AE3" i="28"/>
  <c r="AF3" i="28"/>
  <c r="AG3" i="28"/>
  <c r="AH3" i="28"/>
  <c r="AI3" i="28"/>
  <c r="AJ3" i="28"/>
  <c r="AK3" i="28"/>
  <c r="O4" i="28"/>
  <c r="P4" i="28"/>
  <c r="Q4" i="28"/>
  <c r="R4" i="28"/>
  <c r="S4" i="28"/>
  <c r="T4" i="28"/>
  <c r="U4" i="28"/>
  <c r="V4" i="28"/>
  <c r="W4" i="28"/>
  <c r="X4" i="28"/>
  <c r="Y4" i="28"/>
  <c r="Z4" i="28"/>
  <c r="AA4" i="28"/>
  <c r="AB4" i="28"/>
  <c r="AC4" i="28"/>
  <c r="AD4" i="28"/>
  <c r="AE4" i="28"/>
  <c r="AF4" i="28"/>
  <c r="AG4" i="28"/>
  <c r="AH4" i="28"/>
  <c r="AI4" i="28"/>
  <c r="AJ4" i="28"/>
  <c r="AK4" i="28"/>
  <c r="O5" i="28"/>
  <c r="P5" i="28"/>
  <c r="Q5" i="28"/>
  <c r="R5" i="28"/>
  <c r="S5" i="28"/>
  <c r="T5" i="28"/>
  <c r="U5" i="28"/>
  <c r="V5" i="28"/>
  <c r="W5" i="28"/>
  <c r="X5" i="28"/>
  <c r="Y5" i="28"/>
  <c r="Z5" i="28"/>
  <c r="AA5" i="28"/>
  <c r="AB5" i="28"/>
  <c r="AC5" i="28"/>
  <c r="AD5" i="28"/>
  <c r="AE5" i="28"/>
  <c r="AF5" i="28"/>
  <c r="AG5" i="28"/>
  <c r="AH5" i="28"/>
  <c r="AI5" i="28"/>
  <c r="AJ5" i="28"/>
  <c r="AK5" i="28"/>
  <c r="O6" i="28"/>
  <c r="P6" i="28"/>
  <c r="Q6" i="28"/>
  <c r="R6" i="28"/>
  <c r="S6" i="28"/>
  <c r="T6" i="28"/>
  <c r="U6" i="28"/>
  <c r="V6" i="28"/>
  <c r="W6" i="28"/>
  <c r="X6" i="28"/>
  <c r="Y6" i="28"/>
  <c r="Z6" i="28"/>
  <c r="AA6" i="28"/>
  <c r="AB6" i="28"/>
  <c r="AC6" i="28"/>
  <c r="AD6" i="28"/>
  <c r="AE6" i="28"/>
  <c r="AF6" i="28"/>
  <c r="AG6" i="28"/>
  <c r="AH6" i="28"/>
  <c r="AI6" i="28"/>
  <c r="AJ6" i="28"/>
  <c r="AK6" i="28"/>
  <c r="O7" i="28"/>
  <c r="P7" i="28"/>
  <c r="Q7" i="28"/>
  <c r="R7" i="28"/>
  <c r="S7" i="28"/>
  <c r="T7" i="28"/>
  <c r="U7" i="28"/>
  <c r="V7" i="28"/>
  <c r="W7" i="28"/>
  <c r="X7" i="28"/>
  <c r="Y7" i="28"/>
  <c r="Z7" i="28"/>
  <c r="AA7" i="28"/>
  <c r="AB7" i="28"/>
  <c r="AC7" i="28"/>
  <c r="AD7" i="28"/>
  <c r="AE7" i="28"/>
  <c r="AF7" i="28"/>
  <c r="AG7" i="28"/>
  <c r="AH7" i="28"/>
  <c r="AI7" i="28"/>
  <c r="AJ7" i="28"/>
  <c r="AK7" i="28"/>
  <c r="O8" i="28"/>
  <c r="P8" i="28"/>
  <c r="Q8" i="28"/>
  <c r="R8" i="28"/>
  <c r="S8" i="28"/>
  <c r="T8" i="28"/>
  <c r="U8" i="28"/>
  <c r="V8" i="28"/>
  <c r="W8" i="28"/>
  <c r="X8" i="28"/>
  <c r="Y8" i="28"/>
  <c r="Z8" i="28"/>
  <c r="AA8" i="28"/>
  <c r="AB8" i="28"/>
  <c r="AC8" i="28"/>
  <c r="AD8" i="28"/>
  <c r="AE8" i="28"/>
  <c r="AF8" i="28"/>
  <c r="AG8" i="28"/>
  <c r="AH8" i="28"/>
  <c r="AI8" i="28"/>
  <c r="AJ8" i="28"/>
  <c r="AK8" i="28"/>
  <c r="O9" i="28"/>
  <c r="P9" i="28"/>
  <c r="Q9" i="28"/>
  <c r="R9" i="28"/>
  <c r="S9" i="28"/>
  <c r="T9" i="28"/>
  <c r="U9" i="28"/>
  <c r="V9" i="28"/>
  <c r="W9" i="28"/>
  <c r="X9" i="28"/>
  <c r="Y9" i="28"/>
  <c r="Z9" i="28"/>
  <c r="AA9" i="28"/>
  <c r="AB9" i="28"/>
  <c r="AC9" i="28"/>
  <c r="AD9" i="28"/>
  <c r="AE9" i="28"/>
  <c r="AF9" i="28"/>
  <c r="AG9" i="28"/>
  <c r="AH9" i="28"/>
  <c r="AI9" i="28"/>
  <c r="AJ9" i="28"/>
  <c r="AK9" i="28"/>
  <c r="O10" i="28"/>
  <c r="P10" i="28"/>
  <c r="Q10" i="28"/>
  <c r="R10" i="28"/>
  <c r="S10" i="28"/>
  <c r="T10" i="28"/>
  <c r="U10" i="28"/>
  <c r="V10" i="28"/>
  <c r="W10" i="28"/>
  <c r="X10" i="28"/>
  <c r="Y10" i="28"/>
  <c r="Z10" i="28"/>
  <c r="AA10" i="28"/>
  <c r="AB10" i="28"/>
  <c r="AC10" i="28"/>
  <c r="AD10" i="28"/>
  <c r="AE10" i="28"/>
  <c r="AF10" i="28"/>
  <c r="AG10" i="28"/>
  <c r="AH10" i="28"/>
  <c r="AI10" i="28"/>
  <c r="AJ10" i="28"/>
  <c r="AK10" i="28"/>
  <c r="O11" i="28"/>
  <c r="P11" i="28"/>
  <c r="Q11" i="28"/>
  <c r="R11" i="28"/>
  <c r="S11" i="28"/>
  <c r="T11" i="28"/>
  <c r="U11" i="28"/>
  <c r="V11" i="28"/>
  <c r="W11" i="28"/>
  <c r="X11" i="28"/>
  <c r="Y11" i="28"/>
  <c r="Z11" i="28"/>
  <c r="AA11" i="28"/>
  <c r="AB11" i="28"/>
  <c r="AC11" i="28"/>
  <c r="AD11" i="28"/>
  <c r="AE11" i="28"/>
  <c r="AF11" i="28"/>
  <c r="AG11" i="28"/>
  <c r="AH11" i="28"/>
  <c r="AI11" i="28"/>
  <c r="AJ11" i="28"/>
  <c r="AK11" i="28"/>
  <c r="O12" i="28"/>
  <c r="P12" i="28"/>
  <c r="Q12" i="28"/>
  <c r="R12" i="28"/>
  <c r="S12" i="28"/>
  <c r="T12" i="28"/>
  <c r="U12" i="28"/>
  <c r="V12" i="28"/>
  <c r="W12" i="28"/>
  <c r="X12" i="28"/>
  <c r="Y12" i="28"/>
  <c r="Z12" i="28"/>
  <c r="AA12" i="28"/>
  <c r="AB12" i="28"/>
  <c r="AC12" i="28"/>
  <c r="AD12" i="28"/>
  <c r="AE12" i="28"/>
  <c r="AF12" i="28"/>
  <c r="AG12" i="28"/>
  <c r="AH12" i="28"/>
  <c r="AI12" i="28"/>
  <c r="AJ12" i="28"/>
  <c r="AK12" i="28"/>
  <c r="O13" i="28"/>
  <c r="P13" i="28"/>
  <c r="Q13" i="28"/>
  <c r="R13" i="28"/>
  <c r="S13" i="28"/>
  <c r="T13" i="28"/>
  <c r="U13" i="28"/>
  <c r="V13" i="28"/>
  <c r="W13" i="28"/>
  <c r="X13" i="28"/>
  <c r="Y13" i="28"/>
  <c r="Z13" i="28"/>
  <c r="AA13" i="28"/>
  <c r="AB13" i="28"/>
  <c r="AC13" i="28"/>
  <c r="AD13" i="28"/>
  <c r="AE13" i="28"/>
  <c r="AF13" i="28"/>
  <c r="AG13" i="28"/>
  <c r="AH13" i="28"/>
  <c r="AI13" i="28"/>
  <c r="AJ13" i="28"/>
  <c r="AK13" i="28"/>
  <c r="G2" i="28"/>
  <c r="H2" i="28"/>
  <c r="I2" i="28"/>
  <c r="J2" i="28"/>
  <c r="K2" i="28"/>
  <c r="L2" i="28"/>
  <c r="M2" i="28"/>
  <c r="N2" i="28"/>
  <c r="G3" i="28"/>
  <c r="H3" i="28"/>
  <c r="I3" i="28"/>
  <c r="J3" i="28"/>
  <c r="K3" i="28"/>
  <c r="L3" i="28"/>
  <c r="M3" i="28"/>
  <c r="N3" i="28"/>
  <c r="G4" i="28"/>
  <c r="H4" i="28"/>
  <c r="I4" i="28"/>
  <c r="J4" i="28"/>
  <c r="K4" i="28"/>
  <c r="L4" i="28"/>
  <c r="M4" i="28"/>
  <c r="N4" i="28"/>
  <c r="G5" i="28"/>
  <c r="H5" i="28"/>
  <c r="I5" i="28"/>
  <c r="J5" i="28"/>
  <c r="K5" i="28"/>
  <c r="L5" i="28"/>
  <c r="M5" i="28"/>
  <c r="N5" i="28"/>
  <c r="G6" i="28"/>
  <c r="H6" i="28"/>
  <c r="I6" i="28"/>
  <c r="J6" i="28"/>
  <c r="K6" i="28"/>
  <c r="L6" i="28"/>
  <c r="M6" i="28"/>
  <c r="N6" i="28"/>
  <c r="G7" i="28"/>
  <c r="H7" i="28"/>
  <c r="I7" i="28"/>
  <c r="J7" i="28"/>
  <c r="K7" i="28"/>
  <c r="L7" i="28"/>
  <c r="M7" i="28"/>
  <c r="N7" i="28"/>
  <c r="G8" i="28"/>
  <c r="H8" i="28"/>
  <c r="I8" i="28"/>
  <c r="J8" i="28"/>
  <c r="K8" i="28"/>
  <c r="L8" i="28"/>
  <c r="M8" i="28"/>
  <c r="N8" i="28"/>
  <c r="G9" i="28"/>
  <c r="H9" i="28"/>
  <c r="I9" i="28"/>
  <c r="J9" i="28"/>
  <c r="K9" i="28"/>
  <c r="L9" i="28"/>
  <c r="M9" i="28"/>
  <c r="N9" i="28"/>
  <c r="G10" i="28"/>
  <c r="H10" i="28"/>
  <c r="I10" i="28"/>
  <c r="J10" i="28"/>
  <c r="K10" i="28"/>
  <c r="L10" i="28"/>
  <c r="M10" i="28"/>
  <c r="N10" i="28"/>
  <c r="G11" i="28"/>
  <c r="H11" i="28"/>
  <c r="I11" i="28"/>
  <c r="J11" i="28"/>
  <c r="K11" i="28"/>
  <c r="L11" i="28"/>
  <c r="M11" i="28"/>
  <c r="N11" i="28"/>
  <c r="G12" i="28"/>
  <c r="H12" i="28"/>
  <c r="I12" i="28"/>
  <c r="J12" i="28"/>
  <c r="K12" i="28"/>
  <c r="L12" i="28"/>
  <c r="M12" i="28"/>
  <c r="N12" i="28"/>
  <c r="G13" i="28"/>
  <c r="H13" i="28"/>
  <c r="I13" i="28"/>
  <c r="J13" i="28"/>
  <c r="K13" i="28"/>
  <c r="L13" i="28"/>
  <c r="M13" i="28"/>
  <c r="N13" i="28"/>
  <c r="F3" i="28"/>
  <c r="F4" i="28"/>
  <c r="F5" i="28"/>
  <c r="F6" i="28"/>
  <c r="F7" i="28"/>
  <c r="F8" i="28"/>
  <c r="F9" i="28"/>
  <c r="F10" i="28"/>
  <c r="F11" i="28"/>
  <c r="F12" i="28"/>
  <c r="F13" i="28"/>
  <c r="AQ64" i="19"/>
  <c r="AQ63" i="19"/>
  <c r="AQ62" i="19"/>
  <c r="AQ61" i="19"/>
  <c r="AQ60" i="19"/>
  <c r="AQ59" i="19"/>
  <c r="AQ58" i="19"/>
  <c r="AQ57" i="19"/>
  <c r="AQ56" i="19"/>
  <c r="AQ55" i="19"/>
  <c r="AQ54" i="19"/>
  <c r="AQ53" i="19"/>
  <c r="AQ52" i="19"/>
  <c r="AQ51" i="19"/>
  <c r="AQ50" i="19"/>
  <c r="AQ49" i="19"/>
  <c r="AQ48" i="19"/>
  <c r="AQ47" i="19"/>
  <c r="AQ46" i="19"/>
  <c r="AQ45" i="19"/>
  <c r="AQ44" i="19"/>
  <c r="AQ43" i="19"/>
  <c r="AQ42" i="19"/>
  <c r="AQ41" i="19"/>
  <c r="AQ40" i="19"/>
  <c r="AQ39" i="19"/>
  <c r="AQ38" i="19"/>
  <c r="AQ37" i="19"/>
  <c r="AQ36" i="19"/>
  <c r="AQ35" i="19"/>
  <c r="AQ34" i="19"/>
  <c r="AQ33" i="19"/>
  <c r="AQ32" i="19"/>
  <c r="AQ31" i="19"/>
  <c r="AQ30" i="19"/>
  <c r="AQ29" i="19"/>
  <c r="AQ28" i="19"/>
  <c r="AQ27" i="19"/>
  <c r="AQ26" i="19"/>
  <c r="AQ25" i="19"/>
  <c r="AQ24" i="19"/>
  <c r="AQ23" i="19"/>
  <c r="AQ22" i="19"/>
  <c r="AQ21" i="19"/>
  <c r="AQ20" i="19"/>
  <c r="AQ19" i="19"/>
  <c r="AQ18" i="19"/>
  <c r="AQ17" i="19"/>
  <c r="AQ13" i="19"/>
  <c r="AQ14" i="19"/>
  <c r="AQ15" i="19"/>
  <c r="AQ16" i="19"/>
  <c r="AQ12" i="19"/>
  <c r="AQ11" i="19"/>
  <c r="AQ10" i="19"/>
  <c r="AQ8" i="19"/>
  <c r="AQ9" i="19"/>
  <c r="AQ5" i="19"/>
  <c r="AQ6" i="19"/>
  <c r="AQ4" i="19"/>
  <c r="AQ3" i="19"/>
  <c r="AQ7" i="19"/>
  <c r="F1" i="28"/>
  <c r="G1" i="28"/>
  <c r="H1" i="28"/>
  <c r="I1" i="28"/>
  <c r="J1" i="28"/>
  <c r="K1" i="28"/>
  <c r="L1" i="28"/>
  <c r="M1" i="28"/>
  <c r="N1" i="28"/>
  <c r="O1" i="28"/>
  <c r="P1" i="28"/>
  <c r="Q1" i="28"/>
  <c r="R1" i="28"/>
  <c r="S1" i="28"/>
  <c r="T1" i="28"/>
  <c r="U1" i="28"/>
  <c r="V1" i="28"/>
  <c r="W1" i="28"/>
  <c r="X1" i="28"/>
  <c r="Y1" i="28"/>
  <c r="Z1" i="28"/>
  <c r="AA1" i="28"/>
  <c r="AB1" i="28"/>
  <c r="AC1" i="28"/>
  <c r="AD1" i="28"/>
  <c r="AE1" i="28"/>
  <c r="AF1" i="28"/>
  <c r="AG1" i="28"/>
  <c r="AH1" i="28"/>
  <c r="AI1" i="28"/>
  <c r="AJ1" i="28"/>
  <c r="AK1" i="28"/>
  <c r="I23" i="28"/>
  <c r="AP5" i="19"/>
  <c r="J2" i="19"/>
  <c r="K2" i="19"/>
  <c r="B10" i="23"/>
  <c r="B9" i="23"/>
  <c r="B7" i="23"/>
  <c r="B4" i="23"/>
  <c r="B6" i="23"/>
  <c r="AV64" i="19"/>
  <c r="AV63" i="19"/>
  <c r="AV62" i="19"/>
  <c r="AV61" i="19"/>
  <c r="AV60" i="19"/>
  <c r="AV59" i="19"/>
  <c r="AV58" i="19"/>
  <c r="AV57" i="19"/>
  <c r="AV56" i="19"/>
  <c r="AV55" i="19"/>
  <c r="AV54" i="19"/>
  <c r="AV53" i="19"/>
  <c r="AV52" i="19"/>
  <c r="AV51" i="19"/>
  <c r="AV50" i="19"/>
  <c r="AV49" i="19"/>
  <c r="AV48" i="19"/>
  <c r="AV47" i="19"/>
  <c r="AV46" i="19"/>
  <c r="AV45" i="19"/>
  <c r="AV44" i="19"/>
  <c r="AV43" i="19"/>
  <c r="AV42" i="19"/>
  <c r="AV41" i="19"/>
  <c r="AV40" i="19"/>
  <c r="AV39" i="19"/>
  <c r="AV38" i="19"/>
  <c r="AV37" i="19"/>
  <c r="AV36" i="19"/>
  <c r="AV35" i="19"/>
  <c r="AV34" i="19"/>
  <c r="AV33" i="19"/>
  <c r="AV32" i="19"/>
  <c r="AV31" i="19"/>
  <c r="AV30" i="19"/>
  <c r="AV29" i="19"/>
  <c r="AV28" i="19"/>
  <c r="AV27" i="19"/>
  <c r="AV26" i="19"/>
  <c r="AV25" i="19"/>
  <c r="AV24" i="19"/>
  <c r="AV23" i="19"/>
  <c r="AV22" i="19"/>
  <c r="AV21" i="19"/>
  <c r="AV20" i="19"/>
  <c r="AV19" i="19"/>
  <c r="AV18" i="19"/>
  <c r="AV17" i="19"/>
  <c r="AV16" i="19"/>
  <c r="AV15" i="19"/>
  <c r="AV10" i="19"/>
  <c r="AV4" i="19"/>
  <c r="AT64" i="19"/>
  <c r="AT63" i="19"/>
  <c r="AT62" i="19"/>
  <c r="AT61" i="19"/>
  <c r="AT60" i="19"/>
  <c r="AT59" i="19"/>
  <c r="AT58" i="19"/>
  <c r="AT57" i="19"/>
  <c r="AT56" i="19"/>
  <c r="AT55" i="19"/>
  <c r="AT54" i="19"/>
  <c r="AT53" i="19"/>
  <c r="AT52" i="19"/>
  <c r="AT51" i="19"/>
  <c r="AT50" i="19"/>
  <c r="AT49" i="19"/>
  <c r="AT48" i="19"/>
  <c r="AT47" i="19"/>
  <c r="AT46" i="19"/>
  <c r="AT45" i="19"/>
  <c r="AT44" i="19"/>
  <c r="AT43" i="19"/>
  <c r="AT42" i="19"/>
  <c r="AT41" i="19"/>
  <c r="AT40" i="19"/>
  <c r="AT39" i="19"/>
  <c r="AT38" i="19"/>
  <c r="AT37" i="19"/>
  <c r="AT36" i="19"/>
  <c r="AT35" i="19"/>
  <c r="AT34" i="19"/>
  <c r="AT33" i="19"/>
  <c r="AT32" i="19"/>
  <c r="AT31" i="19"/>
  <c r="AT30" i="19"/>
  <c r="AT29" i="19"/>
  <c r="AT28" i="19"/>
  <c r="AT27" i="19"/>
  <c r="AT26" i="19"/>
  <c r="AT25" i="19"/>
  <c r="AT24" i="19"/>
  <c r="AT23" i="19"/>
  <c r="AT22" i="19"/>
  <c r="AT21" i="19"/>
  <c r="AT20" i="19"/>
  <c r="AT19" i="19"/>
  <c r="AT18" i="19"/>
  <c r="AT17" i="19"/>
  <c r="AT16" i="19"/>
  <c r="AT15" i="19"/>
  <c r="AT14" i="19"/>
  <c r="AV14" i="19"/>
  <c r="AT13" i="19"/>
  <c r="AV13" i="19"/>
  <c r="AT12" i="19"/>
  <c r="AV12" i="19"/>
  <c r="AT11" i="19"/>
  <c r="AV11" i="19"/>
  <c r="AT10" i="19"/>
  <c r="AT9" i="19"/>
  <c r="AV9" i="19"/>
  <c r="AT8" i="19"/>
  <c r="AT7" i="19"/>
  <c r="AV7" i="19"/>
  <c r="AT6" i="19"/>
  <c r="AT5" i="19"/>
  <c r="AT4"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7" i="19"/>
  <c r="AS6" i="19"/>
  <c r="AS5" i="19"/>
  <c r="AS4" i="19"/>
  <c r="G32" i="27"/>
  <c r="G30" i="27"/>
  <c r="G27" i="27"/>
  <c r="G25" i="27"/>
  <c r="G23" i="27"/>
  <c r="G20" i="27"/>
  <c r="G18" i="27"/>
  <c r="G15" i="27"/>
  <c r="G12" i="27"/>
  <c r="G9" i="27"/>
  <c r="G6" i="27"/>
  <c r="G2" i="27"/>
  <c r="G3" i="27"/>
  <c r="H3" i="27"/>
  <c r="AS64" i="19"/>
  <c r="AS63" i="19"/>
  <c r="AS62" i="19"/>
  <c r="AS61" i="19"/>
  <c r="AS60" i="19"/>
  <c r="AS59" i="19"/>
  <c r="AS58" i="19"/>
  <c r="AS57" i="19"/>
  <c r="AS56" i="19"/>
  <c r="AS55" i="19"/>
  <c r="AS54" i="19"/>
  <c r="AS53" i="19"/>
  <c r="AS52" i="19"/>
  <c r="AS51" i="19"/>
  <c r="AS50" i="19"/>
  <c r="AS49" i="19"/>
  <c r="AS48" i="19"/>
  <c r="AS47" i="19"/>
  <c r="AS46" i="19"/>
  <c r="AS45" i="19"/>
  <c r="AS44" i="19"/>
  <c r="AS43" i="19"/>
  <c r="AS42" i="19"/>
  <c r="AS41" i="19"/>
  <c r="AS40" i="19"/>
  <c r="AS39" i="19"/>
  <c r="AS38" i="19"/>
  <c r="AS37" i="19"/>
  <c r="AS36" i="19"/>
  <c r="AS35" i="19"/>
  <c r="AS34" i="19"/>
  <c r="AS33" i="19"/>
  <c r="AS32" i="19"/>
  <c r="AS31" i="19"/>
  <c r="AS30" i="19"/>
  <c r="AS29" i="19"/>
  <c r="AS28" i="19"/>
  <c r="AS27" i="19"/>
  <c r="AS26" i="19"/>
  <c r="AS25" i="19"/>
  <c r="AS24" i="19"/>
  <c r="AS23" i="19"/>
  <c r="AS22" i="19"/>
  <c r="AS21" i="19"/>
  <c r="AS20" i="19"/>
  <c r="AS19" i="19"/>
  <c r="AS18" i="19"/>
  <c r="AS17" i="19"/>
  <c r="AS16" i="19"/>
  <c r="AS15" i="19"/>
  <c r="AS14" i="19"/>
  <c r="AS13" i="19"/>
  <c r="AS12" i="19"/>
  <c r="AS11" i="19"/>
  <c r="AS10" i="19"/>
  <c r="AS9" i="19"/>
  <c r="AS7" i="19"/>
  <c r="G7" i="27"/>
  <c r="H6" i="27"/>
  <c r="G19" i="27"/>
  <c r="H19" i="27"/>
  <c r="H18" i="27"/>
  <c r="G10" i="27"/>
  <c r="H9" i="27"/>
  <c r="G13" i="27"/>
  <c r="H12" i="27"/>
  <c r="G24" i="27"/>
  <c r="H24" i="27"/>
  <c r="H23" i="27"/>
  <c r="G33" i="27"/>
  <c r="H32" i="27"/>
  <c r="G28" i="27"/>
  <c r="H27" i="27"/>
  <c r="G21" i="27"/>
  <c r="H20" i="27"/>
  <c r="G31" i="27"/>
  <c r="H31" i="27"/>
  <c r="H30" i="27"/>
  <c r="G4" i="27"/>
  <c r="G16" i="27"/>
  <c r="H15" i="27"/>
  <c r="G26" i="27"/>
  <c r="H26" i="27"/>
  <c r="H25" i="27"/>
  <c r="G454" i="26"/>
  <c r="G455" i="26"/>
  <c r="G456" i="26"/>
  <c r="G457" i="26"/>
  <c r="H454" i="26"/>
  <c r="H455" i="26"/>
  <c r="H456" i="26"/>
  <c r="H457" i="26"/>
  <c r="I454" i="26"/>
  <c r="I455" i="26"/>
  <c r="I456" i="26"/>
  <c r="I457" i="26"/>
  <c r="J454" i="26"/>
  <c r="J455" i="26"/>
  <c r="J456" i="26"/>
  <c r="J457" i="26"/>
  <c r="G17" i="27"/>
  <c r="H17" i="27"/>
  <c r="H16" i="27"/>
  <c r="G5" i="27"/>
  <c r="H5" i="27"/>
  <c r="H4" i="27"/>
  <c r="G34" i="27"/>
  <c r="H34" i="27"/>
  <c r="H33" i="27"/>
  <c r="G14" i="27"/>
  <c r="H14" i="27"/>
  <c r="H13" i="27"/>
  <c r="G22" i="27"/>
  <c r="H22" i="27"/>
  <c r="H21" i="27"/>
  <c r="G29" i="27"/>
  <c r="H29" i="27"/>
  <c r="H28" i="27"/>
  <c r="G11" i="27"/>
  <c r="H11" i="27"/>
  <c r="H10" i="27"/>
  <c r="G8" i="27"/>
  <c r="H8" i="27"/>
  <c r="H7" i="27"/>
  <c r="G451" i="26"/>
  <c r="G452" i="26"/>
  <c r="G453" i="26"/>
  <c r="H451" i="26"/>
  <c r="H452" i="26"/>
  <c r="H453" i="26"/>
  <c r="J451" i="26"/>
  <c r="J452" i="26"/>
  <c r="J453" i="26"/>
  <c r="G450" i="26"/>
  <c r="H450" i="26"/>
  <c r="J450" i="26"/>
  <c r="J8" i="20"/>
  <c r="I8" i="20"/>
  <c r="H8" i="20"/>
  <c r="G8" i="20"/>
  <c r="F8" i="20"/>
  <c r="E8" i="20"/>
  <c r="D8" i="20"/>
  <c r="C8" i="20"/>
  <c r="B8" i="20"/>
  <c r="J7" i="20"/>
  <c r="I7" i="20"/>
  <c r="H7" i="20"/>
  <c r="G7" i="20"/>
  <c r="F7" i="20"/>
  <c r="E7" i="20"/>
  <c r="D7" i="20"/>
  <c r="C7" i="20"/>
  <c r="B7" i="20"/>
  <c r="J6" i="20"/>
  <c r="I6" i="20"/>
  <c r="H6" i="20"/>
  <c r="G6" i="20"/>
  <c r="F6" i="20"/>
  <c r="E6" i="20"/>
  <c r="D6" i="20"/>
  <c r="C6" i="20"/>
  <c r="B6" i="20"/>
  <c r="J5" i="20"/>
  <c r="I5" i="20"/>
  <c r="H5" i="20"/>
  <c r="G5" i="20"/>
  <c r="F5" i="20"/>
  <c r="E5" i="20"/>
  <c r="D5" i="20"/>
  <c r="C5" i="20"/>
  <c r="B5" i="20"/>
  <c r="G448" i="26"/>
  <c r="G449" i="26"/>
  <c r="H448" i="26"/>
  <c r="H449" i="26"/>
  <c r="J448" i="26"/>
  <c r="J449" i="26"/>
  <c r="G445" i="26"/>
  <c r="G446" i="26"/>
  <c r="G447" i="26"/>
  <c r="H445" i="26"/>
  <c r="H446" i="26"/>
  <c r="H447" i="26"/>
  <c r="J445" i="26"/>
  <c r="J446" i="26"/>
  <c r="J447" i="26"/>
  <c r="G444" i="26"/>
  <c r="H444" i="26"/>
  <c r="J444" i="26"/>
  <c r="G442" i="26"/>
  <c r="G443" i="26"/>
  <c r="H442" i="26"/>
  <c r="H443" i="26"/>
  <c r="J442" i="26"/>
  <c r="J443" i="26"/>
  <c r="G441" i="26"/>
  <c r="H441" i="26"/>
  <c r="J441" i="26"/>
  <c r="G439" i="26"/>
  <c r="G440" i="26"/>
  <c r="H439" i="26"/>
  <c r="H440" i="26"/>
  <c r="J439" i="26"/>
  <c r="J440" i="26"/>
  <c r="G437" i="26"/>
  <c r="G438" i="26"/>
  <c r="H437" i="26"/>
  <c r="H438" i="26"/>
  <c r="J437" i="26"/>
  <c r="J438" i="26"/>
  <c r="H2" i="27"/>
  <c r="AR6" i="19"/>
  <c r="B2" i="28"/>
  <c r="AR8" i="19"/>
  <c r="G432" i="26"/>
  <c r="G433" i="26"/>
  <c r="G434" i="26"/>
  <c r="G435" i="26"/>
  <c r="G436" i="26"/>
  <c r="H432" i="26"/>
  <c r="H433" i="26"/>
  <c r="H434" i="26"/>
  <c r="H435" i="26"/>
  <c r="H436" i="26"/>
  <c r="J432" i="26"/>
  <c r="J433" i="26"/>
  <c r="J434" i="26"/>
  <c r="J435" i="26"/>
  <c r="J436" i="26"/>
  <c r="AV8" i="19"/>
  <c r="AW8" i="19"/>
  <c r="AW5" i="19"/>
  <c r="C19" i="28"/>
  <c r="B26" i="28"/>
  <c r="C11" i="28"/>
  <c r="B25" i="28"/>
  <c r="B15" i="28"/>
  <c r="B11" i="28"/>
  <c r="C23" i="28"/>
  <c r="C9" i="28"/>
  <c r="AV5" i="19"/>
  <c r="B24" i="28"/>
  <c r="B31" i="28"/>
  <c r="C17" i="28"/>
  <c r="B23" i="28"/>
  <c r="B19" i="28"/>
  <c r="B9" i="28"/>
  <c r="AW4" i="19"/>
  <c r="C25" i="28"/>
  <c r="C15" i="28"/>
  <c r="C24" i="28"/>
  <c r="C31" i="28"/>
  <c r="B17" i="28"/>
  <c r="C26" i="28"/>
  <c r="AW16" i="19"/>
  <c r="AW50" i="19"/>
  <c r="AW34" i="19"/>
  <c r="AW18" i="19"/>
  <c r="AW13" i="19"/>
  <c r="AW52" i="19"/>
  <c r="AW36" i="19"/>
  <c r="AW51" i="19"/>
  <c r="AW19" i="19"/>
  <c r="AW53" i="19"/>
  <c r="AW37" i="19"/>
  <c r="AW17" i="19"/>
  <c r="AW63" i="19"/>
  <c r="AW39" i="19"/>
  <c r="C32" i="28"/>
  <c r="C10" i="28"/>
  <c r="C21" i="28"/>
  <c r="B7" i="28"/>
  <c r="C30" i="28"/>
  <c r="C22" i="28"/>
  <c r="C16" i="28"/>
  <c r="C28" i="28"/>
  <c r="B12" i="28"/>
  <c r="C2" i="28"/>
  <c r="C14" i="28"/>
  <c r="AW21" i="19"/>
  <c r="AW24" i="19"/>
  <c r="AW57" i="19"/>
  <c r="AW12" i="19"/>
  <c r="B33" i="28"/>
  <c r="C20" i="28"/>
  <c r="B6" i="28"/>
  <c r="B18" i="28"/>
  <c r="AW62" i="19"/>
  <c r="AW46" i="19"/>
  <c r="AW30" i="19"/>
  <c r="AW14" i="19"/>
  <c r="AW64" i="19"/>
  <c r="AW48" i="19"/>
  <c r="AW32" i="19"/>
  <c r="AW43" i="19"/>
  <c r="AW11" i="19"/>
  <c r="AW49" i="19"/>
  <c r="AW33" i="19"/>
  <c r="AW9" i="19"/>
  <c r="AW59" i="19"/>
  <c r="AW31" i="19"/>
  <c r="B32" i="28"/>
  <c r="B10" i="28"/>
  <c r="B21" i="28"/>
  <c r="C7" i="28"/>
  <c r="B30" i="28"/>
  <c r="B22" i="28"/>
  <c r="B16" i="28"/>
  <c r="B28" i="28"/>
  <c r="C12" i="28"/>
  <c r="B14" i="28"/>
  <c r="C18" i="28"/>
  <c r="AW54" i="19"/>
  <c r="AW22" i="19"/>
  <c r="AW56" i="19"/>
  <c r="AW27" i="19"/>
  <c r="AW41" i="19"/>
  <c r="AW47" i="19"/>
  <c r="AW15" i="19"/>
  <c r="C3" i="28"/>
  <c r="C8" i="28"/>
  <c r="AW58" i="19"/>
  <c r="AW42" i="19"/>
  <c r="AW26" i="19"/>
  <c r="AW10" i="19"/>
  <c r="AW60" i="19"/>
  <c r="AW44" i="19"/>
  <c r="AW28" i="19"/>
  <c r="AW35" i="19"/>
  <c r="AW61" i="19"/>
  <c r="AW45" i="19"/>
  <c r="AW29" i="19"/>
  <c r="AW20" i="19"/>
  <c r="AW55" i="19"/>
  <c r="AW23" i="19"/>
  <c r="B27" i="28"/>
  <c r="C33" i="28"/>
  <c r="B3" i="28"/>
  <c r="B20" i="28"/>
  <c r="C34" i="28"/>
  <c r="B8" i="28"/>
  <c r="C6" i="28"/>
  <c r="C13" i="28"/>
  <c r="C29" i="28"/>
  <c r="AW38" i="19"/>
  <c r="AW40" i="19"/>
  <c r="AW25" i="19"/>
  <c r="C27" i="28"/>
  <c r="B34" i="28"/>
  <c r="B13" i="28"/>
  <c r="B29" i="28"/>
  <c r="B4" i="28"/>
  <c r="C4" i="28"/>
  <c r="B5" i="28"/>
  <c r="C5" i="28"/>
  <c r="AV6" i="19"/>
  <c r="G431" i="26"/>
  <c r="H431" i="26"/>
  <c r="J431" i="26"/>
  <c r="AW6" i="19"/>
  <c r="AW7" i="19"/>
  <c r="G427" i="26"/>
  <c r="G428" i="26"/>
  <c r="G429" i="26"/>
  <c r="G430" i="26"/>
  <c r="H427" i="26"/>
  <c r="H428" i="26"/>
  <c r="H429" i="26"/>
  <c r="H430" i="26"/>
  <c r="J427" i="26"/>
  <c r="J428" i="26"/>
  <c r="J429" i="26"/>
  <c r="J430" i="26"/>
  <c r="G425" i="26"/>
  <c r="G426" i="26"/>
  <c r="H425" i="26"/>
  <c r="H426" i="26"/>
  <c r="J425" i="26"/>
  <c r="J426" i="26"/>
  <c r="J2" i="26"/>
  <c r="J3" i="26"/>
  <c r="J4" i="26"/>
  <c r="J5" i="26"/>
  <c r="J6" i="26"/>
  <c r="J7" i="26"/>
  <c r="J8" i="26"/>
  <c r="J9" i="26"/>
  <c r="J10" i="26"/>
  <c r="J11" i="26"/>
  <c r="J12" i="26"/>
  <c r="J13" i="26"/>
  <c r="J14" i="26"/>
  <c r="J15" i="26"/>
  <c r="J16" i="26"/>
  <c r="J17" i="26"/>
  <c r="J18" i="26"/>
  <c r="J19" i="26"/>
  <c r="J20" i="26"/>
  <c r="J21" i="26"/>
  <c r="J22" i="26"/>
  <c r="J23" i="26"/>
  <c r="J24" i="26"/>
  <c r="J25" i="26"/>
  <c r="J26" i="26"/>
  <c r="J27" i="26"/>
  <c r="J28" i="26"/>
  <c r="J29" i="26"/>
  <c r="J30" i="26"/>
  <c r="J31" i="26"/>
  <c r="J32" i="26"/>
  <c r="J33" i="26"/>
  <c r="J34" i="26"/>
  <c r="J35" i="26"/>
  <c r="J36" i="26"/>
  <c r="J37" i="26"/>
  <c r="J38" i="26"/>
  <c r="J39" i="26"/>
  <c r="J40" i="26"/>
  <c r="J41" i="26"/>
  <c r="J42" i="26"/>
  <c r="J43" i="26"/>
  <c r="J44" i="26"/>
  <c r="J45" i="26"/>
  <c r="J46" i="26"/>
  <c r="J47" i="26"/>
  <c r="J48" i="26"/>
  <c r="J49" i="26"/>
  <c r="J50" i="26"/>
  <c r="J51" i="26"/>
  <c r="J52" i="26"/>
  <c r="J53" i="26"/>
  <c r="J54" i="26"/>
  <c r="J55" i="26"/>
  <c r="J56" i="26"/>
  <c r="J57" i="26"/>
  <c r="J58" i="26"/>
  <c r="J59" i="26"/>
  <c r="J60" i="26"/>
  <c r="J61" i="26"/>
  <c r="J62" i="26"/>
  <c r="J63" i="26"/>
  <c r="J64" i="26"/>
  <c r="J65" i="26"/>
  <c r="J66" i="26"/>
  <c r="J67" i="26"/>
  <c r="J68" i="26"/>
  <c r="J69" i="26"/>
  <c r="J70" i="26"/>
  <c r="J71" i="26"/>
  <c r="J72" i="26"/>
  <c r="J73" i="26"/>
  <c r="J74" i="26"/>
  <c r="J75" i="26"/>
  <c r="J76" i="26"/>
  <c r="J77" i="26"/>
  <c r="J78" i="26"/>
  <c r="J79" i="26"/>
  <c r="J80" i="26"/>
  <c r="J81" i="26"/>
  <c r="J82" i="26"/>
  <c r="J83" i="26"/>
  <c r="J84" i="26"/>
  <c r="J85" i="26"/>
  <c r="J86" i="26"/>
  <c r="J87" i="26"/>
  <c r="J88" i="26"/>
  <c r="J89" i="26"/>
  <c r="J90" i="26"/>
  <c r="J91" i="26"/>
  <c r="J92" i="26"/>
  <c r="J93" i="26"/>
  <c r="J94" i="26"/>
  <c r="J95" i="26"/>
  <c r="J96" i="26"/>
  <c r="J97" i="26"/>
  <c r="J98" i="26"/>
  <c r="J99" i="26"/>
  <c r="J100" i="26"/>
  <c r="J101" i="26"/>
  <c r="J102" i="26"/>
  <c r="J103" i="26"/>
  <c r="J104" i="26"/>
  <c r="J105" i="26"/>
  <c r="J106" i="26"/>
  <c r="J107" i="26"/>
  <c r="J108" i="26"/>
  <c r="J109" i="26"/>
  <c r="J110"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81" i="26"/>
  <c r="J182" i="26"/>
  <c r="J183" i="26"/>
  <c r="J184" i="26"/>
  <c r="J185" i="26"/>
  <c r="J186" i="26"/>
  <c r="J187" i="26"/>
  <c r="J188" i="26"/>
  <c r="J189" i="26"/>
  <c r="J190" i="26"/>
  <c r="J191" i="26"/>
  <c r="J192" i="26"/>
  <c r="J193" i="26"/>
  <c r="J194" i="26"/>
  <c r="J195" i="26"/>
  <c r="J196" i="26"/>
  <c r="J197" i="26"/>
  <c r="J198" i="26"/>
  <c r="J199" i="26"/>
  <c r="J200" i="26"/>
  <c r="J201" i="26"/>
  <c r="J202" i="26"/>
  <c r="J203" i="26"/>
  <c r="J204" i="26"/>
  <c r="J205" i="26"/>
  <c r="J206" i="26"/>
  <c r="J207" i="26"/>
  <c r="J208" i="26"/>
  <c r="J209" i="26"/>
  <c r="J210" i="26"/>
  <c r="J211" i="26"/>
  <c r="J212" i="26"/>
  <c r="J213" i="26"/>
  <c r="J214" i="26"/>
  <c r="J215" i="26"/>
  <c r="J216" i="26"/>
  <c r="J217" i="26"/>
  <c r="J218" i="26"/>
  <c r="J219" i="26"/>
  <c r="J220" i="26"/>
  <c r="J221" i="26"/>
  <c r="J222" i="26"/>
  <c r="J223" i="26"/>
  <c r="J224" i="26"/>
  <c r="J225" i="26"/>
  <c r="J226" i="26"/>
  <c r="J227" i="26"/>
  <c r="J228" i="26"/>
  <c r="J229" i="26"/>
  <c r="J230" i="26"/>
  <c r="J231" i="26"/>
  <c r="J232" i="26"/>
  <c r="J233" i="26"/>
  <c r="J234" i="26"/>
  <c r="J235" i="26"/>
  <c r="J236" i="26"/>
  <c r="J237" i="26"/>
  <c r="J238" i="26"/>
  <c r="J239" i="26"/>
  <c r="J240" i="26"/>
  <c r="J241" i="26"/>
  <c r="J242" i="26"/>
  <c r="J243" i="26"/>
  <c r="J244" i="26"/>
  <c r="J245" i="26"/>
  <c r="J246" i="26"/>
  <c r="J247" i="26"/>
  <c r="J248" i="26"/>
  <c r="J249" i="26"/>
  <c r="J250" i="26"/>
  <c r="J251" i="26"/>
  <c r="J252" i="26"/>
  <c r="J253" i="26"/>
  <c r="J254" i="26"/>
  <c r="J255" i="26"/>
  <c r="J256" i="26"/>
  <c r="J257" i="26"/>
  <c r="J258" i="26"/>
  <c r="J259" i="26"/>
  <c r="J260" i="26"/>
  <c r="J261" i="26"/>
  <c r="J262" i="26"/>
  <c r="J263" i="26"/>
  <c r="J264" i="26"/>
  <c r="J265" i="26"/>
  <c r="J266" i="26"/>
  <c r="J267" i="26"/>
  <c r="J268" i="26"/>
  <c r="J269" i="26"/>
  <c r="J270" i="26"/>
  <c r="J271" i="26"/>
  <c r="J272" i="26"/>
  <c r="J273" i="26"/>
  <c r="J274" i="26"/>
  <c r="J275" i="26"/>
  <c r="J276" i="26"/>
  <c r="J277" i="26"/>
  <c r="J278" i="26"/>
  <c r="J279" i="26"/>
  <c r="J280" i="26"/>
  <c r="J281" i="26"/>
  <c r="J282" i="26"/>
  <c r="J283" i="26"/>
  <c r="J284" i="26"/>
  <c r="J285" i="26"/>
  <c r="J286" i="26"/>
  <c r="J287" i="26"/>
  <c r="J288" i="26"/>
  <c r="J289" i="26"/>
  <c r="J290" i="26"/>
  <c r="J291" i="26"/>
  <c r="J292" i="26"/>
  <c r="J293" i="26"/>
  <c r="J294" i="26"/>
  <c r="J295" i="26"/>
  <c r="J296" i="26"/>
  <c r="J297" i="26"/>
  <c r="J298" i="26"/>
  <c r="J299" i="26"/>
  <c r="J300" i="26"/>
  <c r="J301" i="26"/>
  <c r="J302" i="26"/>
  <c r="J303" i="26"/>
  <c r="J304" i="26"/>
  <c r="J305" i="26"/>
  <c r="J306" i="26"/>
  <c r="J307" i="26"/>
  <c r="J308" i="26"/>
  <c r="J309" i="26"/>
  <c r="J310" i="26"/>
  <c r="J311" i="26"/>
  <c r="J312" i="26"/>
  <c r="J313" i="26"/>
  <c r="J314" i="26"/>
  <c r="J315" i="26"/>
  <c r="J316" i="26"/>
  <c r="J317" i="26"/>
  <c r="J318" i="26"/>
  <c r="J319" i="26"/>
  <c r="J320" i="26"/>
  <c r="J321" i="26"/>
  <c r="J322" i="26"/>
  <c r="J323" i="26"/>
  <c r="J324" i="26"/>
  <c r="J325" i="26"/>
  <c r="J326" i="26"/>
  <c r="J327" i="26"/>
  <c r="J328" i="26"/>
  <c r="J329" i="26"/>
  <c r="J330" i="26"/>
  <c r="J331" i="26"/>
  <c r="J332" i="26"/>
  <c r="J333" i="26"/>
  <c r="J334" i="26"/>
  <c r="J335" i="26"/>
  <c r="J336" i="26"/>
  <c r="J337" i="26"/>
  <c r="J338" i="26"/>
  <c r="J339" i="26"/>
  <c r="J340" i="26"/>
  <c r="J341" i="26"/>
  <c r="J342" i="26"/>
  <c r="J343" i="26"/>
  <c r="J344" i="26"/>
  <c r="J345" i="26"/>
  <c r="J346" i="26"/>
  <c r="J347" i="26"/>
  <c r="J348" i="26"/>
  <c r="J349" i="26"/>
  <c r="J350" i="26"/>
  <c r="J351" i="26"/>
  <c r="J352" i="26"/>
  <c r="J353" i="26"/>
  <c r="J354" i="26"/>
  <c r="J355" i="26"/>
  <c r="J356" i="26"/>
  <c r="J357" i="26"/>
  <c r="J358" i="26"/>
  <c r="J359" i="26"/>
  <c r="J360" i="26"/>
  <c r="J361" i="26"/>
  <c r="J362" i="26"/>
  <c r="J363" i="26"/>
  <c r="J364" i="26"/>
  <c r="J365" i="26"/>
  <c r="J366" i="26"/>
  <c r="J367" i="26"/>
  <c r="J368" i="26"/>
  <c r="J369" i="26"/>
  <c r="J370" i="26"/>
  <c r="J371" i="26"/>
  <c r="J372" i="26"/>
  <c r="J373" i="26"/>
  <c r="J374" i="26"/>
  <c r="J375" i="26"/>
  <c r="J376" i="26"/>
  <c r="J377" i="26"/>
  <c r="J378" i="26"/>
  <c r="J379" i="26"/>
  <c r="J380" i="26"/>
  <c r="J381" i="26"/>
  <c r="J382" i="26"/>
  <c r="J383" i="26"/>
  <c r="J384" i="26"/>
  <c r="J385" i="26"/>
  <c r="J386" i="26"/>
  <c r="J387" i="26"/>
  <c r="J388" i="26"/>
  <c r="J389" i="26"/>
  <c r="J390" i="26"/>
  <c r="J391" i="26"/>
  <c r="J392" i="26"/>
  <c r="J393" i="26"/>
  <c r="J394" i="26"/>
  <c r="J395" i="26"/>
  <c r="J396" i="26"/>
  <c r="J397" i="26"/>
  <c r="J398" i="26"/>
  <c r="J399" i="26"/>
  <c r="J400" i="26"/>
  <c r="J401" i="26"/>
  <c r="J402" i="26"/>
  <c r="J403" i="26"/>
  <c r="J404" i="26"/>
  <c r="J405" i="26"/>
  <c r="J406" i="26"/>
  <c r="J407" i="26"/>
  <c r="J408" i="26"/>
  <c r="J409" i="26"/>
  <c r="J410" i="26"/>
  <c r="J411" i="26"/>
  <c r="J412" i="26"/>
  <c r="J413" i="26"/>
  <c r="J414" i="26"/>
  <c r="J415" i="26"/>
  <c r="J416" i="26"/>
  <c r="J417" i="26"/>
  <c r="J418" i="26"/>
  <c r="J419" i="26"/>
  <c r="J420" i="26"/>
  <c r="J421" i="26"/>
  <c r="J422" i="26"/>
  <c r="J423" i="26"/>
  <c r="J424" i="26"/>
  <c r="G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83" i="26"/>
  <c r="G84" i="26"/>
  <c r="G85" i="26"/>
  <c r="G86" i="26"/>
  <c r="G87" i="26"/>
  <c r="G88" i="26"/>
  <c r="G89" i="26"/>
  <c r="G90" i="26"/>
  <c r="G91" i="26"/>
  <c r="G92" i="26"/>
  <c r="G93" i="26"/>
  <c r="G94" i="26"/>
  <c r="G95" i="26"/>
  <c r="G96" i="26"/>
  <c r="G97" i="26"/>
  <c r="G98" i="26"/>
  <c r="G99" i="26"/>
  <c r="G100" i="26"/>
  <c r="G101" i="26"/>
  <c r="G102" i="26"/>
  <c r="G103" i="26"/>
  <c r="G104" i="26"/>
  <c r="G105" i="26"/>
  <c r="G106" i="26"/>
  <c r="G107" i="26"/>
  <c r="G108" i="26"/>
  <c r="G109" i="26"/>
  <c r="G110" i="26"/>
  <c r="G111" i="26"/>
  <c r="G112" i="26"/>
  <c r="G113" i="26"/>
  <c r="G114" i="26"/>
  <c r="G115" i="26"/>
  <c r="G116" i="26"/>
  <c r="G117" i="26"/>
  <c r="G118" i="26"/>
  <c r="G119" i="26"/>
  <c r="G120" i="26"/>
  <c r="G121" i="26"/>
  <c r="G122" i="26"/>
  <c r="G123" i="26"/>
  <c r="G124" i="26"/>
  <c r="G125" i="26"/>
  <c r="G126" i="26"/>
  <c r="G127" i="26"/>
  <c r="G128" i="26"/>
  <c r="G129" i="26"/>
  <c r="G130" i="26"/>
  <c r="G131" i="26"/>
  <c r="G132" i="26"/>
  <c r="G133" i="26"/>
  <c r="G134" i="26"/>
  <c r="G135" i="26"/>
  <c r="G136" i="26"/>
  <c r="G137" i="26"/>
  <c r="G138" i="26"/>
  <c r="G139" i="26"/>
  <c r="G140" i="26"/>
  <c r="G141" i="26"/>
  <c r="G142" i="26"/>
  <c r="G143" i="26"/>
  <c r="G144" i="26"/>
  <c r="G145" i="26"/>
  <c r="G146" i="26"/>
  <c r="G147" i="26"/>
  <c r="G148" i="26"/>
  <c r="G149" i="26"/>
  <c r="G150" i="26"/>
  <c r="G151" i="26"/>
  <c r="G152" i="26"/>
  <c r="G153" i="26"/>
  <c r="G154" i="26"/>
  <c r="G155" i="26"/>
  <c r="G156" i="26"/>
  <c r="G157" i="26"/>
  <c r="G158" i="26"/>
  <c r="G159" i="26"/>
  <c r="G160" i="26"/>
  <c r="G161" i="26"/>
  <c r="G162" i="26"/>
  <c r="G163" i="26"/>
  <c r="G164" i="26"/>
  <c r="G165" i="26"/>
  <c r="G166" i="26"/>
  <c r="G167" i="26"/>
  <c r="G168" i="26"/>
  <c r="G169" i="26"/>
  <c r="G170" i="26"/>
  <c r="G171" i="26"/>
  <c r="G172" i="26"/>
  <c r="G173" i="26"/>
  <c r="G174" i="26"/>
  <c r="G175" i="26"/>
  <c r="G176" i="26"/>
  <c r="G177" i="26"/>
  <c r="G178" i="26"/>
  <c r="G179" i="26"/>
  <c r="G180" i="26"/>
  <c r="G181" i="26"/>
  <c r="G182" i="26"/>
  <c r="G183" i="26"/>
  <c r="G184" i="26"/>
  <c r="G185" i="26"/>
  <c r="G186" i="26"/>
  <c r="G187" i="26"/>
  <c r="G188" i="26"/>
  <c r="G189" i="26"/>
  <c r="G190" i="26"/>
  <c r="G191" i="26"/>
  <c r="G192" i="26"/>
  <c r="G193" i="26"/>
  <c r="G194" i="26"/>
  <c r="G195" i="26"/>
  <c r="G196" i="26"/>
  <c r="G197" i="26"/>
  <c r="G198" i="26"/>
  <c r="G199" i="26"/>
  <c r="G200" i="26"/>
  <c r="G201" i="26"/>
  <c r="G202" i="26"/>
  <c r="G203" i="26"/>
  <c r="G204" i="26"/>
  <c r="G205" i="26"/>
  <c r="G206" i="26"/>
  <c r="G207" i="26"/>
  <c r="G208" i="26"/>
  <c r="G209" i="26"/>
  <c r="G210" i="26"/>
  <c r="G211" i="26"/>
  <c r="G212" i="26"/>
  <c r="G213" i="26"/>
  <c r="G214" i="26"/>
  <c r="G215" i="26"/>
  <c r="G216" i="26"/>
  <c r="G217" i="26"/>
  <c r="G218" i="26"/>
  <c r="G219" i="26"/>
  <c r="G220" i="26"/>
  <c r="G221" i="26"/>
  <c r="G222" i="26"/>
  <c r="G223" i="26"/>
  <c r="G224" i="26"/>
  <c r="G225" i="26"/>
  <c r="G226" i="26"/>
  <c r="G227" i="26"/>
  <c r="G228" i="26"/>
  <c r="G229" i="26"/>
  <c r="G230" i="26"/>
  <c r="G231" i="26"/>
  <c r="G232" i="26"/>
  <c r="G233" i="26"/>
  <c r="G234" i="26"/>
  <c r="G235" i="26"/>
  <c r="G236" i="26"/>
  <c r="G237" i="26"/>
  <c r="G238" i="26"/>
  <c r="G239" i="26"/>
  <c r="G240" i="26"/>
  <c r="G241" i="26"/>
  <c r="G242" i="26"/>
  <c r="G243" i="26"/>
  <c r="G244" i="26"/>
  <c r="G245" i="26"/>
  <c r="G246" i="26"/>
  <c r="G247" i="26"/>
  <c r="G248" i="26"/>
  <c r="G249" i="26"/>
  <c r="G250" i="26"/>
  <c r="G251" i="26"/>
  <c r="G252" i="26"/>
  <c r="G253" i="26"/>
  <c r="G254" i="26"/>
  <c r="G255" i="26"/>
  <c r="G256" i="26"/>
  <c r="G257" i="26"/>
  <c r="G258" i="26"/>
  <c r="G259" i="26"/>
  <c r="G260" i="26"/>
  <c r="G261" i="26"/>
  <c r="G262" i="26"/>
  <c r="G263" i="26"/>
  <c r="G264" i="26"/>
  <c r="G265" i="26"/>
  <c r="G266" i="26"/>
  <c r="G267" i="26"/>
  <c r="G268" i="26"/>
  <c r="G269" i="26"/>
  <c r="G270" i="26"/>
  <c r="G271" i="26"/>
  <c r="G272" i="26"/>
  <c r="G273" i="26"/>
  <c r="G274" i="26"/>
  <c r="G275" i="26"/>
  <c r="G276" i="26"/>
  <c r="G277" i="26"/>
  <c r="G278" i="26"/>
  <c r="G279" i="26"/>
  <c r="G280" i="26"/>
  <c r="G281" i="26"/>
  <c r="G282" i="26"/>
  <c r="G283" i="26"/>
  <c r="G284" i="26"/>
  <c r="G285" i="26"/>
  <c r="G286" i="26"/>
  <c r="G287" i="26"/>
  <c r="G288" i="26"/>
  <c r="G289" i="26"/>
  <c r="G290" i="26"/>
  <c r="G291" i="26"/>
  <c r="G292" i="26"/>
  <c r="G293" i="26"/>
  <c r="G294" i="26"/>
  <c r="G295" i="26"/>
  <c r="G296" i="26"/>
  <c r="G297" i="26"/>
  <c r="G298" i="26"/>
  <c r="G299" i="26"/>
  <c r="G300" i="26"/>
  <c r="G301" i="26"/>
  <c r="G302" i="26"/>
  <c r="G303" i="26"/>
  <c r="G304" i="26"/>
  <c r="G305" i="26"/>
  <c r="G306" i="26"/>
  <c r="G307" i="26"/>
  <c r="G308" i="26"/>
  <c r="G309" i="26"/>
  <c r="G310" i="26"/>
  <c r="G311" i="26"/>
  <c r="G312" i="26"/>
  <c r="G313" i="26"/>
  <c r="G314" i="26"/>
  <c r="G315" i="26"/>
  <c r="G316" i="26"/>
  <c r="G317" i="26"/>
  <c r="G318" i="26"/>
  <c r="G319" i="26"/>
  <c r="G320" i="26"/>
  <c r="G321" i="26"/>
  <c r="G322" i="26"/>
  <c r="G323" i="26"/>
  <c r="G324" i="26"/>
  <c r="G325" i="26"/>
  <c r="G326" i="26"/>
  <c r="G327" i="26"/>
  <c r="G328" i="26"/>
  <c r="G329" i="26"/>
  <c r="G330" i="26"/>
  <c r="G331" i="26"/>
  <c r="G332" i="26"/>
  <c r="G333" i="26"/>
  <c r="G334" i="26"/>
  <c r="G335" i="26"/>
  <c r="G336" i="26"/>
  <c r="G337" i="26"/>
  <c r="G338" i="26"/>
  <c r="G339" i="26"/>
  <c r="G340" i="26"/>
  <c r="G341" i="26"/>
  <c r="G342" i="26"/>
  <c r="G343" i="26"/>
  <c r="G344" i="26"/>
  <c r="G345" i="26"/>
  <c r="G346" i="26"/>
  <c r="G347" i="26"/>
  <c r="G348" i="26"/>
  <c r="G349" i="26"/>
  <c r="G350" i="26"/>
  <c r="G351" i="26"/>
  <c r="G352" i="26"/>
  <c r="G353" i="26"/>
  <c r="G354" i="26"/>
  <c r="G355" i="26"/>
  <c r="G356" i="26"/>
  <c r="G357" i="26"/>
  <c r="G358" i="26"/>
  <c r="G359" i="26"/>
  <c r="G360" i="26"/>
  <c r="G361" i="26"/>
  <c r="G362" i="26"/>
  <c r="G363" i="26"/>
  <c r="G364" i="26"/>
  <c r="G365" i="26"/>
  <c r="G366" i="26"/>
  <c r="G367" i="26"/>
  <c r="G368" i="26"/>
  <c r="G369" i="26"/>
  <c r="G370" i="26"/>
  <c r="G371" i="26"/>
  <c r="G372" i="26"/>
  <c r="G373" i="26"/>
  <c r="G374" i="26"/>
  <c r="G375" i="26"/>
  <c r="G376" i="26"/>
  <c r="G377" i="26"/>
  <c r="G378" i="26"/>
  <c r="G379" i="26"/>
  <c r="G380" i="26"/>
  <c r="G381" i="26"/>
  <c r="G382" i="26"/>
  <c r="G383" i="26"/>
  <c r="G384" i="26"/>
  <c r="G385" i="26"/>
  <c r="G386" i="26"/>
  <c r="G387" i="26"/>
  <c r="G388" i="26"/>
  <c r="G389" i="26"/>
  <c r="G390" i="26"/>
  <c r="G391" i="26"/>
  <c r="G392" i="26"/>
  <c r="G393" i="26"/>
  <c r="G394" i="26"/>
  <c r="G395" i="26"/>
  <c r="G396" i="26"/>
  <c r="G397" i="26"/>
  <c r="G398" i="26"/>
  <c r="G399" i="26"/>
  <c r="G400" i="26"/>
  <c r="G401" i="26"/>
  <c r="G402" i="26"/>
  <c r="G403" i="26"/>
  <c r="G404" i="26"/>
  <c r="G405" i="26"/>
  <c r="G406" i="26"/>
  <c r="G407" i="26"/>
  <c r="G408" i="26"/>
  <c r="G409" i="26"/>
  <c r="G410" i="26"/>
  <c r="G411" i="26"/>
  <c r="G412" i="26"/>
  <c r="G413" i="26"/>
  <c r="G414" i="26"/>
  <c r="G415" i="26"/>
  <c r="G416" i="26"/>
  <c r="G417" i="26"/>
  <c r="G418" i="26"/>
  <c r="G419" i="26"/>
  <c r="G420" i="26"/>
  <c r="G421" i="26"/>
  <c r="G422" i="26"/>
  <c r="G423" i="26"/>
  <c r="G424" i="26"/>
  <c r="H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83" i="26"/>
  <c r="H84" i="26"/>
  <c r="H85" i="26"/>
  <c r="H86" i="26"/>
  <c r="H87" i="26"/>
  <c r="H88" i="26"/>
  <c r="H89" i="26"/>
  <c r="H90" i="26"/>
  <c r="H91" i="26"/>
  <c r="H92" i="26"/>
  <c r="H93" i="26"/>
  <c r="H94" i="26"/>
  <c r="H95" i="26"/>
  <c r="H96" i="26"/>
  <c r="H97" i="26"/>
  <c r="H98" i="26"/>
  <c r="H99" i="26"/>
  <c r="H100" i="26"/>
  <c r="H101" i="26"/>
  <c r="H102" i="26"/>
  <c r="H103" i="26"/>
  <c r="H104" i="26"/>
  <c r="H105" i="26"/>
  <c r="H106" i="26"/>
  <c r="H107" i="26"/>
  <c r="H108" i="26"/>
  <c r="H109" i="26"/>
  <c r="H110" i="26"/>
  <c r="H111" i="26"/>
  <c r="H112" i="26"/>
  <c r="H113" i="26"/>
  <c r="H114" i="26"/>
  <c r="H115" i="26"/>
  <c r="H116" i="26"/>
  <c r="H117" i="26"/>
  <c r="H118" i="26"/>
  <c r="H119" i="26"/>
  <c r="H120" i="26"/>
  <c r="H121" i="26"/>
  <c r="H122" i="26"/>
  <c r="H123" i="26"/>
  <c r="H124" i="26"/>
  <c r="H125" i="26"/>
  <c r="H126" i="26"/>
  <c r="H127" i="26"/>
  <c r="H128" i="26"/>
  <c r="H129" i="26"/>
  <c r="H130" i="26"/>
  <c r="H131" i="26"/>
  <c r="H132" i="26"/>
  <c r="H133" i="26"/>
  <c r="H134" i="26"/>
  <c r="H135" i="26"/>
  <c r="H136" i="26"/>
  <c r="H137" i="26"/>
  <c r="H138" i="26"/>
  <c r="H139" i="26"/>
  <c r="H140" i="26"/>
  <c r="H141" i="26"/>
  <c r="H142" i="26"/>
  <c r="H143" i="26"/>
  <c r="H144" i="26"/>
  <c r="H145" i="26"/>
  <c r="H146" i="26"/>
  <c r="H147" i="26"/>
  <c r="H148" i="26"/>
  <c r="H149" i="26"/>
  <c r="H150" i="26"/>
  <c r="H151" i="26"/>
  <c r="H152" i="26"/>
  <c r="H153" i="26"/>
  <c r="H154" i="26"/>
  <c r="H155" i="26"/>
  <c r="H156" i="26"/>
  <c r="H157" i="26"/>
  <c r="H158" i="26"/>
  <c r="H159" i="26"/>
  <c r="H160" i="26"/>
  <c r="H161" i="26"/>
  <c r="H162" i="26"/>
  <c r="H163" i="26"/>
  <c r="H164" i="26"/>
  <c r="H165" i="26"/>
  <c r="H166" i="26"/>
  <c r="H167" i="26"/>
  <c r="H168" i="26"/>
  <c r="H169" i="26"/>
  <c r="H170" i="26"/>
  <c r="H171" i="26"/>
  <c r="H172" i="26"/>
  <c r="H173" i="26"/>
  <c r="H174" i="26"/>
  <c r="H175" i="26"/>
  <c r="H176" i="26"/>
  <c r="H177" i="26"/>
  <c r="H178" i="26"/>
  <c r="H179" i="26"/>
  <c r="H180" i="26"/>
  <c r="H181" i="26"/>
  <c r="H182" i="26"/>
  <c r="H183" i="26"/>
  <c r="H184" i="26"/>
  <c r="H185" i="26"/>
  <c r="H186" i="26"/>
  <c r="H187" i="26"/>
  <c r="H188" i="26"/>
  <c r="H189" i="26"/>
  <c r="H190" i="26"/>
  <c r="H191" i="26"/>
  <c r="H192" i="26"/>
  <c r="H193" i="26"/>
  <c r="H194" i="26"/>
  <c r="H195" i="26"/>
  <c r="H196" i="26"/>
  <c r="H197" i="26"/>
  <c r="H198" i="26"/>
  <c r="H199" i="26"/>
  <c r="H200" i="26"/>
  <c r="H201" i="26"/>
  <c r="H202" i="26"/>
  <c r="H203" i="26"/>
  <c r="H204" i="26"/>
  <c r="H205" i="26"/>
  <c r="H206" i="26"/>
  <c r="H207" i="26"/>
  <c r="H208" i="26"/>
  <c r="H209" i="26"/>
  <c r="H210" i="26"/>
  <c r="H211" i="26"/>
  <c r="H212" i="26"/>
  <c r="H213" i="26"/>
  <c r="H214" i="26"/>
  <c r="H215" i="26"/>
  <c r="H216" i="26"/>
  <c r="H217" i="26"/>
  <c r="H218" i="26"/>
  <c r="H219" i="26"/>
  <c r="H220" i="26"/>
  <c r="H221" i="26"/>
  <c r="H222" i="26"/>
  <c r="H223" i="26"/>
  <c r="H224" i="26"/>
  <c r="H225" i="26"/>
  <c r="H226" i="26"/>
  <c r="H227" i="26"/>
  <c r="H228" i="26"/>
  <c r="H229" i="26"/>
  <c r="H230" i="26"/>
  <c r="H231" i="26"/>
  <c r="H232" i="26"/>
  <c r="H233" i="26"/>
  <c r="H234" i="26"/>
  <c r="H235" i="26"/>
  <c r="H236" i="26"/>
  <c r="H237" i="26"/>
  <c r="H238" i="26"/>
  <c r="H239" i="26"/>
  <c r="H240" i="26"/>
  <c r="H241" i="26"/>
  <c r="H242" i="26"/>
  <c r="H243" i="26"/>
  <c r="H244" i="26"/>
  <c r="H245" i="26"/>
  <c r="H246" i="26"/>
  <c r="H247" i="26"/>
  <c r="H248" i="26"/>
  <c r="H249" i="26"/>
  <c r="H250" i="26"/>
  <c r="H251" i="26"/>
  <c r="H252" i="26"/>
  <c r="H253" i="26"/>
  <c r="H254" i="26"/>
  <c r="H255" i="26"/>
  <c r="H256" i="26"/>
  <c r="H257" i="26"/>
  <c r="H258" i="26"/>
  <c r="H259" i="26"/>
  <c r="H260" i="26"/>
  <c r="H261" i="26"/>
  <c r="H262" i="26"/>
  <c r="H263" i="26"/>
  <c r="H264" i="26"/>
  <c r="H265" i="26"/>
  <c r="H266" i="26"/>
  <c r="H267" i="26"/>
  <c r="H268" i="26"/>
  <c r="H269" i="26"/>
  <c r="H270" i="26"/>
  <c r="H271" i="26"/>
  <c r="H272" i="26"/>
  <c r="H273" i="26"/>
  <c r="H274" i="26"/>
  <c r="H275" i="26"/>
  <c r="H276" i="26"/>
  <c r="H277" i="26"/>
  <c r="H278" i="26"/>
  <c r="H279" i="26"/>
  <c r="H280" i="26"/>
  <c r="H281" i="26"/>
  <c r="H282" i="26"/>
  <c r="H283" i="26"/>
  <c r="H284" i="26"/>
  <c r="H285" i="26"/>
  <c r="H286" i="26"/>
  <c r="H287" i="26"/>
  <c r="H288" i="26"/>
  <c r="H289" i="26"/>
  <c r="H290" i="26"/>
  <c r="H291" i="26"/>
  <c r="H292" i="26"/>
  <c r="H293" i="26"/>
  <c r="H294" i="26"/>
  <c r="H295" i="26"/>
  <c r="H296" i="26"/>
  <c r="H297" i="26"/>
  <c r="H298" i="26"/>
  <c r="H299" i="26"/>
  <c r="H300" i="26"/>
  <c r="H301" i="26"/>
  <c r="H302" i="26"/>
  <c r="H303" i="26"/>
  <c r="H304" i="26"/>
  <c r="H305" i="26"/>
  <c r="H306" i="26"/>
  <c r="H307" i="26"/>
  <c r="H308" i="26"/>
  <c r="H309" i="26"/>
  <c r="H310" i="26"/>
  <c r="H311" i="26"/>
  <c r="H312" i="26"/>
  <c r="H313" i="26"/>
  <c r="H314" i="26"/>
  <c r="H315" i="26"/>
  <c r="H316" i="26"/>
  <c r="H317" i="26"/>
  <c r="H318" i="26"/>
  <c r="H319" i="26"/>
  <c r="H320" i="26"/>
  <c r="H321" i="26"/>
  <c r="H322" i="26"/>
  <c r="H323" i="26"/>
  <c r="H324" i="26"/>
  <c r="H325" i="26"/>
  <c r="H326" i="26"/>
  <c r="H327" i="26"/>
  <c r="H328" i="26"/>
  <c r="H329" i="26"/>
  <c r="H330" i="26"/>
  <c r="H331" i="26"/>
  <c r="H332" i="26"/>
  <c r="H333" i="26"/>
  <c r="H334" i="26"/>
  <c r="H335" i="26"/>
  <c r="H336" i="26"/>
  <c r="H337" i="26"/>
  <c r="H338" i="26"/>
  <c r="H339" i="26"/>
  <c r="H340" i="26"/>
  <c r="H341" i="26"/>
  <c r="H342" i="26"/>
  <c r="H343" i="26"/>
  <c r="H344" i="26"/>
  <c r="H345" i="26"/>
  <c r="H346" i="26"/>
  <c r="H347" i="26"/>
  <c r="H348" i="26"/>
  <c r="H349" i="26"/>
  <c r="H350" i="26"/>
  <c r="H351" i="26"/>
  <c r="H352" i="26"/>
  <c r="H353" i="26"/>
  <c r="H354" i="26"/>
  <c r="H355" i="26"/>
  <c r="H356" i="26"/>
  <c r="H357" i="26"/>
  <c r="H358" i="26"/>
  <c r="H359" i="26"/>
  <c r="H360" i="26"/>
  <c r="H361" i="26"/>
  <c r="H362" i="26"/>
  <c r="H363" i="26"/>
  <c r="H364" i="26"/>
  <c r="H365" i="26"/>
  <c r="H366" i="26"/>
  <c r="H367" i="26"/>
  <c r="H368" i="26"/>
  <c r="H369" i="26"/>
  <c r="H370" i="26"/>
  <c r="H371" i="26"/>
  <c r="H372" i="26"/>
  <c r="H373" i="26"/>
  <c r="H374" i="26"/>
  <c r="H375" i="26"/>
  <c r="H376" i="26"/>
  <c r="H377" i="26"/>
  <c r="H378" i="26"/>
  <c r="H379" i="26"/>
  <c r="H380" i="26"/>
  <c r="H381" i="26"/>
  <c r="H382" i="26"/>
  <c r="H383" i="26"/>
  <c r="H384" i="26"/>
  <c r="H385" i="26"/>
  <c r="H386" i="26"/>
  <c r="H387" i="26"/>
  <c r="H388" i="26"/>
  <c r="H389" i="26"/>
  <c r="H390" i="26"/>
  <c r="H391" i="26"/>
  <c r="H392" i="26"/>
  <c r="H393" i="26"/>
  <c r="H394" i="26"/>
  <c r="H395" i="26"/>
  <c r="H396" i="26"/>
  <c r="H397" i="26"/>
  <c r="H398" i="26"/>
  <c r="H399" i="26"/>
  <c r="H400" i="26"/>
  <c r="H401" i="26"/>
  <c r="H402" i="26"/>
  <c r="H403" i="26"/>
  <c r="H404" i="26"/>
  <c r="H405" i="26"/>
  <c r="H406" i="26"/>
  <c r="H407" i="26"/>
  <c r="H408" i="26"/>
  <c r="H409" i="26"/>
  <c r="H410" i="26"/>
  <c r="H411" i="26"/>
  <c r="H412" i="26"/>
  <c r="H413" i="26"/>
  <c r="H414" i="26"/>
  <c r="H415" i="26"/>
  <c r="H416" i="26"/>
  <c r="H417" i="26"/>
  <c r="H418" i="26"/>
  <c r="H419" i="26"/>
  <c r="H420" i="26"/>
  <c r="H421" i="26"/>
  <c r="H422" i="26"/>
  <c r="H423" i="26"/>
  <c r="H424" i="26"/>
  <c r="Q33" i="26"/>
  <c r="Q34" i="26"/>
  <c r="I448" i="26"/>
  <c r="Q31" i="26"/>
  <c r="Q32" i="26"/>
  <c r="Q28" i="26"/>
  <c r="Q26" i="26"/>
  <c r="Q24" i="26"/>
  <c r="I235" i="26"/>
  <c r="Q21" i="26"/>
  <c r="Q19" i="26"/>
  <c r="I447" i="26"/>
  <c r="Q16" i="26"/>
  <c r="I253" i="26"/>
  <c r="Q13" i="26"/>
  <c r="Q10" i="26"/>
  <c r="Q11" i="26"/>
  <c r="I416" i="26"/>
  <c r="Q7" i="26"/>
  <c r="I402" i="26"/>
  <c r="Q3" i="26"/>
  <c r="I10" i="26"/>
  <c r="I249" i="26"/>
  <c r="I234" i="26"/>
  <c r="I444" i="26"/>
  <c r="I440" i="26"/>
  <c r="I138" i="26"/>
  <c r="I346" i="26"/>
  <c r="I445" i="26"/>
  <c r="Q8" i="26"/>
  <c r="I431" i="26"/>
  <c r="I392" i="26"/>
  <c r="I106" i="26"/>
  <c r="Q4" i="26"/>
  <c r="Q5" i="26"/>
  <c r="I450" i="26"/>
  <c r="I282" i="26"/>
  <c r="I218" i="26"/>
  <c r="I266" i="26"/>
  <c r="I186" i="26"/>
  <c r="I3" i="26"/>
  <c r="I63" i="26"/>
  <c r="I195" i="26"/>
  <c r="I227" i="26"/>
  <c r="I255" i="26"/>
  <c r="I196" i="26"/>
  <c r="I224" i="26"/>
  <c r="I225" i="26"/>
  <c r="I257" i="26"/>
  <c r="I194" i="26"/>
  <c r="I226" i="26"/>
  <c r="I254" i="26"/>
  <c r="Q20" i="26"/>
  <c r="I256" i="26"/>
  <c r="I428" i="26"/>
  <c r="I59" i="26"/>
  <c r="I220" i="26"/>
  <c r="I189" i="26"/>
  <c r="I221" i="26"/>
  <c r="I321" i="26"/>
  <c r="I349" i="26"/>
  <c r="Q14" i="26"/>
  <c r="I320" i="26"/>
  <c r="I83" i="26"/>
  <c r="I143" i="26"/>
  <c r="I207" i="26"/>
  <c r="I231" i="26"/>
  <c r="I263" i="26"/>
  <c r="I295" i="26"/>
  <c r="I331" i="26"/>
  <c r="I144" i="26"/>
  <c r="I232" i="26"/>
  <c r="I141" i="26"/>
  <c r="I142" i="26"/>
  <c r="I206" i="26"/>
  <c r="I262" i="26"/>
  <c r="I273" i="26"/>
  <c r="I289" i="26"/>
  <c r="I332" i="26"/>
  <c r="I373" i="26"/>
  <c r="I409" i="26"/>
  <c r="I421" i="26"/>
  <c r="Q22" i="26"/>
  <c r="I66" i="26"/>
  <c r="I82" i="26"/>
  <c r="I98" i="26"/>
  <c r="I264" i="26"/>
  <c r="I274" i="26"/>
  <c r="I312" i="26"/>
  <c r="I398" i="26"/>
  <c r="I410" i="26"/>
  <c r="I182" i="26"/>
  <c r="I399" i="26"/>
  <c r="I411" i="26"/>
  <c r="I419" i="26"/>
  <c r="I261" i="26"/>
  <c r="I330" i="26"/>
  <c r="I352" i="26"/>
  <c r="I239" i="26"/>
  <c r="I208" i="26"/>
  <c r="I55" i="26"/>
  <c r="I244" i="26"/>
  <c r="I213" i="26"/>
  <c r="I245" i="26"/>
  <c r="I214" i="26"/>
  <c r="Q35" i="26"/>
  <c r="I449" i="26"/>
  <c r="I420" i="26"/>
  <c r="I388" i="26"/>
  <c r="I372" i="26"/>
  <c r="I123" i="26"/>
  <c r="I211" i="26"/>
  <c r="I116" i="26"/>
  <c r="I242" i="26"/>
  <c r="I400" i="26"/>
  <c r="I427" i="26"/>
  <c r="I139" i="26"/>
  <c r="I175" i="26"/>
  <c r="I219" i="26"/>
  <c r="I319" i="26"/>
  <c r="I140" i="26"/>
  <c r="I149" i="26"/>
  <c r="I46" i="26"/>
  <c r="I250" i="26"/>
  <c r="I405" i="26"/>
  <c r="Q12" i="26"/>
  <c r="I318" i="26"/>
  <c r="I371" i="26"/>
  <c r="I395" i="26"/>
  <c r="I90" i="26"/>
  <c r="I272" i="26"/>
  <c r="I348" i="26"/>
  <c r="I267" i="26"/>
  <c r="I236" i="26"/>
  <c r="I237" i="26"/>
  <c r="I238" i="26"/>
  <c r="I268" i="26"/>
  <c r="I341" i="26"/>
  <c r="I393" i="26"/>
  <c r="Q27" i="26"/>
  <c r="I414" i="26"/>
  <c r="I269" i="26"/>
  <c r="I342" i="26"/>
  <c r="I281" i="26"/>
  <c r="I403" i="26"/>
  <c r="I408" i="26"/>
  <c r="I7" i="26"/>
  <c r="I11" i="26"/>
  <c r="I15" i="26"/>
  <c r="I19" i="26"/>
  <c r="I23" i="26"/>
  <c r="I8" i="26"/>
  <c r="I16" i="26"/>
  <c r="I20" i="26"/>
  <c r="I104" i="26"/>
  <c r="I9" i="26"/>
  <c r="I17" i="26"/>
  <c r="I21" i="26"/>
  <c r="I105" i="26"/>
  <c r="I103" i="26"/>
  <c r="I44" i="26"/>
  <c r="I148" i="26"/>
  <c r="I45" i="26"/>
  <c r="I137" i="26"/>
  <c r="I240" i="26"/>
  <c r="I209" i="26"/>
  <c r="I241" i="26"/>
  <c r="I423" i="26"/>
  <c r="I334" i="26"/>
  <c r="I324" i="26"/>
  <c r="I265" i="26"/>
  <c r="I54" i="26"/>
  <c r="I22" i="26"/>
  <c r="I210" i="26"/>
  <c r="I162" i="26"/>
  <c r="I18" i="26"/>
  <c r="I378" i="26"/>
  <c r="I75" i="26"/>
  <c r="I247" i="26"/>
  <c r="I315" i="26"/>
  <c r="I335" i="26"/>
  <c r="I426" i="26"/>
  <c r="I4" i="26"/>
  <c r="I108" i="26"/>
  <c r="I216" i="26"/>
  <c r="I185" i="26"/>
  <c r="I47" i="26"/>
  <c r="I191" i="26"/>
  <c r="I223" i="26"/>
  <c r="I323" i="26"/>
  <c r="I48" i="26"/>
  <c r="I243" i="26"/>
  <c r="I212" i="26"/>
  <c r="I413" i="26"/>
  <c r="I361" i="26"/>
  <c r="I345" i="26"/>
  <c r="I316" i="26"/>
  <c r="I174" i="26"/>
  <c r="I158" i="26"/>
  <c r="Q29" i="26"/>
  <c r="Q25" i="26"/>
  <c r="Q17" i="26"/>
  <c r="I387" i="26"/>
  <c r="I2" i="26"/>
  <c r="I25" i="26"/>
  <c r="I153" i="26"/>
  <c r="I424" i="26"/>
  <c r="I41" i="26"/>
  <c r="I425" i="26"/>
  <c r="I308" i="26"/>
  <c r="Q9" i="26"/>
  <c r="I441" i="26"/>
  <c r="I390" i="26"/>
  <c r="I117" i="26"/>
  <c r="I172" i="26"/>
  <c r="I442" i="26"/>
  <c r="I453" i="26"/>
  <c r="I451" i="26"/>
  <c r="I452" i="26"/>
  <c r="I26" i="26"/>
  <c r="I382" i="26"/>
  <c r="I109" i="26"/>
  <c r="I95" i="26"/>
  <c r="I432" i="26"/>
  <c r="I383" i="26"/>
  <c r="I146" i="26"/>
  <c r="I101" i="26"/>
  <c r="I27" i="26"/>
  <c r="Q30" i="26"/>
  <c r="I53" i="26"/>
  <c r="I443" i="26"/>
  <c r="I436" i="26"/>
  <c r="I437" i="26"/>
  <c r="I438" i="26"/>
  <c r="I446" i="26"/>
  <c r="I386" i="26"/>
  <c r="I31" i="26"/>
  <c r="I433" i="26"/>
  <c r="I389" i="26"/>
  <c r="I199" i="26"/>
  <c r="I259" i="26"/>
  <c r="I64" i="26"/>
  <c r="I96" i="26"/>
  <c r="I228" i="26"/>
  <c r="I197" i="26"/>
  <c r="I229" i="26"/>
  <c r="I326" i="26"/>
  <c r="I258" i="26"/>
  <c r="I198" i="26"/>
  <c r="I327" i="26"/>
  <c r="I65" i="26"/>
  <c r="I97" i="26"/>
  <c r="I181" i="26"/>
  <c r="I294" i="26"/>
  <c r="I305" i="26"/>
  <c r="I328" i="26"/>
  <c r="I338" i="26"/>
  <c r="I230" i="26"/>
  <c r="I260" i="26"/>
  <c r="I329" i="26"/>
  <c r="I351" i="26"/>
  <c r="Q23" i="26"/>
  <c r="I439" i="26"/>
  <c r="I78" i="26"/>
  <c r="I337" i="26"/>
  <c r="I58" i="26"/>
  <c r="I119" i="26"/>
  <c r="I179" i="26"/>
  <c r="I287" i="26"/>
  <c r="I311" i="26"/>
  <c r="I36" i="26"/>
  <c r="I164" i="26"/>
  <c r="I180" i="26"/>
  <c r="I37" i="26"/>
  <c r="I49" i="26"/>
  <c r="I61" i="26"/>
  <c r="I165" i="26"/>
  <c r="I178" i="26"/>
  <c r="I150" i="26"/>
  <c r="I166" i="26"/>
  <c r="I288" i="26"/>
  <c r="I325" i="26"/>
  <c r="I215" i="26"/>
  <c r="I246" i="26"/>
  <c r="I79" i="26"/>
  <c r="I91" i="26"/>
  <c r="I163" i="26"/>
  <c r="I251" i="26"/>
  <c r="I60" i="26"/>
  <c r="I92" i="26"/>
  <c r="I176" i="26"/>
  <c r="I157" i="26"/>
  <c r="I177" i="26"/>
  <c r="I205" i="26"/>
  <c r="I190" i="26"/>
  <c r="I310" i="26"/>
  <c r="I417" i="26"/>
  <c r="I406" i="26"/>
  <c r="I322" i="26"/>
  <c r="I286" i="26"/>
  <c r="I355" i="26"/>
  <c r="I202" i="26"/>
  <c r="I293" i="26"/>
  <c r="I396" i="26"/>
  <c r="Q15" i="26"/>
  <c r="Q6" i="26"/>
  <c r="I39" i="26"/>
  <c r="I24" i="26"/>
  <c r="I32" i="26"/>
  <c r="I40" i="26"/>
  <c r="I38" i="26"/>
  <c r="Q18" i="26"/>
  <c r="I368" i="26"/>
  <c r="I354" i="26"/>
  <c r="I89" i="26"/>
  <c r="I28" i="26"/>
  <c r="I154" i="26"/>
  <c r="I34" i="26"/>
  <c r="I29" i="26"/>
  <c r="I279" i="26"/>
  <c r="I347" i="26"/>
  <c r="I126" i="26"/>
  <c r="I188" i="26"/>
  <c r="I147" i="26"/>
  <c r="I6" i="26"/>
  <c r="I201" i="26"/>
  <c r="I124" i="26"/>
  <c r="I43" i="26"/>
  <c r="I404" i="26"/>
  <c r="I336" i="26"/>
  <c r="I42" i="26"/>
  <c r="I292" i="26"/>
  <c r="I394" i="26"/>
  <c r="I317" i="26"/>
  <c r="I385" i="26"/>
  <c r="I110" i="26"/>
  <c r="I173" i="26"/>
  <c r="I77" i="26"/>
  <c r="I13" i="26"/>
  <c r="I160" i="26"/>
  <c r="I88" i="26"/>
  <c r="I12" i="26"/>
  <c r="I271" i="26"/>
  <c r="I135" i="26"/>
  <c r="I35" i="26"/>
  <c r="I376" i="26"/>
  <c r="I309" i="26"/>
  <c r="I415" i="26"/>
  <c r="I118" i="26"/>
  <c r="I370" i="26"/>
  <c r="I285" i="26"/>
  <c r="I377" i="26"/>
  <c r="I14" i="26"/>
  <c r="I161" i="26"/>
  <c r="I57" i="26"/>
  <c r="I5" i="26"/>
  <c r="I156" i="26"/>
  <c r="I76" i="26"/>
  <c r="I303" i="26"/>
  <c r="I187" i="26"/>
  <c r="I111" i="26"/>
  <c r="I434" i="26"/>
  <c r="I435" i="26"/>
  <c r="I384" i="26"/>
  <c r="I304" i="26"/>
  <c r="I391" i="26"/>
  <c r="I102" i="26"/>
  <c r="I362" i="26"/>
  <c r="I280" i="26"/>
  <c r="I369" i="26"/>
  <c r="I217" i="26"/>
  <c r="I125" i="26"/>
  <c r="I33" i="26"/>
  <c r="I248" i="26"/>
  <c r="I136" i="26"/>
  <c r="I56" i="26"/>
  <c r="I291" i="26"/>
  <c r="I155" i="26"/>
  <c r="I87" i="26"/>
  <c r="I67" i="26"/>
  <c r="I275" i="26"/>
  <c r="I233" i="26"/>
  <c r="I401" i="26"/>
  <c r="I422" i="26"/>
  <c r="I374" i="26"/>
  <c r="I339" i="26"/>
  <c r="I340" i="26"/>
  <c r="I412" i="26"/>
  <c r="I252" i="26"/>
  <c r="I222" i="26"/>
  <c r="I379" i="26"/>
  <c r="I51" i="26"/>
  <c r="I71" i="26"/>
  <c r="I99" i="26"/>
  <c r="I107" i="26"/>
  <c r="I115" i="26"/>
  <c r="I127" i="26"/>
  <c r="I131" i="26"/>
  <c r="I151" i="26"/>
  <c r="I159" i="26"/>
  <c r="I167" i="26"/>
  <c r="I171" i="26"/>
  <c r="I183" i="26"/>
  <c r="I283" i="26"/>
  <c r="I299" i="26"/>
  <c r="I307" i="26"/>
  <c r="I52" i="26"/>
  <c r="I68" i="26"/>
  <c r="I72" i="26"/>
  <c r="I84" i="26"/>
  <c r="I100" i="26"/>
  <c r="I112" i="26"/>
  <c r="I120" i="26"/>
  <c r="I128" i="26"/>
  <c r="I132" i="26"/>
  <c r="I152" i="26"/>
  <c r="I168" i="26"/>
  <c r="I184" i="26"/>
  <c r="I200" i="26"/>
  <c r="I69" i="26"/>
  <c r="I73" i="26"/>
  <c r="I85" i="26"/>
  <c r="I93" i="26"/>
  <c r="I113" i="26"/>
  <c r="I121" i="26"/>
  <c r="I129" i="26"/>
  <c r="I133" i="26"/>
  <c r="I145" i="26"/>
  <c r="I169" i="26"/>
  <c r="I94" i="26"/>
  <c r="I278" i="26"/>
  <c r="I284" i="26"/>
  <c r="I300" i="26"/>
  <c r="I353" i="26"/>
  <c r="I357" i="26"/>
  <c r="I365" i="26"/>
  <c r="I381" i="26"/>
  <c r="I50" i="26"/>
  <c r="I114" i="26"/>
  <c r="I130" i="26"/>
  <c r="I290" i="26"/>
  <c r="I296" i="26"/>
  <c r="I301" i="26"/>
  <c r="I306" i="26"/>
  <c r="I333" i="26"/>
  <c r="I358" i="26"/>
  <c r="I366" i="26"/>
  <c r="I70" i="26"/>
  <c r="I86" i="26"/>
  <c r="I134" i="26"/>
  <c r="I270" i="26"/>
  <c r="I276" i="26"/>
  <c r="I297" i="26"/>
  <c r="I302" i="26"/>
  <c r="I313" i="26"/>
  <c r="I343" i="26"/>
  <c r="I359" i="26"/>
  <c r="I367" i="26"/>
  <c r="I375" i="26"/>
  <c r="I74" i="26"/>
  <c r="I122" i="26"/>
  <c r="I170" i="26"/>
  <c r="I277" i="26"/>
  <c r="I298" i="26"/>
  <c r="I314" i="26"/>
  <c r="I344" i="26"/>
  <c r="I380" i="26"/>
  <c r="I356" i="26"/>
  <c r="I360" i="26"/>
  <c r="I429" i="26"/>
  <c r="I430" i="26"/>
  <c r="I203" i="26"/>
  <c r="I80" i="26"/>
  <c r="I192" i="26"/>
  <c r="I204" i="26"/>
  <c r="I81" i="26"/>
  <c r="I193" i="26"/>
  <c r="I30" i="26"/>
  <c r="I62" i="26"/>
  <c r="I397" i="26"/>
  <c r="I350" i="26"/>
  <c r="I418" i="26"/>
  <c r="I363" i="26"/>
  <c r="I407" i="26"/>
  <c r="I364" i="26"/>
  <c r="C6" i="27"/>
  <c r="C7" i="27"/>
  <c r="C8" i="27"/>
  <c r="C9" i="27"/>
  <c r="C10" i="27"/>
  <c r="C11" i="27"/>
  <c r="C12" i="27"/>
  <c r="C13" i="27"/>
  <c r="C14" i="27"/>
  <c r="C15" i="27"/>
  <c r="C16" i="27"/>
  <c r="C17" i="27"/>
  <c r="C18" i="27"/>
  <c r="C19" i="27"/>
  <c r="C20" i="27"/>
  <c r="C21" i="27"/>
  <c r="C22" i="27"/>
  <c r="C23" i="27"/>
  <c r="C24" i="27"/>
  <c r="C25" i="27"/>
  <c r="C26" i="27"/>
  <c r="C27" i="27"/>
  <c r="C28" i="27"/>
  <c r="C29" i="27"/>
  <c r="C30" i="27"/>
  <c r="C31" i="27"/>
  <c r="C32" i="27"/>
  <c r="C33" i="27"/>
  <c r="C34" i="27"/>
  <c r="C2" i="27"/>
  <c r="C3" i="27"/>
  <c r="C4" i="27"/>
  <c r="C5" i="27"/>
  <c r="B18" i="5"/>
  <c r="B17" i="5"/>
  <c r="B16" i="5"/>
  <c r="B15" i="5"/>
  <c r="C8" i="5"/>
  <c r="B8" i="5"/>
  <c r="A5" i="5"/>
  <c r="J3" i="19"/>
  <c r="B1" i="20"/>
  <c r="B3" i="20"/>
  <c r="K3" i="19"/>
  <c r="L2" i="19"/>
  <c r="L3" i="19"/>
  <c r="C1" i="20"/>
  <c r="C3" i="20"/>
  <c r="AP64" i="19"/>
  <c r="AP63" i="19"/>
  <c r="AP62" i="19"/>
  <c r="AP61" i="19"/>
  <c r="AP60" i="19"/>
  <c r="AP59" i="19"/>
  <c r="AP58" i="19"/>
  <c r="AP57" i="19"/>
  <c r="AP56" i="19"/>
  <c r="AP55" i="19"/>
  <c r="AP54" i="19"/>
  <c r="AP53" i="19"/>
  <c r="AP52" i="19"/>
  <c r="AP51" i="19"/>
  <c r="AP50" i="19"/>
  <c r="AP49" i="19"/>
  <c r="AP48" i="19"/>
  <c r="AP47" i="19"/>
  <c r="AP46" i="19"/>
  <c r="AP44" i="19"/>
  <c r="AP45" i="19"/>
  <c r="AP43" i="19"/>
  <c r="AP40" i="19"/>
  <c r="AP41" i="19"/>
  <c r="AP42" i="19"/>
  <c r="AP39" i="19"/>
  <c r="AP34" i="19"/>
  <c r="AP35" i="19"/>
  <c r="AP36" i="19"/>
  <c r="AP37" i="19"/>
  <c r="AP38" i="19"/>
  <c r="AP33" i="19"/>
  <c r="AP31" i="19"/>
  <c r="AP32" i="19"/>
  <c r="AP30" i="19"/>
  <c r="AP29" i="19"/>
  <c r="AP28" i="19"/>
  <c r="AP26" i="19"/>
  <c r="AP27" i="19"/>
  <c r="AP25" i="19"/>
  <c r="AP24" i="19"/>
  <c r="AP23" i="19"/>
  <c r="AP22" i="19"/>
  <c r="AP20" i="19"/>
  <c r="AP21" i="19"/>
  <c r="AP19" i="19"/>
  <c r="AP16" i="19"/>
  <c r="AP17" i="19"/>
  <c r="AP18" i="19"/>
  <c r="AP15" i="19"/>
  <c r="AP14" i="19"/>
  <c r="AP11" i="19"/>
  <c r="AP12" i="19"/>
  <c r="AP13" i="19"/>
  <c r="AP10" i="19"/>
  <c r="AP8" i="19"/>
  <c r="AP9" i="19"/>
  <c r="AP7" i="19"/>
  <c r="AP6" i="19"/>
  <c r="AP4" i="19"/>
  <c r="D1" i="20"/>
  <c r="D3" i="20"/>
  <c r="M2" i="19"/>
  <c r="M3" i="19"/>
  <c r="N2" i="19"/>
  <c r="N3" i="19"/>
  <c r="E1" i="20"/>
  <c r="E3" i="20"/>
  <c r="AB4" i="20"/>
  <c r="O2" i="19"/>
  <c r="F1" i="20"/>
  <c r="F3" i="20"/>
  <c r="AA4" i="20"/>
  <c r="Z4" i="20"/>
  <c r="Y4" i="20"/>
  <c r="X4" i="20"/>
  <c r="W4" i="20"/>
  <c r="V4" i="20"/>
  <c r="U4" i="20"/>
  <c r="T4" i="20"/>
  <c r="G1" i="20"/>
  <c r="G3" i="20"/>
  <c r="O3" i="19"/>
  <c r="P2" i="19"/>
  <c r="S4" i="20"/>
  <c r="R4" i="20"/>
  <c r="Q4" i="20"/>
  <c r="P4" i="20"/>
  <c r="O4" i="20"/>
  <c r="N4" i="20"/>
  <c r="M4" i="20"/>
  <c r="L4" i="20"/>
  <c r="K4" i="20"/>
  <c r="J4" i="20"/>
  <c r="I4" i="20"/>
  <c r="H4" i="20"/>
  <c r="G4" i="20"/>
  <c r="F4" i="20"/>
  <c r="E4" i="20"/>
  <c r="D4" i="20"/>
  <c r="C4" i="20"/>
  <c r="B4" i="20"/>
  <c r="H1" i="20"/>
  <c r="H3" i="20"/>
  <c r="P3" i="19"/>
  <c r="Q2" i="19"/>
  <c r="C2" i="19"/>
  <c r="I1" i="20"/>
  <c r="I3" i="20"/>
  <c r="Q3" i="19"/>
  <c r="R2" i="19"/>
  <c r="J1" i="20"/>
  <c r="J3" i="20"/>
  <c r="R3" i="19"/>
  <c r="S2" i="19"/>
  <c r="K1" i="20"/>
  <c r="K3" i="20"/>
  <c r="S3" i="19"/>
  <c r="T2" i="19"/>
  <c r="L1" i="20"/>
  <c r="L3" i="20"/>
  <c r="T3" i="19"/>
  <c r="U2" i="19"/>
  <c r="M1" i="20"/>
  <c r="M3" i="20"/>
  <c r="U3" i="19"/>
  <c r="V2" i="19"/>
  <c r="N1" i="20"/>
  <c r="N3" i="20"/>
  <c r="V3" i="19"/>
  <c r="W2" i="19"/>
  <c r="O1" i="20"/>
  <c r="O3" i="20"/>
  <c r="W3" i="19"/>
  <c r="X2" i="19"/>
  <c r="P1" i="20"/>
  <c r="P3" i="20"/>
  <c r="X3" i="19"/>
  <c r="Y2" i="19"/>
  <c r="Q1" i="20"/>
  <c r="Q3" i="20"/>
  <c r="Y3" i="19"/>
  <c r="Z2" i="19"/>
  <c r="R1" i="20"/>
  <c r="R3" i="20"/>
  <c r="Z3" i="19"/>
  <c r="AA2" i="19"/>
  <c r="S1" i="20"/>
  <c r="S3" i="20"/>
  <c r="AA3" i="19"/>
  <c r="AB2" i="19"/>
  <c r="T1" i="20"/>
  <c r="T3" i="20"/>
  <c r="AB3" i="19"/>
  <c r="AC2" i="19"/>
  <c r="U1" i="20"/>
  <c r="U3" i="20"/>
  <c r="AC3" i="19"/>
  <c r="AD2" i="19"/>
  <c r="V1" i="20"/>
  <c r="V3" i="20"/>
  <c r="AD3" i="19"/>
  <c r="AE2" i="19"/>
  <c r="W1" i="20"/>
  <c r="W3" i="20"/>
  <c r="AE3" i="19"/>
  <c r="AF2" i="19"/>
  <c r="X1" i="20"/>
  <c r="X3" i="20"/>
  <c r="AF3" i="19"/>
  <c r="AG2" i="19"/>
  <c r="Y1" i="20"/>
  <c r="Y3" i="20"/>
  <c r="AG3" i="19"/>
  <c r="AH2" i="19"/>
  <c r="Z1" i="20"/>
  <c r="Z3" i="20"/>
  <c r="A1" i="20"/>
  <c r="AH3" i="19"/>
  <c r="AI2" i="19"/>
  <c r="AJ2" i="19"/>
  <c r="AI3" i="19"/>
  <c r="AK2" i="19"/>
  <c r="AJ3" i="19"/>
  <c r="AL2" i="19"/>
  <c r="AK3" i="19"/>
  <c r="AM2" i="19"/>
  <c r="AL3" i="19"/>
  <c r="AN2" i="19"/>
  <c r="AM3" i="19"/>
  <c r="AO2" i="19"/>
  <c r="AN3" i="19"/>
  <c r="AO3" i="19"/>
  <c r="M1" i="19"/>
  <c r="AA1" i="20"/>
  <c r="AA3" i="20"/>
</calcChain>
</file>

<file path=xl/comments1.xml><?xml version="1.0" encoding="utf-8"?>
<comments xmlns="http://schemas.openxmlformats.org/spreadsheetml/2006/main">
  <authors>
    <author>Gorman, David A</author>
  </authors>
  <commentList>
    <comment ref="J1" authorId="0">
      <text>
        <r>
          <rPr>
            <sz val="9"/>
            <color indexed="81"/>
            <rFont val="Tahoma"/>
            <family val="2"/>
          </rPr>
          <t>If changes are required, make them on the Assessment Documentation page</t>
        </r>
      </text>
    </comment>
  </commentList>
</comments>
</file>

<file path=xl/comments2.xml><?xml version="1.0" encoding="utf-8"?>
<comments xmlns="http://schemas.openxmlformats.org/spreadsheetml/2006/main">
  <authors>
    <author>Gorman, David A</author>
  </authors>
  <commentList>
    <comment ref="A1" authorId="0">
      <text>
        <r>
          <rPr>
            <sz val="9"/>
            <color indexed="81"/>
            <rFont val="Tahoma"/>
            <family val="2"/>
          </rPr>
          <t>If changes are required, make them on the Assessment Documentation page</t>
        </r>
      </text>
    </comment>
  </commentList>
</comments>
</file>

<file path=xl/sharedStrings.xml><?xml version="1.0" encoding="utf-8"?>
<sst xmlns="http://schemas.openxmlformats.org/spreadsheetml/2006/main" count="14394" uniqueCount="1011">
  <si>
    <t>&lt;60</t>
  </si>
  <si>
    <t>&gt;90</t>
  </si>
  <si>
    <t>Attribute</t>
  </si>
  <si>
    <t>Indicator</t>
  </si>
  <si>
    <t>60-70</t>
  </si>
  <si>
    <t>70-80</t>
  </si>
  <si>
    <t>80-90</t>
  </si>
  <si>
    <t>Percentage Of Students</t>
  </si>
  <si>
    <t>Assessments</t>
  </si>
  <si>
    <t>Out Of</t>
  </si>
  <si>
    <t>This sheet has no functional purpose except to provide a place to keep track of what the assessments are and what the codes mean.</t>
  </si>
  <si>
    <t>Indicator Weight</t>
  </si>
  <si>
    <t>Final Contribution</t>
  </si>
  <si>
    <t>A1</t>
  </si>
  <si>
    <t>A2</t>
  </si>
  <si>
    <t>Q1-a</t>
  </si>
  <si>
    <t>Q1-b</t>
  </si>
  <si>
    <t>In SAMPLE 101, students were evaluated according to their performance on assignments, quizzes, a project, a mid-term, and a final exam.</t>
  </si>
  <si>
    <t>Course Name</t>
  </si>
  <si>
    <t>Score</t>
  </si>
  <si>
    <t>Department Code</t>
  </si>
  <si>
    <t xml:space="preserve">Course Information </t>
  </si>
  <si>
    <t>Course Number</t>
  </si>
  <si>
    <t>Instructor's Last Name</t>
  </si>
  <si>
    <t>Instructor's First Name</t>
  </si>
  <si>
    <t>Term</t>
  </si>
  <si>
    <t>Winter</t>
  </si>
  <si>
    <t xml:space="preserve">Spring </t>
  </si>
  <si>
    <t>Fall</t>
  </si>
  <si>
    <t>Year</t>
  </si>
  <si>
    <t>Cohort</t>
  </si>
  <si>
    <t xml:space="preserve">Type </t>
  </si>
  <si>
    <t>Core</t>
  </si>
  <si>
    <t>Elective</t>
  </si>
  <si>
    <t>Option</t>
  </si>
  <si>
    <t>test123</t>
  </si>
  <si>
    <t>abc</t>
  </si>
  <si>
    <t>def</t>
  </si>
  <si>
    <t>2A</t>
  </si>
  <si>
    <t>Type</t>
  </si>
  <si>
    <t>Problem Analysis</t>
  </si>
  <si>
    <t>Investigation</t>
  </si>
  <si>
    <t>Design</t>
  </si>
  <si>
    <t>Professionalism</t>
  </si>
  <si>
    <t>Q2-c</t>
  </si>
  <si>
    <t>Q2-d</t>
  </si>
  <si>
    <t>P1</t>
  </si>
  <si>
    <t>P2</t>
  </si>
  <si>
    <t>P3</t>
  </si>
  <si>
    <t>M1-a</t>
  </si>
  <si>
    <t>F-a</t>
  </si>
  <si>
    <t>F-b</t>
  </si>
  <si>
    <t>F-c</t>
  </si>
  <si>
    <t>Recognize and address uncertainty</t>
  </si>
  <si>
    <t>Diagnose search quality problems and suggest areas of engine improvement for future experiments</t>
  </si>
  <si>
    <t>Design and conduct an experiment to test a proposed system change</t>
  </si>
  <si>
    <t>Build relevant models that provide valuable insights for operational and/or strategic decision making</t>
  </si>
  <si>
    <t>Implement optimization approaches in real-life applications using different mathematical software (e.g. Matlab, Cplex, Gurobi, Lindo, Excel solver)</t>
  </si>
  <si>
    <t>Build database applications using the php programming language</t>
  </si>
  <si>
    <t>Comprehend the professional practice of engineering</t>
  </si>
  <si>
    <t>Assess risk and uncertainties associated with engineering economic decisions</t>
  </si>
  <si>
    <t>Select the most economical investment decision among several alternatives</t>
  </si>
  <si>
    <t xml:space="preserve">Course </t>
  </si>
  <si>
    <t xml:space="preserve">Time </t>
  </si>
  <si>
    <t xml:space="preserve">Indicator </t>
  </si>
  <si>
    <t>Prog. Level Indicator</t>
  </si>
  <si>
    <t>MSCI 100</t>
  </si>
  <si>
    <t>F16</t>
  </si>
  <si>
    <t>1A</t>
  </si>
  <si>
    <t>Communication</t>
  </si>
  <si>
    <t>MSCI 121</t>
  </si>
  <si>
    <t>W16</t>
  </si>
  <si>
    <t>1B</t>
  </si>
  <si>
    <t>MSCI 211</t>
  </si>
  <si>
    <t>S16</t>
  </si>
  <si>
    <t>2B</t>
  </si>
  <si>
    <t>MSCI 311</t>
  </si>
  <si>
    <t>3A</t>
  </si>
  <si>
    <t>Generate an organized and professional report with appropriate page length, section headings, and correct spelling and grammar</t>
  </si>
  <si>
    <t>MSCI 334</t>
  </si>
  <si>
    <t xml:space="preserve">Convey project findings through a clear and cohesive oral presentation </t>
  </si>
  <si>
    <t>MSCI 346</t>
  </si>
  <si>
    <t>Explain the design, components, and functionalities of a database system</t>
  </si>
  <si>
    <t xml:space="preserve">Generate a written report detailing the design explanation of a database </t>
  </si>
  <si>
    <t>MSCI 401</t>
  </si>
  <si>
    <t>4A</t>
  </si>
  <si>
    <t>Communicate design through a written report (style/format/clarity)</t>
  </si>
  <si>
    <t>Communicate design orally (clarity/audience consideration/Q&amp;A)</t>
  </si>
  <si>
    <t>Generate engineering documentation and data</t>
  </si>
  <si>
    <t>Communicate design to peers; provide and receive feedback</t>
  </si>
  <si>
    <t>MSCI 402</t>
  </si>
  <si>
    <t>4B</t>
  </si>
  <si>
    <t>Generate engineering documentation &amp; data</t>
  </si>
  <si>
    <t>Communicate design to the public at large</t>
  </si>
  <si>
    <t>MSCI 421</t>
  </si>
  <si>
    <t>Prepare and present a solution to a real-life problem in a video presentation</t>
  </si>
  <si>
    <t>Describe a solution to a real-life problem through a written report</t>
  </si>
  <si>
    <t>MSCI 431</t>
  </si>
  <si>
    <t>Generate a concise report that clearly explains technical material and uses correct spelling, grammar, punctuation, and sentence/paragraph structure</t>
  </si>
  <si>
    <t>MSCI 433</t>
  </si>
  <si>
    <t>Generate a written report outlining implications of proposed changes to a management engineering approach in a case study</t>
  </si>
  <si>
    <t>Present finalized work from the course project through an oral presentation</t>
  </si>
  <si>
    <t>MSCI 434</t>
  </si>
  <si>
    <t>MSCI 435</t>
  </si>
  <si>
    <t xml:space="preserve">Generate a clear and professional proposal and report including quantitative and qualitative methods </t>
  </si>
  <si>
    <t>MSCI 436</t>
  </si>
  <si>
    <t xml:space="preserve">Present information orally </t>
  </si>
  <si>
    <t>Write summaries of completed work</t>
  </si>
  <si>
    <t>Document and present solution</t>
  </si>
  <si>
    <t>Written work tone (moved from prof.)</t>
  </si>
  <si>
    <t>Quality and style of presentation</t>
  </si>
  <si>
    <t>MSCI 442</t>
  </si>
  <si>
    <t>Create a video presentation using techniques to convey an argument</t>
  </si>
  <si>
    <t>Generate questions that challenge and reflect a thorough understanding of the opposing argument</t>
  </si>
  <si>
    <t>Present well-constructed arguments using sound knowledge and evidence supporting the case</t>
  </si>
  <si>
    <t>MSCI 444</t>
  </si>
  <si>
    <t>Create clear and concise design documentation including the problem statement, constraints, scope, and appropriate graphical representations (e.g. diagrams)</t>
  </si>
  <si>
    <t xml:space="preserve">Demonstrate the functionality of a proposed model through a succinct oral presentation </t>
  </si>
  <si>
    <t>MSCI 454</t>
  </si>
  <si>
    <t xml:space="preserve">Provide constructive feedback to pitch makers </t>
  </si>
  <si>
    <t>Generate clear and well-written pitch feedback</t>
  </si>
  <si>
    <t>WKRPT 200</t>
  </si>
  <si>
    <t>Generate a professional report with correct formatting and appearance</t>
  </si>
  <si>
    <t>Generate a professional report with correct spelling, punctuation, and grammar</t>
  </si>
  <si>
    <t>Organize ideas and arguments in a logical manner</t>
  </si>
  <si>
    <t>Integrate and explain the use of graphical representations (e.g. plots, tables, scales) where appropriate</t>
  </si>
  <si>
    <t>WKRPT 300</t>
  </si>
  <si>
    <t>3B</t>
  </si>
  <si>
    <t>Generate a professional report with correct spelling</t>
  </si>
  <si>
    <t>Generate a professional report with correct grammar and punctuation</t>
  </si>
  <si>
    <t>WKRPT 400</t>
  </si>
  <si>
    <t>Create a decision support tool in Excel to help plan and execute projects</t>
  </si>
  <si>
    <t>Design robust and user-friendly computer programs using the fundamentals of Java language</t>
  </si>
  <si>
    <t>MSCI 131</t>
  </si>
  <si>
    <t>Apply analytical techniques to Design and improve methods and processes</t>
  </si>
  <si>
    <t>Apply analytical methods for Designing facilities including layout, storage/warehousing, and material handling systems</t>
  </si>
  <si>
    <t>MSCI 332</t>
  </si>
  <si>
    <t>Develop an exact or heuristic solution methodology to solve a model</t>
  </si>
  <si>
    <t>MSCI 333</t>
  </si>
  <si>
    <t>Design and build a simulation model</t>
  </si>
  <si>
    <t>Design near optimal forecasting methods</t>
  </si>
  <si>
    <t>Model or system Design for term project company</t>
  </si>
  <si>
    <t>MSCI 342</t>
  </si>
  <si>
    <t>Explain how to Design software systems for efficient construction by teams</t>
  </si>
  <si>
    <t>Design and construction of a complex software application</t>
  </si>
  <si>
    <t xml:space="preserve">Design and query relational databases using SQL </t>
  </si>
  <si>
    <t>Generate conceptual Design (Design concepts generation and evaluation)</t>
  </si>
  <si>
    <t>Generate preliminary Design</t>
  </si>
  <si>
    <t>Evaluate Design</t>
  </si>
  <si>
    <t>Generate detailed Design, justify decision points</t>
  </si>
  <si>
    <t>Verify Design meets specifications; evaluation of Design</t>
  </si>
  <si>
    <t>Develop an efficient and realistic stochastic model that addresses the needs of a real-life application</t>
  </si>
  <si>
    <t>Develop and propose practical approaches to solve management engineering problems in several areas</t>
  </si>
  <si>
    <t>Develop optimization models for a real-life scenario, based on given data and constraints</t>
  </si>
  <si>
    <t xml:space="preserve">Identify Design/solution requirements </t>
  </si>
  <si>
    <t xml:space="preserve">Identify Design approach for DSS or BI system </t>
  </si>
  <si>
    <t>Design and Develop a DSS or BI to solve a business problem</t>
  </si>
  <si>
    <t>Apply appropriate systems Design techniques in order to Design solutions that would address an organization's needs</t>
  </si>
  <si>
    <t>MSCI 446</t>
  </si>
  <si>
    <t>Design the characteristics of a product using the technology adoption life cycle</t>
  </si>
  <si>
    <t>MSCI 541</t>
  </si>
  <si>
    <t>Design and implement solution(s) to open-ended problems</t>
  </si>
  <si>
    <t>MSCI 261</t>
  </si>
  <si>
    <t>MSCI 263</t>
  </si>
  <si>
    <t>ME 219</t>
  </si>
  <si>
    <t>ME 235</t>
  </si>
  <si>
    <t>ME 250</t>
  </si>
  <si>
    <t>Understand the limitations of the property tables, ideal gas law and compressibility factor</t>
  </si>
  <si>
    <t>Apply Excel knowledge (e.g. forms, button, VBA) for business analytics and to optimize a decision support tool</t>
  </si>
  <si>
    <t>Prepare an Ishikawa cause and effect diagram to illustrate various effects</t>
  </si>
  <si>
    <t>Use the Processing IDE for writing and running Processing programs</t>
  </si>
  <si>
    <t>Use the Eclipse IDE for writing and running Java programs</t>
  </si>
  <si>
    <t>Develop a practical business plan</t>
  </si>
  <si>
    <t>MSCI 331</t>
  </si>
  <si>
    <t>Use Microsoft Excel to solve linear and integer programs</t>
  </si>
  <si>
    <t>Use statistical methods to find the type of distributions, estimate the parameters, and implement Goodness-of-fit test</t>
  </si>
  <si>
    <t>Use statistical methods in input and output analysis</t>
  </si>
  <si>
    <t>Develop a simulation program and show how statistics are collected in the simulation program using Arena software</t>
  </si>
  <si>
    <t>Use statistics to solve an open-ended management engineering problem</t>
  </si>
  <si>
    <t>Use optimization to solve an open-ended management enginering problem</t>
  </si>
  <si>
    <t>Use Excel to build forecasting models in solving open-ended problems</t>
  </si>
  <si>
    <t>Create a web application in PHP</t>
  </si>
  <si>
    <t>Demonstrate the use of a version control system</t>
  </si>
  <si>
    <t>Demostrate proper choice and use of data storage technologies</t>
  </si>
  <si>
    <t>Use the MySQL database management system</t>
  </si>
  <si>
    <t>Select, apply, and adapt engineering tools</t>
  </si>
  <si>
    <t>Develop a stochastic model using appropriate engineering tools (e.g. Excel, transition matrix, flowchart)</t>
  </si>
  <si>
    <t>Draw and support conclusions using engineering tools</t>
  </si>
  <si>
    <t>Select proper tools to analyze data</t>
  </si>
  <si>
    <t>Develop a DSS or BI system within Microsoft Office and VBA</t>
  </si>
  <si>
    <t>Integrate a collection of tools and methods to solve a problem</t>
  </si>
  <si>
    <t xml:space="preserve">Use software tools to implement and document design (e.g. Astah Professional) </t>
  </si>
  <si>
    <t>MSCI 452</t>
  </si>
  <si>
    <t>Build influence diagrams to solve real-life problems</t>
  </si>
  <si>
    <t>Build decision trees to solve real-life problems</t>
  </si>
  <si>
    <t>Apply engineering tools and techniques in practical problems</t>
  </si>
  <si>
    <t>Identify factors and behaviours that contribute to an equitable environment - diversity</t>
  </si>
  <si>
    <t>Identify ethical considerations, reflect on project's impact</t>
  </si>
  <si>
    <t>Impact on safety of all stakeholders. Identify and confirm to applicable standards &amp; regulations</t>
  </si>
  <si>
    <t>Identify Impact of the design on the environment</t>
  </si>
  <si>
    <t>Identify cultural and social Impact of the design</t>
  </si>
  <si>
    <t>MSCI 422</t>
  </si>
  <si>
    <t>Role of innovation on economic growth and development</t>
  </si>
  <si>
    <t>Describe the Impact of information technology in society with reference to potential future occupations</t>
  </si>
  <si>
    <t>Recognize that multiple perspectives on organizational, political, and social issues shape society and individual behaviour</t>
  </si>
  <si>
    <t xml:space="preserve">Gather, process and analyze real world problems related to energy balance and efficiency of piston-cylinder system, nozzles, diffuser, turbines, heat exchangers, heat pumps, heat engines and refrigerators, etc. </t>
  </si>
  <si>
    <t>Recognize and address the different behaviors of real substances (solid, liquid, vapor and mixtures) and ideal gases</t>
  </si>
  <si>
    <t>Synthesize information to reach mass and energy balance, thermal efficiency, and entropy transfer and increasing</t>
  </si>
  <si>
    <t>Collect and analyze real data sets (e.g. traffic activity, Case Day research)</t>
  </si>
  <si>
    <t>Read real-world data from a file and computing similarity index using Java</t>
  </si>
  <si>
    <t xml:space="preserve">Gather data related to time and motion study </t>
  </si>
  <si>
    <t>MSCI 240</t>
  </si>
  <si>
    <t>Empirically measure and analyze the efficiency of a computer program using both internal timings and a professional quality code profiler</t>
  </si>
  <si>
    <t>Implement data processing techniques (e.g. interviews) to gather necessary information for critiquing an organizational environment</t>
  </si>
  <si>
    <t>Diagnose and propose solution(s) and recommendation(s) for a real organization to improve their effectiveness</t>
  </si>
  <si>
    <t>Implement data processing techniques (e.g. interviews) to gather necessary information to critique an organizational environment</t>
  </si>
  <si>
    <t>Implement sensitivity analyses to account for uncertainties</t>
  </si>
  <si>
    <t>Collect data to determine or estimate the values of problem parameters</t>
  </si>
  <si>
    <t>Investigate costs and benefits in relation to the model of interest from simulation results</t>
  </si>
  <si>
    <t>Examine and implement mathematical/experimental/survey methodologies</t>
  </si>
  <si>
    <t>Verify and interpret results; recognize assumptions and limitations</t>
  </si>
  <si>
    <t>Examine &amp; implement mathematical/experimental/survey methodologies</t>
  </si>
  <si>
    <t>Verify and interpret results; recognize assumptions &amp; limitations</t>
  </si>
  <si>
    <t xml:space="preserve">Verify that activities in the information technology areas of organisations are aligned with business requirements </t>
  </si>
  <si>
    <t>Process Data/Clean Data</t>
  </si>
  <si>
    <t>Gather, process and analyze real world data sets</t>
  </si>
  <si>
    <t>Analyze research issues in information technology in society</t>
  </si>
  <si>
    <t>Gather and analyze information pertaining to user requirements</t>
  </si>
  <si>
    <t>Gather information about the product, market, process and strategy</t>
  </si>
  <si>
    <t>CHE 102</t>
  </si>
  <si>
    <t>Explain the behaviour of ideal systems (including different states of matter, physical and chemical equilibrium and reaction kinetics) in terms of the molecular nature of matter</t>
  </si>
  <si>
    <t>Write balanced chemical reactions and perform stoichiometric calculations</t>
  </si>
  <si>
    <t>MATH 115</t>
  </si>
  <si>
    <t>Recognize vectors, lines, and planes and their related charactristics such as intersections</t>
  </si>
  <si>
    <t>Identify solution methodologies to solve systems of linear equations</t>
  </si>
  <si>
    <t>Recognize the link between matrices and linear mappings</t>
  </si>
  <si>
    <t>Identify complex numbers and their difference from real numbers</t>
  </si>
  <si>
    <t>Recognize the concepts of linear independence, spanning, subspace, and bases</t>
  </si>
  <si>
    <t>MATH 116</t>
  </si>
  <si>
    <t>Use differentiation to solve a variety of application problems including curve sketching, related rates, and optimization problems</t>
  </si>
  <si>
    <t>Use integration to solve a variety of application problems including average value of a function, areas under and between curves, and volumes of revolution</t>
  </si>
  <si>
    <t>Use trigonometric, exponential, and logarithmic functions to solve a variety of problems</t>
  </si>
  <si>
    <t>MATH 118</t>
  </si>
  <si>
    <t>Select an appropriate integration technique and apply it to solve indefinite or definite integrals</t>
  </si>
  <si>
    <t>Select an appropriate series test to determine if an infinite series is convergent or divergent</t>
  </si>
  <si>
    <t>Find a power series representation of a function and find a closed form for a function represented by a power series</t>
  </si>
  <si>
    <t>Recognize and apply Ordinary Differential Equations (ODE) to solve a problem</t>
  </si>
  <si>
    <t>Recognize and apply Parametic and Polar coordinates to solve a problem</t>
  </si>
  <si>
    <t>Proofs for convergence of sequences</t>
  </si>
  <si>
    <t>Recognize and describe the concepts of equilibrium/force analysis</t>
  </si>
  <si>
    <t>Recognize and describe simple loading cases (axial, torsion, and bending) and associate them with corresponding simple structures (trusses, struts/rods, shafts, beams)</t>
  </si>
  <si>
    <t>Recognize the key elements of materials' properties</t>
  </si>
  <si>
    <t>Define basic treatments of materials and comprehend their effect on mechnical propertirs</t>
  </si>
  <si>
    <t>Identify substances of thermodynamic significance and distinguish between the types of energy and their transformation</t>
  </si>
  <si>
    <t>Understand the concept of balance in relation to mass (conservation of mass) and energy (1st Law of Thermodynamics)</t>
  </si>
  <si>
    <t>Understand the concept of entropy (2nd Law of Thermodynamics)</t>
  </si>
  <si>
    <t>Identify the differences and relationship between efficiency and effectiveness</t>
  </si>
  <si>
    <t>Recognize Ishikawa cause and effect diagram</t>
  </si>
  <si>
    <t>Describe the functions of a decision support tool</t>
  </si>
  <si>
    <t>Recognize how programs are written and compiled.</t>
  </si>
  <si>
    <t>Boolean logic and conditionals</t>
  </si>
  <si>
    <t>Primitive Data and loops</t>
  </si>
  <si>
    <t>Program Logic, Methods, Parameters</t>
  </si>
  <si>
    <t>Arrays and array traversal</t>
  </si>
  <si>
    <t>User input through console and files</t>
  </si>
  <si>
    <t>Recognize the key elements of object oriented programming using Java</t>
  </si>
  <si>
    <t>Recognize work design principles</t>
  </si>
  <si>
    <t>Identify time study and work measurement techniques</t>
  </si>
  <si>
    <t>Define objectives for facilities planning</t>
  </si>
  <si>
    <t>Identify the basic concepts and theories of organizational behaviour in the workplace (e.g. perception, personality, emotions, values, diversity, motivation, groups and teamwork)</t>
  </si>
  <si>
    <t>Recognize the role and impact of effective interaction, organizational vision, and organizational structure in the workplace</t>
  </si>
  <si>
    <t>Use abstraction to separate interface from implementation as demonstrated by implementing abstract data types as Java objects</t>
  </si>
  <si>
    <t>Recognize algorithmic complexity of operations given the data structure and algorithm and knowledge of the tradeoffs in time, space, implementation and maintenance</t>
  </si>
  <si>
    <t>MSCI 252</t>
  </si>
  <si>
    <t>Recognize data description, counting, probability, and random variables</t>
  </si>
  <si>
    <t>Identify different discrete probability distributions</t>
  </si>
  <si>
    <t>Identify sampling and different continuous probability distributions</t>
  </si>
  <si>
    <t>Identify test of hypothesis and regression</t>
  </si>
  <si>
    <t>Recognize the impact of interest rate in financial calculations</t>
  </si>
  <si>
    <t>Recognize the impact of taxation in making engineering economics decisions</t>
  </si>
  <si>
    <t>Recognize the impact of inflation in making engineering economics decisions</t>
  </si>
  <si>
    <t>Explain components of financial statements and use them in investment decisions</t>
  </si>
  <si>
    <t>Develop an understanding of how consumers make decisions and how individuals' decisions relate to market demand for products</t>
  </si>
  <si>
    <t>Develop an understanding of firms' strategic decisions regarding production, pricing, market entry and exit</t>
  </si>
  <si>
    <t>Develop an understanding of different market concentrations and how firms' decisions regarding pricing and production depend on competition</t>
  </si>
  <si>
    <t xml:space="preserve">Identify the main elements of organizational goals and effectiveness </t>
  </si>
  <si>
    <t xml:space="preserve">Identify the main elements of organizational structure and design </t>
  </si>
  <si>
    <t xml:space="preserve">Describe organization-environment interactions </t>
  </si>
  <si>
    <t xml:space="preserve">Recognize the organizational effects of technology </t>
  </si>
  <si>
    <t>Formulate linear and integer programs to model real-life problems</t>
  </si>
  <si>
    <t>Recognize the major capabilities and limitations of deterministic optimization models and methods as applied to Management Engineering decision problems</t>
  </si>
  <si>
    <t>Build a broad understanding of mathematical models and their application context</t>
  </si>
  <si>
    <t xml:space="preserve">Identify probability distributions </t>
  </si>
  <si>
    <t>Identify performance measures and necessary notation</t>
  </si>
  <si>
    <t>Recognize deterministic inventory models and apply appropriate inventory models for different situations</t>
  </si>
  <si>
    <t>Recognize stochastic inventory models and apply appropriate inventory models for different situations</t>
  </si>
  <si>
    <t>Identify basic forecasting models and choose appropriate forecasting model for different situations</t>
  </si>
  <si>
    <t>Recognize the appopriate calculation for indepandent and dependant demand in MRP</t>
  </si>
  <si>
    <t xml:space="preserve">Recognize production planning and scheduling and identify the strengths and weaknesses of each supply chain </t>
  </si>
  <si>
    <t>Describe the key principles behind process methodologies (waterfall, agile, scrum, kanban)</t>
  </si>
  <si>
    <t>Demonstrate how to test software</t>
  </si>
  <si>
    <t>Model data using Entity-Relationship (ER) diagrams</t>
  </si>
  <si>
    <t>Identify the relationship between technology and business performance</t>
  </si>
  <si>
    <t>Understand the basics of technological changes and innovation</t>
  </si>
  <si>
    <t>Recognize the sources of innovation</t>
  </si>
  <si>
    <t>Recognize the role of intellectual property rights on technological changes</t>
  </si>
  <si>
    <t>Describe the key elements of Probability Theory</t>
  </si>
  <si>
    <t>Describe Stochastic and Markov Processes</t>
  </si>
  <si>
    <t>Identify the components of Queuing Theory, Reliability, Inventory Theory</t>
  </si>
  <si>
    <t>Identify and describe applications of management enginering concepts in a variety of areas (e.g. finance, power systems and markets, airline operations, sustainability, health care)</t>
  </si>
  <si>
    <t>Discuss the role of pricing and revenue managemnent in profit maximization</t>
  </si>
  <si>
    <t xml:space="preserve">Recognize the role of DRP in supply chain management </t>
  </si>
  <si>
    <t xml:space="preserve">Recognize the characteristics of different modes of transportation </t>
  </si>
  <si>
    <t xml:space="preserve">Recognize models and heuristics for vehicle routing </t>
  </si>
  <si>
    <t xml:space="preserve">Recognize the appropriate model for supply chain design </t>
  </si>
  <si>
    <t xml:space="preserve">Recognize the strengths and weaknesses of several forms of supply chain contracts </t>
  </si>
  <si>
    <t>Identify the fundamental elements of models and analytical tools which may aid decision making in logistics</t>
  </si>
  <si>
    <t>Recognize mathematical programming models (MIP, NLP)</t>
  </si>
  <si>
    <t>Recognize optimization methodologies to solve mathematical prog. Models</t>
  </si>
  <si>
    <t>Recognize the difference between decision support systems and business intelligence</t>
  </si>
  <si>
    <t>Recognize the methods, processes, and tools available to design, deploy and sustain a DSS or BI system</t>
  </si>
  <si>
    <t>Identify the role(s) of information technology in society in a number of different fields</t>
  </si>
  <si>
    <t>Identify the key principles, philosophies, and practices behind methodologies (e.g. structured and agile)</t>
  </si>
  <si>
    <t xml:space="preserve">Explain the advantages and disadvantages of information system design techniques and methodologies </t>
  </si>
  <si>
    <t>Recognize the key elements of Data mining algorithms</t>
  </si>
  <si>
    <t>Develop a strong understanding of decision trees</t>
  </si>
  <si>
    <t>Develop a strong understanding of Bayes Theorem and Bayesian revision</t>
  </si>
  <si>
    <t>Recognize value of information</t>
  </si>
  <si>
    <t>Recognize basic utility theory and utility functions</t>
  </si>
  <si>
    <t>Recognize multi-attribute decision making</t>
  </si>
  <si>
    <t>Formulate an initial business pitch including a concise description of the concept and potential market and/or consumer</t>
  </si>
  <si>
    <t>Identify and follow the steps involved in the Lean Startup process to develop a technology business</t>
  </si>
  <si>
    <t>Recognize the components of a business plan</t>
  </si>
  <si>
    <t>Identify and explain the operation of the key components of a search engine</t>
  </si>
  <si>
    <t>MSCI 555</t>
  </si>
  <si>
    <t>Identify project menagement concepts [Critical Path Method (CPM), Program Evaluation and Review Technique (PERT), Time/Cost Tradeoff]</t>
  </si>
  <si>
    <t>Recognize Scheduling concepts and methodologies [Dispatch Rules and Shifting Bottleneck, Mixed Integer Programming (MIP), Constraint Programming, Local Search, Timetabling]</t>
  </si>
  <si>
    <t>PHYS 125</t>
  </si>
  <si>
    <t>Identify and solve problems related to "Harmonic Motions"</t>
  </si>
  <si>
    <t>Identify and solve problems related to "Waves and Sound"</t>
  </si>
  <si>
    <t>Identify and solve problems related to "Optics"</t>
  </si>
  <si>
    <t>Identify and solve problems related to "Modern Physics"</t>
  </si>
  <si>
    <t>Self-guided problem solving</t>
  </si>
  <si>
    <t>Evaluate what is known and what is not known</t>
  </si>
  <si>
    <t>Comprehend and apply new knowledge</t>
  </si>
  <si>
    <t>Evaluate effectiveness of knowledge application (lessons learned)</t>
  </si>
  <si>
    <t>Adapt to changing circumstances</t>
  </si>
  <si>
    <t>Apply the Ideal Gas Law while appreciating the limitations of this law</t>
  </si>
  <si>
    <t>Identify which principles of physical chemistry are relevant to the analysis of problems involving physical and chemical equilibrium and rates of reaction</t>
  </si>
  <si>
    <t>Select and apply an appropriate law to solve problems described above and explain his/her reasoning to others in theh field of chemistry and/or chemical engineering</t>
  </si>
  <si>
    <t>Solve systems of linear equations using matrices and inverse matrices</t>
  </si>
  <si>
    <t>Solve Geometrical problems, using Matrix charactristics</t>
  </si>
  <si>
    <t>Apply certain linear mappings to solve problems</t>
  </si>
  <si>
    <t>Design, model, and evaluate a simple structure</t>
  </si>
  <si>
    <t xml:space="preserve">Apply equilibrium equations to analyze simple problems and solve for unknowns </t>
  </si>
  <si>
    <t>Formulate and solve problems involving axial, torsion, and bending stresses</t>
  </si>
  <si>
    <t>Formulate and solve problems involving beams, shafts, trusses, and struts</t>
  </si>
  <si>
    <t>Measure the mechanical properties of materials</t>
  </si>
  <si>
    <t>Differentiate between between different materials used in engineering design</t>
  </si>
  <si>
    <t>Select a dimension range for safet and boundary requirements</t>
  </si>
  <si>
    <t xml:space="preserve">Formulate a general thermodynamic problem statement by identifying approximations, assumptions and constraints </t>
  </si>
  <si>
    <t>Solve open ended problems of moderate complexity related to conservation of mass and energy in closed and open systems</t>
  </si>
  <si>
    <t>Evaluate solutions by checking on unit homogeneity and increasing of entropy principle (2nd law)</t>
  </si>
  <si>
    <t>Approach and analyze processes</t>
  </si>
  <si>
    <t>Conduct requirements analysis</t>
  </si>
  <si>
    <t>Express algorithms in pseudo-code and be able to trace the execution of computer code by hand</t>
  </si>
  <si>
    <t>Deconstruct a problem into manageable sizes and implement a solution using a Java program</t>
  </si>
  <si>
    <t>Identify error(s) in a given code and debug</t>
  </si>
  <si>
    <t>Analyze and interpret data and charts for work design and facilities planning</t>
  </si>
  <si>
    <t>Apply time study and work measurement techniques</t>
  </si>
  <si>
    <t xml:space="preserve">Generate and evaluate alternatives for facilities planning </t>
  </si>
  <si>
    <t>Apply organizational behaviour theories in analyzing a live organization to identify its problems and viable solutions</t>
  </si>
  <si>
    <t>Analyze algorithms and predict their ability to scale with increasing input sizes</t>
  </si>
  <si>
    <t>Select appropriate data structures and algorithms for programming tasks</t>
  </si>
  <si>
    <t>Apply properties of probability distributions to solve various problems</t>
  </si>
  <si>
    <t>Deduce managerial insights based on the applications of basic concepts of probability</t>
  </si>
  <si>
    <t>Interpret the outcomes of statistical tests</t>
  </si>
  <si>
    <t>Implement and make decisions based on basic statistical analysis</t>
  </si>
  <si>
    <t>Apply basic financial calculations, useful in personal life and business</t>
  </si>
  <si>
    <t>Analyze how consumers' decisions relate to market demand for products</t>
  </si>
  <si>
    <t>Evaluate firms' strategic decisions regarding production, pricing, market entry and exit</t>
  </si>
  <si>
    <t>Analyze different market concentrations and how firms' decisions regarding pricing and production depend on competition</t>
  </si>
  <si>
    <t xml:space="preserve">Diagnose and analyze key elements of organizational ineffectiveness </t>
  </si>
  <si>
    <t>Solve linear programs using the graphical solution and simplex methods</t>
  </si>
  <si>
    <t>Formulate and interpret the dual of a linear program</t>
  </si>
  <si>
    <t>Formulate deterministic optimization models: objectives, decisions and constraints</t>
  </si>
  <si>
    <t>Describe the theory behind available solution methods and apply exact and heuristic algorithms</t>
  </si>
  <si>
    <t>Describe a problem related to deterministic optimization by placing it in its general context and framework</t>
  </si>
  <si>
    <t>Compare and contrast solutions by assessing the validity of proposed solutions</t>
  </si>
  <si>
    <t>Justify the simulation model by using any method(s)</t>
  </si>
  <si>
    <t>Carry out and a thorough analysis of the performance measurements of interest (which may include the construction of a confidence interval and/or comparison of different models)</t>
  </si>
  <si>
    <t>Formulate and solve open-ended problems with moderate complexity</t>
  </si>
  <si>
    <t>Recommend strategies for operations managers to pursue based upon qualitative and quantitative analysis of realistic case studies</t>
  </si>
  <si>
    <t>Identify the scope and vision of a client's problem</t>
  </si>
  <si>
    <t>Outline the requirements of a customer's problem (user stories, software requirements specification)</t>
  </si>
  <si>
    <t>Solve an actual problem to the best extent possible within a time constraint</t>
  </si>
  <si>
    <t>Analyze the quality of the solution via acceptance testing, data driven decisions, and A/B testing</t>
  </si>
  <si>
    <t>Simulate a requirement analysis by creating ER tables and considering constraints</t>
  </si>
  <si>
    <t>Identify the need, benchmarks, requirements, objective, specifications, and scope</t>
  </si>
  <si>
    <t>Research existing solutions (literature/patent research) and conduct competitive analysis</t>
  </si>
  <si>
    <t>Identify need, benchmarks, requirements, objective, specifications</t>
  </si>
  <si>
    <t>Generate criteria and design concepts, justify solution</t>
  </si>
  <si>
    <t>Recommend a solution for a given real-world problem and explain how the proposed solution can benefit the business</t>
  </si>
  <si>
    <t>Apply basic concepts to the real world problems</t>
  </si>
  <si>
    <t>Relate polices issues to economic concepts</t>
  </si>
  <si>
    <t xml:space="preserve">Critique and propose areas of improvement for the MC-model by addressing weak points and unrealistic issues </t>
  </si>
  <si>
    <t>Analyze and critique the management engineering approaches used by practitioners to address real-life situations</t>
  </si>
  <si>
    <t>Replicate results and extend the work on a study by changing the assumptions and/or modeling the framework</t>
  </si>
  <si>
    <t>Solve vehicle routing problems using appropriate heuristics</t>
  </si>
  <si>
    <t>Use DRP to manage and control inventories and flows between echelons</t>
  </si>
  <si>
    <t xml:space="preserve">Model MIP and NLP optimization problems </t>
  </si>
  <si>
    <t xml:space="preserve">Solve open ended optimization problems using different methodologies </t>
  </si>
  <si>
    <t>Break down complex business problems into their parts (project presentation)</t>
  </si>
  <si>
    <t>Identify Problem Requirements  (project presentation)</t>
  </si>
  <si>
    <t>Identify what parts of a problem may be addressed using a computer solution (presentation)</t>
  </si>
  <si>
    <t>Identify and explain the advantages of a particular information technology case in society</t>
  </si>
  <si>
    <t>Identify and explain the drawbacks of a particular information technology case in society</t>
  </si>
  <si>
    <t>Synthesize 'for' and 'against' cases and highlight the strengths and weaknesses of these beliefs</t>
  </si>
  <si>
    <t>Apply systems analysis methodology techniques for addressing the identified problem</t>
  </si>
  <si>
    <t>Identify inefficiences in how an organization performs tasks</t>
  </si>
  <si>
    <t xml:space="preserve">Identify the nature and scope of a suitable problem </t>
  </si>
  <si>
    <t xml:space="preserve">Apply data mining algorithms in realistic problems </t>
  </si>
  <si>
    <t>Identify the shortfalls of various decision criteria</t>
  </si>
  <si>
    <t>Discuss scoring rules and biases in decision making</t>
  </si>
  <si>
    <t xml:space="preserve">Analyze the value proposition </t>
  </si>
  <si>
    <t xml:space="preserve">Analyze the market </t>
  </si>
  <si>
    <t>Analyze the product characteristics</t>
  </si>
  <si>
    <t>Implement and compute offline effectiveness measures using a custom or existing test collection</t>
  </si>
  <si>
    <t>Make and justify decisions based on the outcome of experiments (using statistics)</t>
  </si>
  <si>
    <t>Apply scheduling concepts in different applications (sports, workforce, healthcare, queuing)</t>
  </si>
  <si>
    <t>Analyze operations-level real data to identify potential weaknesses and limitations of a schedule</t>
  </si>
  <si>
    <t>Analyze uncertainties in systems</t>
  </si>
  <si>
    <t>Select and apply an optimal scheduling algorithm for addressing a problem</t>
  </si>
  <si>
    <t>Analyze and deconstruct the problem</t>
  </si>
  <si>
    <t>Convert a physical situation into a mathematical model</t>
  </si>
  <si>
    <t xml:space="preserve">Identify and formulate the problem definition </t>
  </si>
  <si>
    <t xml:space="preserve">Analyze the economical value and significance of their contribution </t>
  </si>
  <si>
    <t>Recommend new solution(s), methodologies, and/or future steps</t>
  </si>
  <si>
    <t>Be courteous, engaged, attentive, and professional</t>
  </si>
  <si>
    <t>Be curteous, attentive, and professional</t>
  </si>
  <si>
    <t>Manage and resolve conflicts with regard to team work</t>
  </si>
  <si>
    <t>Contribute to a team as an effective member by following the roles and responsibilities as assigned and agreed upon amongst the team</t>
  </si>
  <si>
    <t>Develop interpersonal skills by working with others in teams and gain deeper understanding of team process</t>
  </si>
  <si>
    <t>Work efficiently as a team producing software</t>
  </si>
  <si>
    <t>Manage tasks and respond to changes in team processes</t>
  </si>
  <si>
    <t>Assign tasks and allocate resources (tall pole, Gantt)</t>
  </si>
  <si>
    <t>Apply strategies for addressing people and team issues (Bozo bit, upward management)</t>
  </si>
  <si>
    <t>Reflect on team behaviour qualities</t>
  </si>
  <si>
    <t>Be able to provide high quality feedback to teammates</t>
  </si>
  <si>
    <t>Problem solving and individual contribution to the team</t>
  </si>
  <si>
    <t>Collaboration</t>
  </si>
  <si>
    <t>Focus and punctuality</t>
  </si>
  <si>
    <t>Leadership</t>
  </si>
  <si>
    <t>Perseverance</t>
  </si>
  <si>
    <t>Contribute to the team</t>
  </si>
  <si>
    <t>Collaborate with other team members</t>
  </si>
  <si>
    <t>Illustrate Focus &amp; punctuality in meetings</t>
  </si>
  <si>
    <t>Communicate with team members</t>
  </si>
  <si>
    <t>Demonstrate leadership abilities</t>
  </si>
  <si>
    <t>Show perseverance</t>
  </si>
  <si>
    <t>Work constructively in a team</t>
  </si>
  <si>
    <t>a</t>
  </si>
  <si>
    <t>b</t>
  </si>
  <si>
    <t>c</t>
  </si>
  <si>
    <t>Crs-Level Indicator</t>
  </si>
  <si>
    <t>Prog-Level Indicator</t>
  </si>
  <si>
    <t>Prog. Indicator</t>
  </si>
  <si>
    <r>
      <t xml:space="preserve">Student ID </t>
    </r>
    <r>
      <rPr>
        <b/>
        <sz val="11"/>
        <color theme="1"/>
        <rFont val="Wingdings"/>
        <charset val="2"/>
      </rPr>
      <t>â</t>
    </r>
  </si>
  <si>
    <t>Code</t>
  </si>
  <si>
    <t xml:space="preserve">Assignment 1: write and debug Processing and Java code </t>
  </si>
  <si>
    <t>Assignment 2: solve problems and work with user input and files</t>
  </si>
  <si>
    <t>Quiz 1, Question a: operations analysis</t>
  </si>
  <si>
    <t>Quiz 1, Question b: motion study and work design</t>
  </si>
  <si>
    <t>Quiz 2, Question c: time study</t>
  </si>
  <si>
    <t>Quiz 2, Question d: layout design and material handling</t>
  </si>
  <si>
    <t>Part 1: analyze a prototype information system using a case study</t>
  </si>
  <si>
    <t>Part 2: design an information system based upon foundations of application development</t>
  </si>
  <si>
    <t xml:space="preserve">Part 3: write a final report detailing the progress of the project </t>
  </si>
  <si>
    <t>Knowledge Base</t>
  </si>
  <si>
    <t>Use of Engineering Tools</t>
  </si>
  <si>
    <t>Individual and Team Work</t>
  </si>
  <si>
    <t>Communication Skills</t>
  </si>
  <si>
    <t>Impact On Society</t>
  </si>
  <si>
    <t>Ethics and Equity</t>
  </si>
  <si>
    <t>Economics and Project Management</t>
  </si>
  <si>
    <t>Life Long Learning</t>
  </si>
  <si>
    <t>M2-a</t>
  </si>
  <si>
    <t>MSCI</t>
  </si>
  <si>
    <t>PLI</t>
  </si>
  <si>
    <t># PLI</t>
  </si>
  <si>
    <t>Sub# PLI</t>
  </si>
  <si>
    <t>1a</t>
  </si>
  <si>
    <t>1b</t>
  </si>
  <si>
    <t>1c</t>
  </si>
  <si>
    <t>1d</t>
  </si>
  <si>
    <t>10a</t>
  </si>
  <si>
    <t>10c</t>
  </si>
  <si>
    <t>Apply project management knowledge, tools, and techniques</t>
  </si>
  <si>
    <t>11a</t>
  </si>
  <si>
    <t>Apply risk management knowledge, tools, and techniques</t>
  </si>
  <si>
    <t>Apply risk management knowledge. Tools, and techniques</t>
  </si>
  <si>
    <t>Identify risks and constraints associated with the practice of management engineering</t>
  </si>
  <si>
    <t>Comprehend economics</t>
  </si>
  <si>
    <t>11b</t>
  </si>
  <si>
    <t>Develop a fundamental understanding of economics in the context of markets</t>
  </si>
  <si>
    <t>12a</t>
  </si>
  <si>
    <t>12b</t>
  </si>
  <si>
    <t>12c</t>
  </si>
  <si>
    <t>2a</t>
  </si>
  <si>
    <t>2b</t>
  </si>
  <si>
    <t>2c</t>
  </si>
  <si>
    <t>9a</t>
  </si>
  <si>
    <t>3a</t>
  </si>
  <si>
    <t>3b</t>
  </si>
  <si>
    <t>3c</t>
  </si>
  <si>
    <t>4a</t>
  </si>
  <si>
    <t>4b</t>
  </si>
  <si>
    <t>4c</t>
  </si>
  <si>
    <t>5a</t>
  </si>
  <si>
    <t>Select the appropriate engineering tools such as thermodynamic property tables and mass and energy conservation equations</t>
  </si>
  <si>
    <t>5b</t>
  </si>
  <si>
    <t>Use/modify appropriate equations for ideal gases and practical gases</t>
  </si>
  <si>
    <t>Implement CES materials selsction softwate for materials selection</t>
  </si>
  <si>
    <t>Use Instorn testing meachine for mechanical propreties prediction</t>
  </si>
  <si>
    <t>5c</t>
  </si>
  <si>
    <t>Construct efficient Free Body Diagrams (FBD)</t>
  </si>
  <si>
    <t>6a</t>
  </si>
  <si>
    <t>6b</t>
  </si>
  <si>
    <t>7b</t>
  </si>
  <si>
    <t>Communicate design through the poster format (layout/visual aids/tables/figures)</t>
  </si>
  <si>
    <t>7a</t>
  </si>
  <si>
    <t>Communicate the findings from the term project through an oral presentation (criteria include quality of slides, responses to audience, etc.)</t>
  </si>
  <si>
    <t>Create Audio/Visual Presentations</t>
  </si>
  <si>
    <t>Deliver an oral presentation outlining recommendations based on a thorough analysis of a real case</t>
  </si>
  <si>
    <t>Prepare well-organized presentations that convey information effectively</t>
  </si>
  <si>
    <t xml:space="preserve">Present a newly created website using a database backend through a lab demonstration </t>
  </si>
  <si>
    <t>Assignment report style, format, clarity</t>
  </si>
  <si>
    <t>Describe the process and/or strategy for writing a code that addresses a problem</t>
  </si>
  <si>
    <t>Generate a project log, activity tracking report, and project report following the work term report guidelines</t>
  </si>
  <si>
    <t>Generate professional written reports using correct formatting, spelling, and grammar</t>
  </si>
  <si>
    <t>Provide an overview of research findings in the project plan</t>
  </si>
  <si>
    <t xml:space="preserve">Write a report on recommendations that follows accurate and sophisticated writing conventions (e.g. structured arguments, spelling/grammar) </t>
  </si>
  <si>
    <t>7c</t>
  </si>
  <si>
    <t>Critique design processes and approaches and provide a rationale for a chosen design</t>
  </si>
  <si>
    <t>Provide individual feedback on initial project presentations</t>
  </si>
  <si>
    <t>8a</t>
  </si>
  <si>
    <t>Demonstrate understanding of mathematics</t>
  </si>
  <si>
    <t>Demonstrate understanding of natural sciences</t>
  </si>
  <si>
    <t>Demonstrate understanding of engineering fundamentals</t>
  </si>
  <si>
    <t xml:space="preserve">Problem Analysis </t>
  </si>
  <si>
    <t>Individual and team work</t>
  </si>
  <si>
    <t>Impact of engineering</t>
  </si>
  <si>
    <t>Ethics and equity</t>
  </si>
  <si>
    <t>Economics and project management</t>
  </si>
  <si>
    <t>Life-long learning</t>
  </si>
  <si>
    <t>d</t>
  </si>
  <si>
    <t>Identify ethical and unethical behaviour in professional situations</t>
  </si>
  <si>
    <t>Identify equitable and inequitable situations or behaviours</t>
  </si>
  <si>
    <t>Apply project management techniques in engineering projects, with attention to risk, and change</t>
  </si>
  <si>
    <t>Obtain and evaluate information or training from appropriate sources</t>
  </si>
  <si>
    <t>Identify / define a problem</t>
  </si>
  <si>
    <t>Identify the relevance of and uncertainty associated with the different aspects (social, cultural, economic, health, safety, legal, environmental) of an engineering project</t>
  </si>
  <si>
    <t>Identify critical issues of complex engineering problems to form testable hypotheses and design experiments.</t>
  </si>
  <si>
    <t>Conduct experiments and gather and process data.</t>
  </si>
  <si>
    <t>Follow an engineering design methodology</t>
  </si>
  <si>
    <t>Generate and implement solutions to complex open-ended problems</t>
  </si>
  <si>
    <t>Modify and/or create appropriate engineering tools, identifying their limitations</t>
  </si>
  <si>
    <t>Use appropriate engineering tools</t>
  </si>
  <si>
    <t>Contribute as an active team member or leader to complete individual tasks</t>
  </si>
  <si>
    <t>Orally present information within the profession and to society at large</t>
  </si>
  <si>
    <t>Articulate the roles and responsibilities of the professional engineer in society with reference to the protection of the public and its interest</t>
  </si>
  <si>
    <r>
      <t xml:space="preserve">Users: Your continued feedback and suggestions are greatly appreciated. If you make any derivatives or improvements to the workbook, please kindly share a copy with us (at mpirnia@uwaterloo.ca, kmckay@uwaterloo.ca). We would also request that if you reference the workbook, it should be noted that the workbook is </t>
    </r>
    <r>
      <rPr>
        <u/>
        <sz val="9"/>
        <color rgb="FF000000"/>
        <rFont val="Tahoma"/>
        <family val="2"/>
      </rPr>
      <t>copyright Kenneth N. McKay and provided courtesy of the Department of Management Sciences, Faculty of Engineering, University of Waterloo</t>
    </r>
    <r>
      <rPr>
        <sz val="9"/>
        <color rgb="FF000000"/>
        <rFont val="Tahoma"/>
        <family val="2"/>
      </rPr>
      <t>. Please note that this product is provided “As Is” without any implicit or explicit warranties.</t>
    </r>
  </si>
  <si>
    <t>Assessment</t>
  </si>
  <si>
    <t>Course</t>
  </si>
  <si>
    <t>Name</t>
  </si>
  <si>
    <t xml:space="preserve">Chemistry for Engineers </t>
  </si>
  <si>
    <t>MSCI 343</t>
  </si>
  <si>
    <t xml:space="preserve">Human-Computer Interaction </t>
  </si>
  <si>
    <t xml:space="preserve">Management Engineering Concepts </t>
  </si>
  <si>
    <t>Applications of Management Engineering</t>
  </si>
  <si>
    <t xml:space="preserve">Linear Algebra for Engineering </t>
  </si>
  <si>
    <t>Advanced Optimization Techniques</t>
  </si>
  <si>
    <t xml:space="preserve">Calculus 1 for Engineering </t>
  </si>
  <si>
    <t xml:space="preserve">Decision Support Systems </t>
  </si>
  <si>
    <t>PHYS 115</t>
  </si>
  <si>
    <t xml:space="preserve">Mechanics </t>
  </si>
  <si>
    <t xml:space="preserve">Data Warehousing and Mining </t>
  </si>
  <si>
    <t>MSCI 100B</t>
  </si>
  <si>
    <t>Seminar</t>
  </si>
  <si>
    <t>Decision Making Under Uncertainty</t>
  </si>
  <si>
    <t>GENE 123</t>
  </si>
  <si>
    <t xml:space="preserve">Electrical Circuits and Instrumentation </t>
  </si>
  <si>
    <t>MSCI 531</t>
  </si>
  <si>
    <t>Stochastic Processes and Decision Making</t>
  </si>
  <si>
    <t>Introduction to Computer Programming</t>
  </si>
  <si>
    <t>Information Retrieval Systems</t>
  </si>
  <si>
    <t>Work Design and Facilities Planning</t>
  </si>
  <si>
    <t>MSCI 551</t>
  </si>
  <si>
    <t>Quality Management and Control</t>
  </si>
  <si>
    <t xml:space="preserve">Engineering Economics: Financial Management for Engineers </t>
  </si>
  <si>
    <t>Scheduling: Theory and Practice</t>
  </si>
  <si>
    <t xml:space="preserve">Calculus 2 for Engineering </t>
  </si>
  <si>
    <t>MSCI 599</t>
  </si>
  <si>
    <t>Special Topics in Management Engineering Design</t>
  </si>
  <si>
    <t>Physics for Engineers</t>
  </si>
  <si>
    <t>CHE 211</t>
  </si>
  <si>
    <t>Fluid Mechanics</t>
  </si>
  <si>
    <t>MSCI 200A</t>
  </si>
  <si>
    <t>CHE 572</t>
  </si>
  <si>
    <t xml:space="preserve">Air Pollution Control </t>
  </si>
  <si>
    <t>Algorithms and Data Structures</t>
  </si>
  <si>
    <t>CHE 574</t>
  </si>
  <si>
    <t xml:space="preserve">Industrial Wastewater Pollution Control </t>
  </si>
  <si>
    <t>MSCI 262</t>
  </si>
  <si>
    <t>Managerial and Cost Accounting</t>
  </si>
  <si>
    <t>CIVE 230</t>
  </si>
  <si>
    <t xml:space="preserve">Engineering and Sustainable Development </t>
  </si>
  <si>
    <t>MSCI 271</t>
  </si>
  <si>
    <t>Advanced Calculus and Numerical Methods</t>
  </si>
  <si>
    <t>CIVE 343</t>
  </si>
  <si>
    <t xml:space="preserve">Traffic Engineering </t>
  </si>
  <si>
    <t xml:space="preserve">Materials Science and Engineering </t>
  </si>
  <si>
    <t>CIVE 375</t>
  </si>
  <si>
    <t xml:space="preserve">Water Quality Engineering </t>
  </si>
  <si>
    <t xml:space="preserve">Thermodynamics 1 </t>
  </si>
  <si>
    <t>CIVE 440</t>
  </si>
  <si>
    <t>Transit Planning and Operations</t>
  </si>
  <si>
    <t>MSCI 200B</t>
  </si>
  <si>
    <t>ECE 361</t>
  </si>
  <si>
    <t>Power Systems and Components</t>
  </si>
  <si>
    <t xml:space="preserve">Organizational Behaviour </t>
  </si>
  <si>
    <t>ECE 467</t>
  </si>
  <si>
    <t>Power Systems Analysis, Operations and Markets</t>
  </si>
  <si>
    <t xml:space="preserve">Probability and Statistics for Engineers </t>
  </si>
  <si>
    <t>ME 212</t>
  </si>
  <si>
    <t>Dynamics</t>
  </si>
  <si>
    <t>Managerial Economics</t>
  </si>
  <si>
    <t>ME 220</t>
  </si>
  <si>
    <t>Mechanics of Deformable Solids 2</t>
  </si>
  <si>
    <t xml:space="preserve">Introduction to Optimization </t>
  </si>
  <si>
    <t>ME 262</t>
  </si>
  <si>
    <t xml:space="preserve">Introduction to Microprocessors and Digital Logic </t>
  </si>
  <si>
    <t xml:space="preserve">Database Systems </t>
  </si>
  <si>
    <t>ME 269</t>
  </si>
  <si>
    <t>Electromechanical Devices and Power Processing</t>
  </si>
  <si>
    <t xml:space="preserve">Mechanics of Deformable Solids 1 </t>
  </si>
  <si>
    <t>ME 340</t>
  </si>
  <si>
    <t xml:space="preserve">Manufacturing Processes </t>
  </si>
  <si>
    <t>MSCI 300A</t>
  </si>
  <si>
    <t>ME 351</t>
  </si>
  <si>
    <t xml:space="preserve">Fluid Mechanics 1 </t>
  </si>
  <si>
    <t xml:space="preserve">Organizational Design and Technology </t>
  </si>
  <si>
    <t>ME 353</t>
  </si>
  <si>
    <t xml:space="preserve">Heat Transfer 1 </t>
  </si>
  <si>
    <t>Operations Planning and Inventory Control</t>
  </si>
  <si>
    <t>ME 354</t>
  </si>
  <si>
    <t xml:space="preserve">Thermodynamics 2 </t>
  </si>
  <si>
    <t xml:space="preserve">Stochastic Models and Methods </t>
  </si>
  <si>
    <t>ME 362</t>
  </si>
  <si>
    <t xml:space="preserve">Fluid Mechanics 2 </t>
  </si>
  <si>
    <t xml:space="preserve">Information Systems Analysis and Design </t>
  </si>
  <si>
    <t>ME 435</t>
  </si>
  <si>
    <t>Industrial Metallurgy</t>
  </si>
  <si>
    <t>ME 456</t>
  </si>
  <si>
    <t>Heat Transfer 2</t>
  </si>
  <si>
    <t xml:space="preserve">Work-term Report </t>
  </si>
  <si>
    <t>ME 459</t>
  </si>
  <si>
    <t>Energy Conversion</t>
  </si>
  <si>
    <t>MSCI 391</t>
  </si>
  <si>
    <t>ME 533</t>
  </si>
  <si>
    <t>Non-metallic and Composite Materials</t>
  </si>
  <si>
    <t>MSCI 300B</t>
  </si>
  <si>
    <t xml:space="preserve">Seminar </t>
  </si>
  <si>
    <t>ME 559</t>
  </si>
  <si>
    <t>Finite Element Methods</t>
  </si>
  <si>
    <t xml:space="preserve">Deterministic Optimization Models and Methods </t>
  </si>
  <si>
    <t>ME 566</t>
  </si>
  <si>
    <t>Computational Fluid Dynamics for Engineering Design</t>
  </si>
  <si>
    <t xml:space="preserve">Simulation Analysis and Design </t>
  </si>
  <si>
    <t>MTE 241</t>
  </si>
  <si>
    <t>Introduction to Computer Structures and Real-Time Systems</t>
  </si>
  <si>
    <t xml:space="preserve">Principles of Software Engineering </t>
  </si>
  <si>
    <t>STAT 435</t>
  </si>
  <si>
    <t>Statistical Methods for Process Improvements</t>
  </si>
  <si>
    <t>STAT 443</t>
  </si>
  <si>
    <t>Forecasting</t>
  </si>
  <si>
    <t>SYDE 522</t>
  </si>
  <si>
    <t>Machine Intelligence</t>
  </si>
  <si>
    <t>SYDE 531</t>
  </si>
  <si>
    <t>Design Optimization Under Probabilistic Uncertainty</t>
  </si>
  <si>
    <t>MSCI 392</t>
  </si>
  <si>
    <t>SYDE 542</t>
  </si>
  <si>
    <t>Interface Design</t>
  </si>
  <si>
    <t>MSCI 400A</t>
  </si>
  <si>
    <t xml:space="preserve">Management Engineering Design Project 1 </t>
  </si>
  <si>
    <t xml:space="preserve">Supply Chain Management </t>
  </si>
  <si>
    <t>MSCI 445</t>
  </si>
  <si>
    <t>Telecommunication Systems: from protocols to applications</t>
  </si>
  <si>
    <t>MSCI 411</t>
  </si>
  <si>
    <t>MSCI 423</t>
  </si>
  <si>
    <t>MSCI 491</t>
  </si>
  <si>
    <t>MSCI 400B</t>
  </si>
  <si>
    <t xml:space="preserve">Management Engineering Design Project 2 </t>
  </si>
  <si>
    <t>MSCI 597</t>
  </si>
  <si>
    <t>Complementary Studies Topics in Management Sciences</t>
  </si>
  <si>
    <t>MSCI 598</t>
  </si>
  <si>
    <t>Special Topics in Management Engineering</t>
  </si>
  <si>
    <t>Organizational Behaviour</t>
  </si>
  <si>
    <t xml:space="preserve">Managerial and Cost Accounting </t>
  </si>
  <si>
    <t xml:space="preserve">Leadership and Influence </t>
  </si>
  <si>
    <t xml:space="preserve">Strategic Management of Technology </t>
  </si>
  <si>
    <t xml:space="preserve">Economic Impact of Technological Change and Entrepreneurship </t>
  </si>
  <si>
    <t xml:space="preserve">Managing New Product and Process Innovation </t>
  </si>
  <si>
    <t>Stochastic Models and Methods</t>
  </si>
  <si>
    <t>MSCI 432</t>
  </si>
  <si>
    <t xml:space="preserve">Production and Service Operations Management </t>
  </si>
  <si>
    <t xml:space="preserve">Impact of Information Systems on Organizations and Society </t>
  </si>
  <si>
    <t>Information Systems Analysis and Design</t>
  </si>
  <si>
    <t xml:space="preserve">Technical Entrepreneurship </t>
  </si>
  <si>
    <t>CIVE 596</t>
  </si>
  <si>
    <t xml:space="preserve">Construction Engineering </t>
  </si>
  <si>
    <t>ECON 371</t>
  </si>
  <si>
    <t xml:space="preserve">Business Finance 1 </t>
  </si>
  <si>
    <t>HRM 200</t>
  </si>
  <si>
    <t>Basic Human Resources Management </t>
  </si>
  <si>
    <t>SYDE 533</t>
  </si>
  <si>
    <t xml:space="preserve">Conflict Resolution </t>
  </si>
  <si>
    <t>Last Name</t>
  </si>
  <si>
    <t>First Name</t>
  </si>
  <si>
    <t>Allarakhia</t>
  </si>
  <si>
    <t xml:space="preserve">Minna </t>
  </si>
  <si>
    <t>Abouee Mehrizi</t>
  </si>
  <si>
    <t>Hossein</t>
  </si>
  <si>
    <t>Araghi</t>
  </si>
  <si>
    <t>Mojtaba</t>
  </si>
  <si>
    <t>Armitage</t>
  </si>
  <si>
    <t>Howard</t>
  </si>
  <si>
    <t>Azad</t>
  </si>
  <si>
    <t>Sahar Pirooz</t>
  </si>
  <si>
    <t>Baka</t>
  </si>
  <si>
    <t>Mohamed</t>
  </si>
  <si>
    <t>Bansal</t>
  </si>
  <si>
    <t xml:space="preserve">Harvir </t>
  </si>
  <si>
    <t>Barlatt</t>
  </si>
  <si>
    <t xml:space="preserve">Ada </t>
  </si>
  <si>
    <t>Bohns</t>
  </si>
  <si>
    <t xml:space="preserve">Vanessa </t>
  </si>
  <si>
    <t>Celebi</t>
  </si>
  <si>
    <t xml:space="preserve">Emre </t>
  </si>
  <si>
    <t>Chan</t>
  </si>
  <si>
    <t>Dayna</t>
  </si>
  <si>
    <t>Chilana</t>
  </si>
  <si>
    <t>Parmit</t>
  </si>
  <si>
    <t>Cozzarin</t>
  </si>
  <si>
    <t>Brian</t>
  </si>
  <si>
    <t>Dalziel</t>
  </si>
  <si>
    <t>Margaret</t>
  </si>
  <si>
    <t>Deng</t>
  </si>
  <si>
    <t>Xiaoxue</t>
  </si>
  <si>
    <t>Derbentseva</t>
  </si>
  <si>
    <t xml:space="preserve">Natalia </t>
  </si>
  <si>
    <t>Dunbar</t>
  </si>
  <si>
    <t>Fiona</t>
  </si>
  <si>
    <t>Fader</t>
  </si>
  <si>
    <t xml:space="preserve">Christina </t>
  </si>
  <si>
    <t>Fuller</t>
  </si>
  <si>
    <t>David</t>
  </si>
  <si>
    <t>Gabriel</t>
  </si>
  <si>
    <t>Amir (Mel)</t>
  </si>
  <si>
    <t>Ghaddar</t>
  </si>
  <si>
    <t>Bissan</t>
  </si>
  <si>
    <t>Ghavami</t>
  </si>
  <si>
    <t>Ahmad</t>
  </si>
  <si>
    <t>Golab</t>
  </si>
  <si>
    <t>Lukasz</t>
  </si>
  <si>
    <t>Guild</t>
  </si>
  <si>
    <t>Paul</t>
  </si>
  <si>
    <t>Gzara</t>
  </si>
  <si>
    <t>Fatma</t>
  </si>
  <si>
    <t>Hancock</t>
  </si>
  <si>
    <t>Mark</t>
  </si>
  <si>
    <t>He</t>
  </si>
  <si>
    <t>Qi-Ming</t>
  </si>
  <si>
    <t>Hiassat</t>
  </si>
  <si>
    <t xml:space="preserve">Abdelhalim  </t>
  </si>
  <si>
    <t>Hiassiat</t>
  </si>
  <si>
    <t>Abdelhalim</t>
  </si>
  <si>
    <t>Hipel</t>
  </si>
  <si>
    <t xml:space="preserve">Keith </t>
  </si>
  <si>
    <t>Jayasundera</t>
  </si>
  <si>
    <t>Rohan</t>
  </si>
  <si>
    <t>Karray</t>
  </si>
  <si>
    <t xml:space="preserve">Salma </t>
  </si>
  <si>
    <t>Ke</t>
  </si>
  <si>
    <t>Ginger Y.</t>
  </si>
  <si>
    <t>Khayyat</t>
  </si>
  <si>
    <t>Zuhair</t>
  </si>
  <si>
    <t>Kim</t>
  </si>
  <si>
    <t>Michael Jong</t>
  </si>
  <si>
    <t>Kobyzev</t>
  </si>
  <si>
    <t>Ivan</t>
  </si>
  <si>
    <t>Manning</t>
  </si>
  <si>
    <t xml:space="preserve">Thomas  </t>
  </si>
  <si>
    <t>Mantin</t>
  </si>
  <si>
    <t>Binyamin (Benny)</t>
  </si>
  <si>
    <t>Mayadunne</t>
  </si>
  <si>
    <t>Tony</t>
  </si>
  <si>
    <t>Mcculloch</t>
  </si>
  <si>
    <t>Malcolm D.</t>
  </si>
  <si>
    <t>McKay</t>
  </si>
  <si>
    <t>Ken</t>
  </si>
  <si>
    <t>Mcnaughton</t>
  </si>
  <si>
    <t xml:space="preserve">Rod </t>
  </si>
  <si>
    <t>Nacenta</t>
  </si>
  <si>
    <t>Miguel A.</t>
  </si>
  <si>
    <t>Naroum-Sawaya</t>
  </si>
  <si>
    <t xml:space="preserve">Joe </t>
  </si>
  <si>
    <t>Obeidi</t>
  </si>
  <si>
    <t xml:space="preserve">Amer  </t>
  </si>
  <si>
    <t>Ozaltin</t>
  </si>
  <si>
    <t xml:space="preserve">Osman </t>
  </si>
  <si>
    <t>Pavlin</t>
  </si>
  <si>
    <t>Michael</t>
  </si>
  <si>
    <t>Pirnia</t>
  </si>
  <si>
    <t>Mehrdad</t>
  </si>
  <si>
    <t>Pretti</t>
  </si>
  <si>
    <t>Judene</t>
  </si>
  <si>
    <t>Raymond</t>
  </si>
  <si>
    <t xml:space="preserve">Darrell </t>
  </si>
  <si>
    <t>Reetz</t>
  </si>
  <si>
    <t>Adrian</t>
  </si>
  <si>
    <t>Rohani-Tabatabai</t>
  </si>
  <si>
    <t xml:space="preserve">Mina </t>
  </si>
  <si>
    <t>Safayeni</t>
  </si>
  <si>
    <t>Frank</t>
  </si>
  <si>
    <t>Shah</t>
  </si>
  <si>
    <t>Muhammad</t>
  </si>
  <si>
    <t>Shavandi</t>
  </si>
  <si>
    <t>Hassan</t>
  </si>
  <si>
    <t>Smucker</t>
  </si>
  <si>
    <t>Soleimani</t>
  </si>
  <si>
    <t>Arash</t>
  </si>
  <si>
    <t>Soleimanipour-Dahaj</t>
  </si>
  <si>
    <t>Sparkes</t>
  </si>
  <si>
    <t>Douglas</t>
  </si>
  <si>
    <t>Turner</t>
  </si>
  <si>
    <t>Graeme</t>
  </si>
  <si>
    <t>Weber</t>
  </si>
  <si>
    <t xml:space="preserve">Mark </t>
  </si>
  <si>
    <t>Wen</t>
  </si>
  <si>
    <t>John</t>
  </si>
  <si>
    <t>Yavuz</t>
  </si>
  <si>
    <t>Mustafa</t>
  </si>
  <si>
    <t>Zhao</t>
  </si>
  <si>
    <t xml:space="preserve">Xuan (Jen) </t>
  </si>
  <si>
    <t>Duimering</t>
  </si>
  <si>
    <t>Rob</t>
  </si>
  <si>
    <t>Spring</t>
  </si>
  <si>
    <t xml:space="preserve">Fall </t>
  </si>
  <si>
    <t>%</t>
  </si>
  <si>
    <t>3. Project - 45%</t>
  </si>
  <si>
    <t>1. Assignments - 20%</t>
  </si>
  <si>
    <t>2. Quizzes - 35%</t>
  </si>
  <si>
    <t>#</t>
  </si>
  <si>
    <t>Attribute Name</t>
  </si>
  <si>
    <r>
      <rPr>
        <b/>
        <sz val="11"/>
        <color theme="1"/>
        <rFont val="Calibri"/>
        <family val="2"/>
        <scheme val="minor"/>
      </rPr>
      <t>Demonstrate</t>
    </r>
    <r>
      <rPr>
        <sz val="11"/>
        <color theme="1"/>
        <rFont val="Calibri"/>
        <family val="2"/>
        <scheme val="minor"/>
      </rPr>
      <t xml:space="preserve"> understanding of mathematics</t>
    </r>
  </si>
  <si>
    <r>
      <rPr>
        <b/>
        <sz val="11"/>
        <color theme="1"/>
        <rFont val="Calibri"/>
        <family val="2"/>
        <scheme val="minor"/>
      </rPr>
      <t>Demonstrate</t>
    </r>
    <r>
      <rPr>
        <sz val="11"/>
        <color theme="1"/>
        <rFont val="Calibri"/>
        <family val="2"/>
        <scheme val="minor"/>
      </rPr>
      <t xml:space="preserve"> understanding of natural sciences.</t>
    </r>
  </si>
  <si>
    <r>
      <rPr>
        <b/>
        <sz val="11"/>
        <color theme="1"/>
        <rFont val="Calibri"/>
        <family val="2"/>
        <scheme val="minor"/>
      </rPr>
      <t>Demonstrate</t>
    </r>
    <r>
      <rPr>
        <sz val="11"/>
        <color theme="1"/>
        <rFont val="Calibri"/>
        <family val="2"/>
        <scheme val="minor"/>
      </rPr>
      <t xml:space="preserve"> understanding of engineering fundamentals.</t>
    </r>
  </si>
  <si>
    <t>Problem analysis</t>
  </si>
  <si>
    <r>
      <rPr>
        <b/>
        <sz val="11"/>
        <color theme="1"/>
        <rFont val="Calibri"/>
        <family val="2"/>
        <scheme val="minor"/>
      </rPr>
      <t>Identify / define</t>
    </r>
    <r>
      <rPr>
        <sz val="11"/>
        <color theme="1"/>
        <rFont val="Calibri"/>
        <family val="2"/>
        <scheme val="minor"/>
      </rPr>
      <t xml:space="preserve"> a problem</t>
    </r>
  </si>
  <si>
    <r>
      <rPr>
        <b/>
        <sz val="11"/>
        <color theme="1"/>
        <rFont val="Calibri"/>
        <family val="2"/>
        <scheme val="minor"/>
      </rPr>
      <t>Develop / solve</t>
    </r>
    <r>
      <rPr>
        <sz val="11"/>
        <color theme="1"/>
        <rFont val="Calibri"/>
        <family val="2"/>
        <scheme val="minor"/>
      </rPr>
      <t xml:space="preserve"> models of engineering problems including identifying approximations, assumptions, and constraints</t>
    </r>
  </si>
  <si>
    <r>
      <rPr>
        <b/>
        <sz val="11"/>
        <color theme="1"/>
        <rFont val="Calibri"/>
        <family val="2"/>
        <scheme val="minor"/>
      </rPr>
      <t>Evaluate</t>
    </r>
    <r>
      <rPr>
        <sz val="11"/>
        <color theme="1"/>
        <rFont val="Calibri"/>
        <family val="2"/>
        <scheme val="minor"/>
      </rPr>
      <t xml:space="preserve"> solutions of complex engineering problems to reach substantiated conclusions</t>
    </r>
  </si>
  <si>
    <r>
      <rPr>
        <b/>
        <sz val="11"/>
        <color theme="1"/>
        <rFont val="Calibri"/>
        <family val="2"/>
        <scheme val="minor"/>
      </rPr>
      <t>Identify</t>
    </r>
    <r>
      <rPr>
        <sz val="11"/>
        <color theme="1"/>
        <rFont val="Calibri"/>
        <family val="2"/>
        <scheme val="minor"/>
      </rPr>
      <t xml:space="preserve"> critical issues of complex engineering problems to form testable hypotheses and design experiments.</t>
    </r>
  </si>
  <si>
    <r>
      <rPr>
        <b/>
        <sz val="11"/>
        <color theme="1"/>
        <rFont val="Calibri"/>
        <family val="2"/>
        <scheme val="minor"/>
      </rPr>
      <t>Conduct</t>
    </r>
    <r>
      <rPr>
        <sz val="11"/>
        <color theme="1"/>
        <rFont val="Calibri"/>
        <family val="2"/>
        <scheme val="minor"/>
      </rPr>
      <t xml:space="preserve"> experiments and gather and process data.</t>
    </r>
  </si>
  <si>
    <r>
      <rPr>
        <b/>
        <sz val="11"/>
        <color theme="1"/>
        <rFont val="Calibri"/>
        <family val="2"/>
        <scheme val="minor"/>
      </rPr>
      <t>Analyze,</t>
    </r>
    <r>
      <rPr>
        <sz val="11"/>
        <color theme="1"/>
        <rFont val="Calibri"/>
        <family val="2"/>
        <scheme val="minor"/>
      </rPr>
      <t xml:space="preserve"> </t>
    </r>
    <r>
      <rPr>
        <b/>
        <sz val="11"/>
        <color theme="1"/>
        <rFont val="Calibri"/>
        <family val="2"/>
        <scheme val="minor"/>
      </rPr>
      <t>synthesize,</t>
    </r>
    <r>
      <rPr>
        <sz val="11"/>
        <color theme="1"/>
        <rFont val="Calibri"/>
        <family val="2"/>
        <scheme val="minor"/>
      </rPr>
      <t xml:space="preserve"> and </t>
    </r>
    <r>
      <rPr>
        <b/>
        <sz val="11"/>
        <color theme="1"/>
        <rFont val="Calibri"/>
        <family val="2"/>
        <scheme val="minor"/>
      </rPr>
      <t>interpret</t>
    </r>
    <r>
      <rPr>
        <sz val="11"/>
        <color theme="1"/>
        <rFont val="Calibri"/>
        <family val="2"/>
        <scheme val="minor"/>
      </rPr>
      <t xml:space="preserve"> experimental and other data to reach valid conclusions.</t>
    </r>
  </si>
  <si>
    <r>
      <rPr>
        <b/>
        <sz val="11"/>
        <color theme="1"/>
        <rFont val="Calibri"/>
        <family val="2"/>
        <scheme val="minor"/>
      </rPr>
      <t>Generate and implement</t>
    </r>
    <r>
      <rPr>
        <sz val="11"/>
        <color theme="1"/>
        <rFont val="Calibri"/>
        <family val="2"/>
        <scheme val="minor"/>
      </rPr>
      <t xml:space="preserve"> solutions to complex open-ended problems</t>
    </r>
  </si>
  <si>
    <r>
      <rPr>
        <b/>
        <sz val="11"/>
        <color theme="1"/>
        <rFont val="Calibri"/>
        <family val="2"/>
        <scheme val="minor"/>
      </rPr>
      <t xml:space="preserve">Evaluate/test </t>
    </r>
    <r>
      <rPr>
        <sz val="11"/>
        <color theme="1"/>
        <rFont val="Calibri"/>
        <family val="2"/>
        <scheme val="minor"/>
      </rPr>
      <t>solutions and refine designs to better meet requirements</t>
    </r>
  </si>
  <si>
    <r>
      <rPr>
        <b/>
        <sz val="11"/>
        <color theme="1"/>
        <rFont val="Calibri"/>
        <family val="2"/>
        <scheme val="minor"/>
      </rPr>
      <t xml:space="preserve">Modify </t>
    </r>
    <r>
      <rPr>
        <sz val="11"/>
        <color theme="1"/>
        <rFont val="Calibri"/>
        <family val="2"/>
        <scheme val="minor"/>
      </rPr>
      <t xml:space="preserve">and/or </t>
    </r>
    <r>
      <rPr>
        <b/>
        <sz val="11"/>
        <color theme="1"/>
        <rFont val="Calibri"/>
        <family val="2"/>
        <scheme val="minor"/>
      </rPr>
      <t xml:space="preserve">create </t>
    </r>
    <r>
      <rPr>
        <sz val="11"/>
        <color theme="1"/>
        <rFont val="Calibri"/>
        <family val="2"/>
        <scheme val="minor"/>
      </rPr>
      <t>appropriate engineering tools, identifying their limitations</t>
    </r>
  </si>
  <si>
    <r>
      <rPr>
        <b/>
        <sz val="11"/>
        <color theme="1"/>
        <rFont val="Calibri"/>
        <family val="2"/>
        <scheme val="minor"/>
      </rPr>
      <t>Use</t>
    </r>
    <r>
      <rPr>
        <sz val="11"/>
        <color theme="1"/>
        <rFont val="Calibri"/>
        <family val="2"/>
        <scheme val="minor"/>
      </rPr>
      <t xml:space="preserve"> appropriate engineering tools</t>
    </r>
  </si>
  <si>
    <r>
      <rPr>
        <b/>
        <sz val="11"/>
        <color theme="1"/>
        <rFont val="Calibri"/>
        <family val="2"/>
        <scheme val="minor"/>
      </rPr>
      <t xml:space="preserve">Contribute </t>
    </r>
    <r>
      <rPr>
        <sz val="11"/>
        <color theme="1"/>
        <rFont val="Calibri"/>
        <family val="2"/>
        <scheme val="minor"/>
      </rPr>
      <t>as an active team member or leader to complete individual tasks</t>
    </r>
  </si>
  <si>
    <r>
      <rPr>
        <b/>
        <sz val="11"/>
        <color theme="1"/>
        <rFont val="Calibri"/>
        <family val="2"/>
        <scheme val="minor"/>
      </rPr>
      <t xml:space="preserve">Collaborate </t>
    </r>
    <r>
      <rPr>
        <sz val="11"/>
        <color theme="1"/>
        <rFont val="Calibri"/>
        <family val="2"/>
        <scheme val="minor"/>
      </rPr>
      <t>with others to complete tasks effectively as a team</t>
    </r>
  </si>
  <si>
    <t>Communication skills</t>
  </si>
  <si>
    <r>
      <rPr>
        <b/>
        <sz val="11"/>
        <color theme="1"/>
        <rFont val="Calibri"/>
        <family val="2"/>
        <scheme val="minor"/>
      </rPr>
      <t xml:space="preserve">Generate </t>
    </r>
    <r>
      <rPr>
        <sz val="11"/>
        <color theme="1"/>
        <rFont val="Calibri"/>
        <family val="2"/>
        <scheme val="minor"/>
      </rPr>
      <t xml:space="preserve">appropriate documentation to </t>
    </r>
    <r>
      <rPr>
        <b/>
        <sz val="11"/>
        <color theme="1"/>
        <rFont val="Calibri"/>
        <family val="2"/>
        <scheme val="minor"/>
      </rPr>
      <t xml:space="preserve">communicate </t>
    </r>
    <r>
      <rPr>
        <sz val="11"/>
        <color theme="1"/>
        <rFont val="Calibri"/>
        <family val="2"/>
        <scheme val="minor"/>
      </rPr>
      <t>within the profession and to society at large</t>
    </r>
  </si>
  <si>
    <r>
      <t xml:space="preserve">Orally </t>
    </r>
    <r>
      <rPr>
        <b/>
        <sz val="11"/>
        <color theme="1"/>
        <rFont val="Calibri"/>
        <family val="2"/>
        <scheme val="minor"/>
      </rPr>
      <t xml:space="preserve">present </t>
    </r>
    <r>
      <rPr>
        <sz val="11"/>
        <color theme="1"/>
        <rFont val="Calibri"/>
        <family val="2"/>
        <scheme val="minor"/>
      </rPr>
      <t>information within the profession and to society at large</t>
    </r>
  </si>
  <si>
    <r>
      <rPr>
        <b/>
        <sz val="11"/>
        <color theme="1"/>
        <rFont val="Calibri"/>
        <family val="2"/>
        <scheme val="minor"/>
      </rPr>
      <t xml:space="preserve">Comprehend and Interpret </t>
    </r>
    <r>
      <rPr>
        <sz val="11"/>
        <color theme="1"/>
        <rFont val="Calibri"/>
        <family val="2"/>
        <scheme val="minor"/>
      </rPr>
      <t>information, including solutions, results and instructions</t>
    </r>
  </si>
  <si>
    <r>
      <rPr>
        <b/>
        <sz val="11"/>
        <color theme="1"/>
        <rFont val="Calibri"/>
        <family val="2"/>
        <scheme val="minor"/>
      </rPr>
      <t xml:space="preserve">Articulate </t>
    </r>
    <r>
      <rPr>
        <sz val="11"/>
        <color theme="1"/>
        <rFont val="Calibri"/>
        <family val="2"/>
        <scheme val="minor"/>
      </rPr>
      <t>the roles and responsibilities of the professional engineer in society with reference to the protection of the public and its interest</t>
    </r>
  </si>
  <si>
    <r>
      <rPr>
        <b/>
        <sz val="11"/>
        <color theme="1"/>
        <rFont val="Calibri"/>
        <family val="2"/>
        <scheme val="minor"/>
      </rPr>
      <t xml:space="preserve">Describe </t>
    </r>
    <r>
      <rPr>
        <sz val="11"/>
        <color theme="1"/>
        <rFont val="Calibri"/>
        <family val="2"/>
        <scheme val="minor"/>
      </rPr>
      <t>the importance of codes, standards, best practices, laws, and regulations within engineering</t>
    </r>
  </si>
  <si>
    <r>
      <rPr>
        <b/>
        <sz val="11"/>
        <color theme="1"/>
        <rFont val="Calibri"/>
        <family val="2"/>
        <scheme val="minor"/>
      </rPr>
      <t xml:space="preserve">Identify </t>
    </r>
    <r>
      <rPr>
        <sz val="11"/>
        <color theme="1"/>
        <rFont val="Calibri"/>
        <family val="2"/>
        <scheme val="minor"/>
      </rPr>
      <t>the relevance of and uncertainty associated with the different aspects (social, cultural, economic, health, safety, legal, environmental) of an engineering project</t>
    </r>
  </si>
  <si>
    <r>
      <rPr>
        <b/>
        <sz val="11"/>
        <color theme="1"/>
        <rFont val="Calibri"/>
        <family val="2"/>
        <scheme val="minor"/>
      </rPr>
      <t xml:space="preserve">Analyze </t>
    </r>
    <r>
      <rPr>
        <sz val="11"/>
        <color theme="1"/>
        <rFont val="Calibri"/>
        <family val="2"/>
        <scheme val="minor"/>
      </rPr>
      <t>the social, health, safety, and environmental aspects of an engineering project, incorporating sustainability considerations in making decisions</t>
    </r>
  </si>
  <si>
    <r>
      <rPr>
        <b/>
        <sz val="11"/>
        <color theme="1"/>
        <rFont val="Calibri"/>
        <family val="2"/>
        <scheme val="minor"/>
      </rPr>
      <t>Identify</t>
    </r>
    <r>
      <rPr>
        <sz val="11"/>
        <color theme="1"/>
        <rFont val="Calibri"/>
        <family val="2"/>
        <scheme val="minor"/>
      </rPr>
      <t xml:space="preserve"> ethical and unethical behaviour in professional situations</t>
    </r>
  </si>
  <si>
    <r>
      <rPr>
        <b/>
        <sz val="11"/>
        <color theme="1"/>
        <rFont val="Calibri"/>
        <family val="2"/>
        <scheme val="minor"/>
      </rPr>
      <t>Identify</t>
    </r>
    <r>
      <rPr>
        <sz val="11"/>
        <color theme="1"/>
        <rFont val="Calibri"/>
        <family val="2"/>
        <scheme val="minor"/>
      </rPr>
      <t xml:space="preserve"> how an engineer is accountable to multiple stakeholders in engineering practice</t>
    </r>
  </si>
  <si>
    <r>
      <rPr>
        <b/>
        <sz val="11"/>
        <color theme="1"/>
        <rFont val="Calibri"/>
        <family val="2"/>
        <scheme val="minor"/>
      </rPr>
      <t xml:space="preserve">Identify </t>
    </r>
    <r>
      <rPr>
        <sz val="11"/>
        <color theme="1"/>
        <rFont val="Calibri"/>
        <family val="2"/>
        <scheme val="minor"/>
      </rPr>
      <t>equitable and inequitable situations or behaviours</t>
    </r>
  </si>
  <si>
    <r>
      <rPr>
        <b/>
        <sz val="11"/>
        <color theme="1"/>
        <rFont val="Calibri"/>
        <family val="2"/>
        <scheme val="minor"/>
      </rPr>
      <t xml:space="preserve">Apply </t>
    </r>
    <r>
      <rPr>
        <sz val="11"/>
        <color theme="1"/>
        <rFont val="Calibri"/>
        <family val="2"/>
        <scheme val="minor"/>
      </rPr>
      <t>project management techniques in engineering projects, with attention to risk, and change</t>
    </r>
  </si>
  <si>
    <r>
      <rPr>
        <b/>
        <sz val="11"/>
        <color theme="1"/>
        <rFont val="Calibri"/>
        <family val="2"/>
        <scheme val="minor"/>
      </rPr>
      <t xml:space="preserve">Perform </t>
    </r>
    <r>
      <rPr>
        <sz val="11"/>
        <color theme="1"/>
        <rFont val="Calibri"/>
        <family val="2"/>
        <scheme val="minor"/>
      </rPr>
      <t>economic analyses of engineering projects with attention to uncertainty and limitations</t>
    </r>
  </si>
  <si>
    <r>
      <rPr>
        <b/>
        <sz val="11"/>
        <color theme="1"/>
        <rFont val="Calibri"/>
        <family val="2"/>
        <scheme val="minor"/>
      </rPr>
      <t xml:space="preserve">Identify </t>
    </r>
    <r>
      <rPr>
        <sz val="11"/>
        <color theme="1"/>
        <rFont val="Calibri"/>
        <family val="2"/>
        <scheme val="minor"/>
      </rPr>
      <t>gaps in their knowledge, skills and abilities</t>
    </r>
  </si>
  <si>
    <r>
      <rPr>
        <b/>
        <sz val="11"/>
        <color theme="1"/>
        <rFont val="Calibri"/>
        <family val="2"/>
        <scheme val="minor"/>
      </rPr>
      <t xml:space="preserve">Obtain and evaluate </t>
    </r>
    <r>
      <rPr>
        <sz val="11"/>
        <color theme="1"/>
        <rFont val="Calibri"/>
        <family val="2"/>
        <scheme val="minor"/>
      </rPr>
      <t>information or training from appropriate sources</t>
    </r>
  </si>
  <si>
    <r>
      <rPr>
        <b/>
        <sz val="11"/>
        <color theme="1"/>
        <rFont val="Calibri"/>
        <family val="2"/>
        <scheme val="minor"/>
      </rPr>
      <t xml:space="preserve">Reflect </t>
    </r>
    <r>
      <rPr>
        <sz val="11"/>
        <color theme="1"/>
        <rFont val="Calibri"/>
        <family val="2"/>
        <scheme val="minor"/>
      </rPr>
      <t>on the use of information or training obtained</t>
    </r>
  </si>
  <si>
    <t>Program Level Indicator</t>
  </si>
  <si>
    <r>
      <rPr>
        <b/>
        <sz val="11"/>
        <color theme="1"/>
        <rFont val="Calibri"/>
        <family val="2"/>
        <scheme val="minor"/>
      </rPr>
      <t xml:space="preserve">Demonstrate </t>
    </r>
    <r>
      <rPr>
        <sz val="11"/>
        <color theme="1"/>
        <rFont val="Calibri"/>
        <family val="2"/>
        <scheme val="minor"/>
      </rPr>
      <t>understanding of specialized engineering knowledge</t>
    </r>
  </si>
  <si>
    <r>
      <rPr>
        <b/>
        <sz val="11"/>
        <color theme="1"/>
        <rFont val="Calibri"/>
        <family val="2"/>
        <scheme val="minor"/>
      </rPr>
      <t xml:space="preserve">Select </t>
    </r>
    <r>
      <rPr>
        <sz val="11"/>
        <color theme="1"/>
        <rFont val="Calibri"/>
        <family val="2"/>
        <scheme val="minor"/>
      </rPr>
      <t>appropriate engineering tools</t>
    </r>
    <r>
      <rPr>
        <sz val="11"/>
        <color theme="1"/>
        <rFont val="Calibri"/>
        <family val="2"/>
        <scheme val="minor"/>
      </rPr>
      <t>, considering their limitations</t>
    </r>
  </si>
  <si>
    <t>Attribute Definition</t>
  </si>
  <si>
    <r>
      <rPr>
        <sz val="11"/>
        <color rgb="FFFF0000"/>
        <rFont val="Calibri"/>
        <family val="2"/>
        <scheme val="minor"/>
      </rPr>
      <t>Demonstrated</t>
    </r>
    <r>
      <rPr>
        <sz val="11"/>
        <color theme="1"/>
        <rFont val="Calibri"/>
        <family val="2"/>
        <scheme val="minor"/>
      </rPr>
      <t xml:space="preserve"> </t>
    </r>
    <r>
      <rPr>
        <sz val="11"/>
        <rFont val="Calibri"/>
        <family val="2"/>
        <scheme val="minor"/>
      </rPr>
      <t>competence</t>
    </r>
    <r>
      <rPr>
        <sz val="11"/>
        <color theme="1"/>
        <rFont val="Calibri"/>
        <family val="2"/>
        <scheme val="minor"/>
      </rPr>
      <t xml:space="preserve"> in university level mathematics, natural sciences, engineering fundamentals, and specialized engineering knowledge appropriate to the program.</t>
    </r>
  </si>
  <si>
    <r>
      <t xml:space="preserve">An ability to </t>
    </r>
    <r>
      <rPr>
        <sz val="11"/>
        <color rgb="FFFF0000"/>
        <rFont val="Calibri"/>
        <family val="2"/>
        <scheme val="minor"/>
      </rPr>
      <t>use</t>
    </r>
    <r>
      <rPr>
        <sz val="11"/>
        <color theme="1"/>
        <rFont val="Calibri"/>
        <family val="2"/>
        <scheme val="minor"/>
      </rPr>
      <t xml:space="preserve"> appropriate knowledge and skills to </t>
    </r>
    <r>
      <rPr>
        <sz val="11"/>
        <color rgb="FFFF0000"/>
        <rFont val="Calibri"/>
        <family val="2"/>
        <scheme val="minor"/>
      </rPr>
      <t>identify,</t>
    </r>
    <r>
      <rPr>
        <sz val="11"/>
        <color theme="1"/>
        <rFont val="Calibri"/>
        <family val="2"/>
        <scheme val="minor"/>
      </rPr>
      <t xml:space="preserve"> </t>
    </r>
    <r>
      <rPr>
        <sz val="11"/>
        <color rgb="FFFF0000"/>
        <rFont val="Calibri"/>
        <family val="2"/>
        <scheme val="minor"/>
      </rPr>
      <t>formulate,</t>
    </r>
    <r>
      <rPr>
        <sz val="11"/>
        <color theme="1"/>
        <rFont val="Calibri"/>
        <family val="2"/>
        <scheme val="minor"/>
      </rPr>
      <t xml:space="preserve"> </t>
    </r>
    <r>
      <rPr>
        <sz val="11"/>
        <color rgb="FFFF0000"/>
        <rFont val="Calibri"/>
        <family val="2"/>
        <scheme val="minor"/>
      </rPr>
      <t>analyze,</t>
    </r>
    <r>
      <rPr>
        <sz val="11"/>
        <color theme="1"/>
        <rFont val="Calibri"/>
        <family val="2"/>
        <scheme val="minor"/>
      </rPr>
      <t xml:space="preserve"> and </t>
    </r>
    <r>
      <rPr>
        <sz val="11"/>
        <color rgb="FFFF0000"/>
        <rFont val="Calibri"/>
        <family val="2"/>
        <scheme val="minor"/>
      </rPr>
      <t>solve</t>
    </r>
    <r>
      <rPr>
        <sz val="11"/>
        <color theme="1"/>
        <rFont val="Calibri"/>
        <family val="2"/>
        <scheme val="minor"/>
      </rPr>
      <t xml:space="preserve"> complex engineering problems in order to reach </t>
    </r>
    <r>
      <rPr>
        <sz val="11"/>
        <color rgb="FFFF0000"/>
        <rFont val="Calibri"/>
        <family val="2"/>
        <scheme val="minor"/>
      </rPr>
      <t>substantiated conclusions</t>
    </r>
    <r>
      <rPr>
        <sz val="11"/>
        <color theme="1"/>
        <rFont val="Calibri"/>
        <family val="2"/>
        <scheme val="minor"/>
      </rPr>
      <t>.</t>
    </r>
  </si>
  <si>
    <r>
      <t xml:space="preserve">An ability to </t>
    </r>
    <r>
      <rPr>
        <sz val="11"/>
        <color rgb="FFFF0000"/>
        <rFont val="Calibri"/>
        <family val="2"/>
        <scheme val="minor"/>
      </rPr>
      <t>conduct investigations</t>
    </r>
    <r>
      <rPr>
        <sz val="11"/>
        <color theme="1"/>
        <rFont val="Calibri"/>
        <family val="2"/>
        <scheme val="minor"/>
      </rPr>
      <t xml:space="preserve"> of complex problems by methods that include appropriate </t>
    </r>
    <r>
      <rPr>
        <sz val="11"/>
        <color rgb="FFFF0000"/>
        <rFont val="Calibri"/>
        <family val="2"/>
        <scheme val="minor"/>
      </rPr>
      <t>experiments, analysis and interpretation</t>
    </r>
    <r>
      <rPr>
        <sz val="11"/>
        <color theme="1"/>
        <rFont val="Calibri"/>
        <family val="2"/>
        <scheme val="minor"/>
      </rPr>
      <t xml:space="preserve"> of data, and </t>
    </r>
    <r>
      <rPr>
        <sz val="11"/>
        <color rgb="FFFF0000"/>
        <rFont val="Calibri"/>
        <family val="2"/>
        <scheme val="minor"/>
      </rPr>
      <t>synthesis</t>
    </r>
    <r>
      <rPr>
        <sz val="11"/>
        <color theme="1"/>
        <rFont val="Calibri"/>
        <family val="2"/>
        <scheme val="minor"/>
      </rPr>
      <t xml:space="preserve"> of information in order to reach </t>
    </r>
    <r>
      <rPr>
        <sz val="11"/>
        <color rgb="FFFF0000"/>
        <rFont val="Calibri"/>
        <family val="2"/>
        <scheme val="minor"/>
      </rPr>
      <t>valid</t>
    </r>
    <r>
      <rPr>
        <sz val="11"/>
        <color theme="1"/>
        <rFont val="Calibri"/>
        <family val="2"/>
        <scheme val="minor"/>
      </rPr>
      <t xml:space="preserve"> conclusions.</t>
    </r>
  </si>
  <si>
    <r>
      <t xml:space="preserve">An ability to </t>
    </r>
    <r>
      <rPr>
        <sz val="11"/>
        <color rgb="FFFF0000"/>
        <rFont val="Calibri"/>
        <family val="2"/>
        <scheme val="minor"/>
      </rPr>
      <t>design solutions</t>
    </r>
    <r>
      <rPr>
        <sz val="11"/>
        <color theme="1"/>
        <rFont val="Calibri"/>
        <family val="2"/>
        <scheme val="minor"/>
      </rPr>
      <t xml:space="preserve"> for </t>
    </r>
    <r>
      <rPr>
        <sz val="11"/>
        <color rgb="FFFF0000"/>
        <rFont val="Calibri"/>
        <family val="2"/>
        <scheme val="minor"/>
      </rPr>
      <t xml:space="preserve">complex, open-ended </t>
    </r>
    <r>
      <rPr>
        <sz val="11"/>
        <color theme="1"/>
        <rFont val="Calibri"/>
        <family val="2"/>
        <scheme val="minor"/>
      </rPr>
      <t xml:space="preserve">engineering problems and to </t>
    </r>
    <r>
      <rPr>
        <sz val="11"/>
        <color rgb="FFFF0000"/>
        <rFont val="Calibri"/>
        <family val="2"/>
        <scheme val="minor"/>
      </rPr>
      <t>design systems</t>
    </r>
    <r>
      <rPr>
        <sz val="11"/>
        <color theme="1"/>
        <rFont val="Calibri"/>
        <family val="2"/>
        <scheme val="minor"/>
      </rPr>
      <t xml:space="preserve">, </t>
    </r>
    <r>
      <rPr>
        <sz val="11"/>
        <color rgb="FFFF0000"/>
        <rFont val="Calibri"/>
        <family val="2"/>
        <scheme val="minor"/>
      </rPr>
      <t>components or processes</t>
    </r>
    <r>
      <rPr>
        <sz val="11"/>
        <color theme="1"/>
        <rFont val="Calibri"/>
        <family val="2"/>
        <scheme val="minor"/>
      </rPr>
      <t xml:space="preserve"> that meet specified needs with appropriate attention to </t>
    </r>
    <r>
      <rPr>
        <sz val="11"/>
        <color rgb="FFFF0000"/>
        <rFont val="Calibri"/>
        <family val="2"/>
        <scheme val="minor"/>
      </rPr>
      <t>health and safety risks</t>
    </r>
    <r>
      <rPr>
        <sz val="11"/>
        <color theme="1"/>
        <rFont val="Calibri"/>
        <family val="2"/>
        <scheme val="minor"/>
      </rPr>
      <t xml:space="preserve">, </t>
    </r>
    <r>
      <rPr>
        <sz val="11"/>
        <color rgb="FFFF0000"/>
        <rFont val="Calibri"/>
        <family val="2"/>
        <scheme val="minor"/>
      </rPr>
      <t>applicable standards</t>
    </r>
    <r>
      <rPr>
        <sz val="11"/>
        <color theme="1"/>
        <rFont val="Calibri"/>
        <family val="2"/>
        <scheme val="minor"/>
      </rPr>
      <t xml:space="preserve">, and </t>
    </r>
    <r>
      <rPr>
        <sz val="11"/>
        <color rgb="FFFF0000"/>
        <rFont val="Calibri"/>
        <family val="2"/>
        <scheme val="minor"/>
      </rPr>
      <t>economic, environmental, cultural and societal considerations.</t>
    </r>
  </si>
  <si>
    <r>
      <t xml:space="preserve"> An ability to </t>
    </r>
    <r>
      <rPr>
        <sz val="11"/>
        <color rgb="FFFF0000"/>
        <rFont val="Calibri"/>
        <family val="2"/>
        <scheme val="minor"/>
      </rPr>
      <t xml:space="preserve">create, select, apply, adapt, and extend </t>
    </r>
    <r>
      <rPr>
        <sz val="11"/>
        <color theme="1"/>
        <rFont val="Calibri"/>
        <family val="2"/>
        <scheme val="minor"/>
      </rPr>
      <t xml:space="preserve">appropriate techniques, resources, and </t>
    </r>
    <r>
      <rPr>
        <sz val="11"/>
        <color rgb="FFFF0000"/>
        <rFont val="Calibri"/>
        <family val="2"/>
        <scheme val="minor"/>
      </rPr>
      <t>modern engineering tools</t>
    </r>
    <r>
      <rPr>
        <sz val="11"/>
        <color theme="1"/>
        <rFont val="Calibri"/>
        <family val="2"/>
        <scheme val="minor"/>
      </rPr>
      <t xml:space="preserve"> to a range of engineering activities, from simple to complex, with an understanding of the associated </t>
    </r>
    <r>
      <rPr>
        <sz val="11"/>
        <color rgb="FFFF0000"/>
        <rFont val="Calibri"/>
        <family val="2"/>
        <scheme val="minor"/>
      </rPr>
      <t>limitations.</t>
    </r>
  </si>
  <si>
    <t>An ability to work effectively as a member and leader in teams, preferably in a multi-disciplinary setting.</t>
  </si>
  <si>
    <t>An ability to communicate complex engineering concepts within the profession and with society at large.  Such ability includes reading, writing, speaking and listening, and the ability to comprehend and write effective reports and design documentation, and to give and effectively respond to clear instructions.</t>
  </si>
  <si>
    <t>An understanding of the roles and responsibilities of the professional engineer in society, especially the primary role of protection of the public and the public interest.</t>
  </si>
  <si>
    <t>An ability to analyze social and environmental aspects of engineering activities. Such ability includes an understanding of the interactions that engineering has with the economic, social, health, safety, legal, and cultural aspects of society, the uncertainties in the prediction of such interactions; and the concepts of sustainable design and development and environmental stewardship.</t>
  </si>
  <si>
    <t>An ability to apply professional ethics, accountability, and equity.</t>
  </si>
  <si>
    <t>An ability to appropriately incorporate economics and business practices including project, risk, and change management into the practice of engineering and to understand their limitations.</t>
  </si>
  <si>
    <t>An ability to identify and to address their own educational needs in a changing world in ways sufficient to maintain their competence and to allow them to contribute to the advancement of knowledge.</t>
  </si>
  <si>
    <t>Explain how Data mining algorithms work</t>
  </si>
  <si>
    <t xml:space="preserve">Apply data mining algorithms in real(istic) problems </t>
  </si>
  <si>
    <t>MGTE Program Level Indicators</t>
  </si>
  <si>
    <t>CEAB Attributes</t>
  </si>
  <si>
    <t>Knowledge base for engineering</t>
  </si>
  <si>
    <r>
      <rPr>
        <b/>
        <sz val="11"/>
        <color theme="1"/>
        <rFont val="Calibri"/>
        <family val="2"/>
        <scheme val="minor"/>
      </rPr>
      <t xml:space="preserve">Identify / define </t>
    </r>
    <r>
      <rPr>
        <sz val="11"/>
        <color theme="1"/>
        <rFont val="Calibri"/>
        <family val="2"/>
        <scheme val="minor"/>
      </rPr>
      <t>a problem</t>
    </r>
  </si>
  <si>
    <r>
      <rPr>
        <b/>
        <sz val="11"/>
        <color theme="1"/>
        <rFont val="Calibri"/>
        <family val="2"/>
        <scheme val="minor"/>
      </rPr>
      <t xml:space="preserve">Develop / solve </t>
    </r>
    <r>
      <rPr>
        <sz val="11"/>
        <color theme="1"/>
        <rFont val="Calibri"/>
        <family val="2"/>
        <scheme val="minor"/>
      </rPr>
      <t>models of engineering problems including identifying approximations, assumptions, and constraints</t>
    </r>
  </si>
  <si>
    <r>
      <rPr>
        <b/>
        <sz val="11"/>
        <color theme="1"/>
        <rFont val="Calibri"/>
        <family val="2"/>
        <scheme val="minor"/>
      </rPr>
      <t xml:space="preserve">Evaluate </t>
    </r>
    <r>
      <rPr>
        <sz val="11"/>
        <color theme="1"/>
        <rFont val="Calibri"/>
        <family val="2"/>
        <scheme val="minor"/>
      </rPr>
      <t>solutions of complex engineering problems to reach substantiated conclusions</t>
    </r>
  </si>
  <si>
    <r>
      <rPr>
        <b/>
        <sz val="11"/>
        <color theme="1"/>
        <rFont val="Calibri"/>
        <family val="2"/>
        <scheme val="minor"/>
      </rPr>
      <t xml:space="preserve">Identify </t>
    </r>
    <r>
      <rPr>
        <sz val="11"/>
        <color theme="1"/>
        <rFont val="Calibri"/>
        <family val="2"/>
        <scheme val="minor"/>
      </rPr>
      <t>critical issues of complex engineering problems to form testable hypotheses and design experiments.</t>
    </r>
  </si>
  <si>
    <r>
      <rPr>
        <b/>
        <sz val="11"/>
        <color theme="1"/>
        <rFont val="Calibri"/>
        <family val="2"/>
        <scheme val="minor"/>
      </rPr>
      <t xml:space="preserve">Analyze, synthesize, </t>
    </r>
    <r>
      <rPr>
        <sz val="11"/>
        <color theme="1"/>
        <rFont val="Calibri"/>
        <family val="2"/>
        <scheme val="minor"/>
      </rPr>
      <t xml:space="preserve">and </t>
    </r>
    <r>
      <rPr>
        <b/>
        <sz val="11"/>
        <color theme="1"/>
        <rFont val="Calibri"/>
        <family val="2"/>
        <scheme val="minor"/>
      </rPr>
      <t xml:space="preserve">interpret </t>
    </r>
    <r>
      <rPr>
        <sz val="11"/>
        <color theme="1"/>
        <rFont val="Calibri"/>
        <family val="2"/>
        <scheme val="minor"/>
      </rPr>
      <t>experimental and other data to reach valid conclusions.</t>
    </r>
  </si>
  <si>
    <r>
      <rPr>
        <b/>
        <sz val="11"/>
        <color theme="1"/>
        <rFont val="Calibri"/>
        <family val="2"/>
        <scheme val="minor"/>
      </rPr>
      <t xml:space="preserve">Follow </t>
    </r>
    <r>
      <rPr>
        <sz val="11"/>
        <color theme="1"/>
        <rFont val="Calibri"/>
        <family val="2"/>
        <scheme val="minor"/>
      </rPr>
      <t>an engineering design methodology</t>
    </r>
  </si>
  <si>
    <r>
      <rPr>
        <b/>
        <sz val="11"/>
        <color theme="1"/>
        <rFont val="Calibri"/>
        <family val="2"/>
        <scheme val="minor"/>
      </rPr>
      <t xml:space="preserve">Generate and implement </t>
    </r>
    <r>
      <rPr>
        <sz val="11"/>
        <color theme="1"/>
        <rFont val="Calibri"/>
        <family val="2"/>
        <scheme val="minor"/>
      </rPr>
      <t>solutions to complex open-ended problems</t>
    </r>
  </si>
  <si>
    <r>
      <rPr>
        <b/>
        <sz val="11"/>
        <color theme="1"/>
        <rFont val="Calibri"/>
        <family val="2"/>
        <scheme val="minor"/>
      </rPr>
      <t xml:space="preserve">Select </t>
    </r>
    <r>
      <rPr>
        <sz val="11"/>
        <color theme="1"/>
        <rFont val="Calibri"/>
        <family val="2"/>
        <scheme val="minor"/>
      </rPr>
      <t>appropriate engineering tools8, considering their limitations</t>
    </r>
  </si>
  <si>
    <r>
      <rPr>
        <b/>
        <sz val="11"/>
        <color theme="1"/>
        <rFont val="Calibri"/>
        <family val="2"/>
        <scheme val="minor"/>
      </rPr>
      <t xml:space="preserve">Use </t>
    </r>
    <r>
      <rPr>
        <sz val="11"/>
        <color theme="1"/>
        <rFont val="Calibri"/>
        <family val="2"/>
        <scheme val="minor"/>
      </rPr>
      <t>appropriate engineering tools</t>
    </r>
  </si>
  <si>
    <r>
      <t xml:space="preserve">Contribute </t>
    </r>
    <r>
      <rPr>
        <sz val="12"/>
        <color rgb="FF000000"/>
        <rFont val="Calibri"/>
        <family val="2"/>
        <scheme val="minor"/>
      </rPr>
      <t>as an active team member or leader to complete individual tasks</t>
    </r>
  </si>
  <si>
    <r>
      <t xml:space="preserve">Collaborate </t>
    </r>
    <r>
      <rPr>
        <sz val="12"/>
        <color rgb="FF000000"/>
        <rFont val="Calibri"/>
        <family val="2"/>
        <scheme val="minor"/>
      </rPr>
      <t>with others to complete tasks effectively as a team</t>
    </r>
  </si>
  <si>
    <r>
      <rPr>
        <sz val="12"/>
        <color theme="1"/>
        <rFont val="Calibri"/>
        <family val="2"/>
        <scheme val="minor"/>
      </rPr>
      <t xml:space="preserve">Orally </t>
    </r>
    <r>
      <rPr>
        <b/>
        <sz val="12"/>
        <color theme="1"/>
        <rFont val="Calibri"/>
        <family val="2"/>
        <scheme val="minor"/>
      </rPr>
      <t xml:space="preserve">present </t>
    </r>
    <r>
      <rPr>
        <sz val="12"/>
        <color theme="1"/>
        <rFont val="Calibri"/>
        <family val="2"/>
        <scheme val="minor"/>
      </rPr>
      <t>information within the profession and to society at large</t>
    </r>
  </si>
  <si>
    <r>
      <rPr>
        <b/>
        <sz val="12"/>
        <color theme="1"/>
        <rFont val="Calibri"/>
        <family val="2"/>
        <scheme val="minor"/>
      </rPr>
      <t xml:space="preserve">Comprehend and Interpret </t>
    </r>
    <r>
      <rPr>
        <sz val="12"/>
        <color theme="1"/>
        <rFont val="Calibri"/>
        <family val="2"/>
        <scheme val="minor"/>
      </rPr>
      <t>information, including solutions, results and instructions</t>
    </r>
  </si>
  <si>
    <r>
      <t xml:space="preserve">Articulate </t>
    </r>
    <r>
      <rPr>
        <sz val="11"/>
        <color theme="1"/>
        <rFont val="Calibri"/>
        <family val="2"/>
        <scheme val="minor"/>
      </rPr>
      <t>the roles and responsibilities of the professional engineer in society with reference to the protection of the public and its interest</t>
    </r>
  </si>
  <si>
    <t>8b</t>
  </si>
  <si>
    <r>
      <t xml:space="preserve">Describe </t>
    </r>
    <r>
      <rPr>
        <sz val="11"/>
        <color theme="1"/>
        <rFont val="Calibri"/>
        <family val="2"/>
        <scheme val="minor"/>
      </rPr>
      <t>the importance of codes, standards, best practices, laws, and regulations within engineering</t>
    </r>
  </si>
  <si>
    <r>
      <t xml:space="preserve">Identify </t>
    </r>
    <r>
      <rPr>
        <sz val="11"/>
        <color theme="1"/>
        <rFont val="Calibri"/>
        <family val="2"/>
        <scheme val="minor"/>
      </rPr>
      <t>the relevance of and uncertainty associated with the different aspects (social, cultural, economic, health, safety, legal, environmental) of an engineering project</t>
    </r>
  </si>
  <si>
    <t>9b</t>
  </si>
  <si>
    <r>
      <t xml:space="preserve">Identify </t>
    </r>
    <r>
      <rPr>
        <sz val="11"/>
        <color theme="1"/>
        <rFont val="Calibri"/>
        <family val="2"/>
        <scheme val="minor"/>
      </rPr>
      <t>ethical and unethical behaviour in professional situations</t>
    </r>
  </si>
  <si>
    <t>10b</t>
  </si>
  <si>
    <r>
      <t xml:space="preserve">Identify </t>
    </r>
    <r>
      <rPr>
        <sz val="11"/>
        <color theme="1"/>
        <rFont val="Calibri"/>
        <family val="2"/>
        <scheme val="minor"/>
      </rPr>
      <t>gaps in their knowledge, skills and abilities</t>
    </r>
  </si>
  <si>
    <r>
      <t xml:space="preserve">Obtain and evaluate </t>
    </r>
    <r>
      <rPr>
        <sz val="11"/>
        <color rgb="FF000000"/>
        <rFont val="Calibri"/>
        <family val="2"/>
        <scheme val="minor"/>
      </rPr>
      <t>information or training from appropriate sources</t>
    </r>
  </si>
  <si>
    <r>
      <t xml:space="preserve">Reflect </t>
    </r>
    <r>
      <rPr>
        <sz val="11"/>
        <color rgb="FF000000"/>
        <rFont val="Calibri"/>
        <family val="2"/>
        <scheme val="minor"/>
      </rPr>
      <t>on the use of information or training obtained</t>
    </r>
  </si>
  <si>
    <t>F17</t>
  </si>
  <si>
    <t>Identify probability distributions and performance measures</t>
  </si>
  <si>
    <t xml:space="preserve">Implement a thorough analysis of the performance measurements of interest. </t>
  </si>
  <si>
    <t>Investigate costs and benefits in relation to a model of interest from simulation results</t>
  </si>
  <si>
    <t>Design and build simulation models for stochastic systems</t>
  </si>
  <si>
    <t xml:space="preserve">Use statistical methods to find the type of distributions, estimate the parameters, and implement goodness-of-fit tests. </t>
  </si>
  <si>
    <t>Verify and validate simulation models using statistical methods and software (e.g., Excel and Arena)</t>
  </si>
  <si>
    <t>Identify real-world problems that can be solved using optimization methods</t>
  </si>
  <si>
    <t>Formulate linear, integer, and network optimization models</t>
  </si>
  <si>
    <t>Solve two-dimensional linear programming models using graphical solution method</t>
  </si>
  <si>
    <t>Use simplex method to find the optimal solution of a linear programming model</t>
  </si>
  <si>
    <t>Solve special cases of network optimization models</t>
  </si>
  <si>
    <t>Analyze the sensitivity of the optimal solution of a linear program to changes in its parameters</t>
  </si>
  <si>
    <t>Use Excel solver to solve linear and integer programming models and generate sensitivity analysis reports</t>
  </si>
  <si>
    <t>acquire disciplined knowledge and personal understanding of the impact of services and
production operations in organizations</t>
  </si>
  <si>
    <t>develop awareness of core concepts and decision-making tools used by operations
managers</t>
  </si>
  <si>
    <t>identify a framework through which further studies can be conducted</t>
  </si>
  <si>
    <t>Describe disciplined knowledge and personal understanding of the impact of human behaviour on work in organizations</t>
  </si>
  <si>
    <t>Define the organizational effectiveness at the individual, group, enterprise, and global levels</t>
  </si>
  <si>
    <t>Evaluate how organizations might better operate under newer paradigm of business-stakeholder engagement and how to pursue innovation under conditions of global climate change</t>
  </si>
  <si>
    <t>Solve real case problems in the form of virtual teams and groups</t>
  </si>
  <si>
    <t>Obtain and evaluate information from appropriate sources</t>
  </si>
  <si>
    <t>Reflect on the use of information that you have obtained</t>
  </si>
  <si>
    <t>Identify substances of thermodynamic significance, discuss their generalized behaviour, and calculate their thermodynamic properties</t>
  </si>
  <si>
    <t>Distinguish between the types of energy, estimate the magnitude of simple compressible work, and describe how one type of energy can be transformed into another</t>
  </si>
  <si>
    <t>Discuss and apply the concept of balance in relation to mass (conservation of mass) and energy (1st Law of Thermodynamics)</t>
  </si>
  <si>
    <t>Discuss the concept of entropy (2nd Law of Thermodynamics) and apply it to determine the limitations of real processes</t>
  </si>
  <si>
    <t>Illustrate design concepts through several prototypes</t>
  </si>
  <si>
    <t>I</t>
  </si>
  <si>
    <t>D</t>
  </si>
  <si>
    <t>A</t>
  </si>
  <si>
    <t>ID</t>
  </si>
  <si>
    <t>IA</t>
  </si>
  <si>
    <t>DA</t>
  </si>
  <si>
    <t>IDA</t>
  </si>
  <si>
    <t>I: Introduced (Introductory)</t>
  </si>
  <si>
    <t>D: Developed (Intermediate)</t>
  </si>
  <si>
    <t>A: Applied (Advanced)</t>
  </si>
  <si>
    <t>Impact on Society</t>
  </si>
  <si>
    <t>Graduate Attribute</t>
  </si>
  <si>
    <t>students learn the working vocabulary of the area of content, along with some of the major underlying concepts. Many of the terms need defining and the ideas are often presented in a somewhat simplified way.</t>
  </si>
  <si>
    <t xml:space="preserve">students use their working vocabulary and major fundamental concepts to begin to probe more deeply, to read the literature, and to deepen their exploration into concepts. At this level, students can begin to appreciate that any field of study is a complex mixture of sub-disciplines with many different levels of organization and analysis. </t>
  </si>
  <si>
    <t>Explain and justify the benefits and drawbacks of user-centred design</t>
  </si>
  <si>
    <t>Describe guidelines and models that can be applied to interface design</t>
  </si>
  <si>
    <t>Apply a variety of methods to involve the people who use an application in the design process</t>
  </si>
  <si>
    <t>Evaluate the usability of an interface</t>
  </si>
  <si>
    <t># Assess</t>
  </si>
  <si>
    <t>Total Assess</t>
  </si>
  <si>
    <t>per PLI</t>
  </si>
  <si>
    <t>total PLI</t>
  </si>
  <si>
    <t>enter term</t>
  </si>
  <si>
    <t>as</t>
  </si>
  <si>
    <t>asdf</t>
  </si>
  <si>
    <t>sf</t>
  </si>
  <si>
    <t>sdf</t>
  </si>
  <si>
    <t>sb</t>
  </si>
  <si>
    <t>Introduced (Introductory)</t>
  </si>
  <si>
    <t>Developed (Intermediate)</t>
  </si>
  <si>
    <t>Applied (Advanced)</t>
  </si>
  <si>
    <t>Introduced &amp; Developed</t>
  </si>
  <si>
    <t>Introduced &amp; Applied</t>
  </si>
  <si>
    <t>Developed &amp; Applied</t>
  </si>
  <si>
    <t>Introduced &amp; Developed &amp; Applied</t>
  </si>
  <si>
    <t>Instruction Level</t>
  </si>
  <si>
    <r>
      <rPr>
        <sz val="12"/>
        <color rgb="FFFF0000"/>
        <rFont val="Calibri"/>
        <family val="2"/>
        <scheme val="minor"/>
      </rPr>
      <t>*</t>
    </r>
    <r>
      <rPr>
        <sz val="12"/>
        <color theme="1"/>
        <rFont val="Calibri"/>
        <family val="2"/>
        <scheme val="minor"/>
      </rPr>
      <t>Instruction Level</t>
    </r>
  </si>
  <si>
    <r>
      <t>Instruction Level</t>
    </r>
    <r>
      <rPr>
        <sz val="12"/>
        <color rgb="FFFF0000"/>
        <rFont val="Calibri"/>
        <family val="2"/>
        <scheme val="minor"/>
      </rPr>
      <t>*</t>
    </r>
  </si>
  <si>
    <t>Total</t>
  </si>
  <si>
    <t>Identify sampling, and different continuous probability distributions</t>
  </si>
  <si>
    <t xml:space="preserve">Identify and, formulate the problem definition </t>
  </si>
  <si>
    <t>Synthesize, information to reach mass and energy balance, thermal efficiency, and entropy transfer and increasing</t>
  </si>
</sst>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1"/>
      <color theme="1"/>
      <name val="Calibri"/>
      <family val="2"/>
      <scheme val="minor"/>
    </font>
    <font>
      <sz val="12"/>
      <color theme="1"/>
      <name val="Calibri"/>
      <family val="2"/>
      <scheme val="minor"/>
    </font>
    <font>
      <sz val="12"/>
      <color theme="1"/>
      <name val="Times New Roman"/>
      <family val="1"/>
    </font>
    <font>
      <b/>
      <sz val="11"/>
      <color theme="1"/>
      <name val="Calibri"/>
      <family val="2"/>
      <scheme val="minor"/>
    </font>
    <font>
      <b/>
      <sz val="14"/>
      <color theme="0"/>
      <name val="Times New Roman"/>
      <family val="1"/>
    </font>
    <font>
      <b/>
      <sz val="12"/>
      <color theme="1"/>
      <name val="Times New Roman"/>
      <family val="1"/>
    </font>
    <font>
      <b/>
      <sz val="10"/>
      <color rgb="FF000000"/>
      <name val="Tahoma"/>
      <family val="2"/>
    </font>
    <font>
      <b/>
      <sz val="14"/>
      <color theme="1"/>
      <name val="Calibri"/>
      <family val="2"/>
      <scheme val="minor"/>
    </font>
    <font>
      <b/>
      <sz val="11"/>
      <color theme="0"/>
      <name val="Calibri"/>
      <family val="2"/>
      <scheme val="minor"/>
    </font>
    <font>
      <sz val="11"/>
      <color theme="1"/>
      <name val="Calibri"/>
      <family val="2"/>
      <scheme val="minor"/>
    </font>
    <font>
      <b/>
      <sz val="11"/>
      <color rgb="FFFF0000"/>
      <name val="Calibri"/>
      <family val="2"/>
      <scheme val="minor"/>
    </font>
    <font>
      <b/>
      <sz val="11"/>
      <color theme="1"/>
      <name val="Wingdings"/>
      <charset val="2"/>
    </font>
    <font>
      <b/>
      <sz val="12"/>
      <color theme="1"/>
      <name val="Calibri"/>
      <family val="2"/>
      <scheme val="minor"/>
    </font>
    <font>
      <sz val="12"/>
      <color theme="1"/>
      <name val="Calibri"/>
      <family val="2"/>
      <scheme val="minor"/>
    </font>
    <font>
      <sz val="11"/>
      <color theme="0" tint="-4.9989318521683403E-2"/>
      <name val="Calibri"/>
      <family val="2"/>
      <scheme val="minor"/>
    </font>
    <font>
      <sz val="11"/>
      <color theme="0"/>
      <name val="Calibri"/>
      <family val="2"/>
      <scheme val="minor"/>
    </font>
    <font>
      <sz val="9"/>
      <color rgb="FF000000"/>
      <name val="Tahoma"/>
      <family val="2"/>
    </font>
    <font>
      <u/>
      <sz val="9"/>
      <color rgb="FF000000"/>
      <name val="Tahoma"/>
      <family val="2"/>
    </font>
    <font>
      <i/>
      <sz val="10"/>
      <color theme="1"/>
      <name val="Calibri"/>
      <family val="2"/>
      <scheme val="minor"/>
    </font>
    <font>
      <sz val="10"/>
      <color theme="1"/>
      <name val="Verdana"/>
      <family val="2"/>
    </font>
    <font>
      <sz val="11"/>
      <color theme="0" tint="-0.34998626667073579"/>
      <name val="Calibri"/>
      <family val="2"/>
      <scheme val="minor"/>
    </font>
    <font>
      <sz val="11"/>
      <color rgb="FF000000"/>
      <name val="Calibri"/>
      <family val="2"/>
    </font>
    <font>
      <i/>
      <sz val="11"/>
      <color theme="1"/>
      <name val="Calibri"/>
      <family val="2"/>
      <scheme val="minor"/>
    </font>
    <font>
      <sz val="11"/>
      <color rgb="FFFF0000"/>
      <name val="Calibri"/>
      <family val="2"/>
      <scheme val="minor"/>
    </font>
    <font>
      <sz val="11"/>
      <name val="Calibri"/>
      <family val="2"/>
      <scheme val="minor"/>
    </font>
    <font>
      <sz val="11"/>
      <color rgb="FF000000"/>
      <name val="Calibri"/>
      <family val="2"/>
      <scheme val="minor"/>
    </font>
    <font>
      <b/>
      <sz val="11"/>
      <color theme="1"/>
      <name val="Calibri"/>
      <family val="2"/>
    </font>
    <font>
      <b/>
      <sz val="12"/>
      <color rgb="FF000000"/>
      <name val="Calibri"/>
      <family val="2"/>
      <scheme val="minor"/>
    </font>
    <font>
      <sz val="12"/>
      <color rgb="FF000000"/>
      <name val="Calibri"/>
      <family val="2"/>
      <scheme val="minor"/>
    </font>
    <font>
      <b/>
      <sz val="11"/>
      <color rgb="FF000000"/>
      <name val="Calibri"/>
      <family val="2"/>
      <scheme val="minor"/>
    </font>
    <font>
      <sz val="9"/>
      <color indexed="81"/>
      <name val="Tahoma"/>
      <family val="2"/>
    </font>
    <font>
      <sz val="11"/>
      <color theme="8" tint="0.59999389629810485"/>
      <name val="Calibri"/>
      <family val="2"/>
      <scheme val="minor"/>
    </font>
    <font>
      <sz val="12"/>
      <color rgb="FFFF0000"/>
      <name val="Calibri"/>
      <family val="2"/>
      <scheme val="minor"/>
    </font>
    <font>
      <sz val="11"/>
      <color rgb="FF0070C0"/>
      <name val="Calibri"/>
      <family val="2"/>
      <scheme val="minor"/>
    </font>
    <font>
      <sz val="12"/>
      <color rgb="FF000000"/>
      <name val="Helvetica"/>
    </font>
  </fonts>
  <fills count="9">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bgColor theme="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92D050"/>
        <bgColor indexed="64"/>
      </patternFill>
    </fill>
  </fills>
  <borders count="76">
    <border>
      <left/>
      <right/>
      <top/>
      <bottom/>
      <diagonal/>
    </border>
    <border>
      <left/>
      <right/>
      <top style="thin">
        <color theme="4" tint="0.39997558519241921"/>
      </top>
      <bottom style="thin">
        <color theme="4" tint="0.39997558519241921"/>
      </bottom>
      <diagonal/>
    </border>
    <border>
      <left/>
      <right/>
      <top/>
      <bottom style="thin">
        <color auto="1"/>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top/>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diagonal/>
    </border>
    <border>
      <left style="hair">
        <color auto="1"/>
      </left>
      <right style="hair">
        <color auto="1"/>
      </right>
      <top style="medium">
        <color auto="1"/>
      </top>
      <bottom style="thin">
        <color auto="1"/>
      </bottom>
      <diagonal/>
    </border>
    <border>
      <left style="medium">
        <color auto="1"/>
      </left>
      <right style="hair">
        <color auto="1"/>
      </right>
      <top style="medium">
        <color auto="1"/>
      </top>
      <bottom style="thick">
        <color auto="1"/>
      </bottom>
      <diagonal/>
    </border>
    <border>
      <left style="hair">
        <color auto="1"/>
      </left>
      <right style="hair">
        <color auto="1"/>
      </right>
      <top style="medium">
        <color auto="1"/>
      </top>
      <bottom style="thick">
        <color auto="1"/>
      </bottom>
      <diagonal/>
    </border>
    <border>
      <left style="hair">
        <color auto="1"/>
      </left>
      <right/>
      <top style="medium">
        <color auto="1"/>
      </top>
      <bottom style="thick">
        <color auto="1"/>
      </bottom>
      <diagonal/>
    </border>
    <border>
      <left style="medium">
        <color auto="1"/>
      </left>
      <right style="hair">
        <color auto="1"/>
      </right>
      <top/>
      <bottom style="thin">
        <color auto="1"/>
      </bottom>
      <diagonal/>
    </border>
    <border>
      <left style="hair">
        <color auto="1"/>
      </left>
      <right style="hair">
        <color auto="1"/>
      </right>
      <top/>
      <bottom style="thin">
        <color auto="1"/>
      </bottom>
      <diagonal/>
    </border>
    <border>
      <left style="medium">
        <color auto="1"/>
      </left>
      <right style="hair">
        <color auto="1"/>
      </right>
      <top style="thin">
        <color auto="1"/>
      </top>
      <bottom style="thin">
        <color auto="1"/>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diagonal/>
    </border>
    <border>
      <left style="hair">
        <color auto="1"/>
      </left>
      <right style="hair">
        <color auto="1"/>
      </right>
      <top/>
      <bottom/>
      <diagonal/>
    </border>
    <border>
      <left style="hair">
        <color auto="1"/>
      </left>
      <right style="hair">
        <color auto="1"/>
      </right>
      <top style="thick">
        <color auto="1"/>
      </top>
      <bottom/>
      <diagonal/>
    </border>
    <border>
      <left/>
      <right style="hair">
        <color auto="1"/>
      </right>
      <top style="medium">
        <color auto="1"/>
      </top>
      <bottom/>
      <diagonal/>
    </border>
    <border>
      <left/>
      <right style="hair">
        <color auto="1"/>
      </right>
      <top/>
      <bottom/>
      <diagonal/>
    </border>
    <border>
      <left/>
      <right style="hair">
        <color auto="1"/>
      </right>
      <top/>
      <bottom style="medium">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diagonal/>
    </border>
    <border>
      <left style="thin">
        <color auto="1"/>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dashed">
        <color auto="1"/>
      </left>
      <right style="medium">
        <color auto="1"/>
      </right>
      <top style="medium">
        <color auto="1"/>
      </top>
      <bottom/>
      <diagonal/>
    </border>
    <border>
      <left style="dashed">
        <color auto="1"/>
      </left>
      <right/>
      <top style="medium">
        <color auto="1"/>
      </top>
      <bottom/>
      <diagonal/>
    </border>
    <border>
      <left style="dashed">
        <color auto="1"/>
      </left>
      <right/>
      <top/>
      <bottom/>
      <diagonal/>
    </border>
    <border>
      <left style="dashed">
        <color auto="1"/>
      </left>
      <right/>
      <top/>
      <bottom style="medium">
        <color auto="1"/>
      </bottom>
      <diagonal/>
    </border>
    <border>
      <left style="dashed">
        <color auto="1"/>
      </left>
      <right/>
      <top style="thin">
        <color auto="1"/>
      </top>
      <bottom style="medium">
        <color auto="1"/>
      </bottom>
      <diagonal/>
    </border>
    <border>
      <left style="dashed">
        <color auto="1"/>
      </left>
      <right/>
      <top style="thin">
        <color auto="1"/>
      </top>
      <bottom style="thin">
        <color auto="1"/>
      </bottom>
      <diagonal/>
    </border>
    <border>
      <left style="dashed">
        <color auto="1"/>
      </left>
      <right/>
      <top style="medium">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hair">
        <color auto="1"/>
      </left>
      <right style="medium">
        <color auto="1"/>
      </right>
      <top/>
      <bottom style="thin">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
        <color auto="1"/>
      </left>
      <right/>
      <top style="medium">
        <color auto="1"/>
      </top>
      <bottom style="medium">
        <color auto="1"/>
      </bottom>
      <diagonal/>
    </border>
    <border>
      <left style="thick">
        <color auto="1"/>
      </left>
      <right style="hair">
        <color auto="1"/>
      </right>
      <top style="thick">
        <color auto="1"/>
      </top>
      <bottom style="thin">
        <color auto="1"/>
      </bottom>
      <diagonal/>
    </border>
    <border>
      <left style="hair">
        <color auto="1"/>
      </left>
      <right style="hair">
        <color auto="1"/>
      </right>
      <top style="thick">
        <color auto="1"/>
      </top>
      <bottom style="thin">
        <color auto="1"/>
      </bottom>
      <diagonal/>
    </border>
    <border>
      <left style="hair">
        <color auto="1"/>
      </left>
      <right style="thick">
        <color auto="1"/>
      </right>
      <top style="thick">
        <color auto="1"/>
      </top>
      <bottom style="thin">
        <color auto="1"/>
      </bottom>
      <diagonal/>
    </border>
    <border>
      <left style="thick">
        <color auto="1"/>
      </left>
      <right style="hair">
        <color auto="1"/>
      </right>
      <top style="thin">
        <color auto="1"/>
      </top>
      <bottom style="thin">
        <color auto="1"/>
      </bottom>
      <diagonal/>
    </border>
    <border>
      <left style="hair">
        <color auto="1"/>
      </left>
      <right style="thick">
        <color auto="1"/>
      </right>
      <top style="thin">
        <color auto="1"/>
      </top>
      <bottom style="thin">
        <color auto="1"/>
      </bottom>
      <diagonal/>
    </border>
    <border>
      <left style="thick">
        <color auto="1"/>
      </left>
      <right style="hair">
        <color auto="1"/>
      </right>
      <top style="thin">
        <color auto="1"/>
      </top>
      <bottom style="thick">
        <color auto="1"/>
      </bottom>
      <diagonal/>
    </border>
    <border>
      <left style="hair">
        <color auto="1"/>
      </left>
      <right style="hair">
        <color auto="1"/>
      </right>
      <top style="thin">
        <color auto="1"/>
      </top>
      <bottom style="thick">
        <color auto="1"/>
      </bottom>
      <diagonal/>
    </border>
    <border>
      <left style="hair">
        <color auto="1"/>
      </left>
      <right style="thick">
        <color auto="1"/>
      </right>
      <top style="thin">
        <color auto="1"/>
      </top>
      <bottom style="thick">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s>
  <cellStyleXfs count="1">
    <xf numFmtId="0" fontId="0" fillId="0" borderId="0"/>
  </cellStyleXfs>
  <cellXfs count="241">
    <xf numFmtId="0" fontId="0" fillId="0" borderId="0" xfId="0"/>
    <xf numFmtId="0" fontId="0" fillId="0" borderId="0" xfId="0"/>
    <xf numFmtId="0" fontId="2" fillId="0" borderId="0" xfId="0" applyFont="1" applyAlignment="1">
      <alignment horizontal="justify" vertical="center"/>
    </xf>
    <xf numFmtId="0" fontId="0" fillId="0" borderId="0" xfId="0"/>
    <xf numFmtId="0" fontId="0" fillId="0" borderId="0" xfId="0" applyAlignment="1">
      <alignment horizontal="left"/>
    </xf>
    <xf numFmtId="0" fontId="5" fillId="0" borderId="0" xfId="0" applyFont="1" applyAlignment="1">
      <alignment horizontal="justify" vertical="center"/>
    </xf>
    <xf numFmtId="0" fontId="6" fillId="0" borderId="0" xfId="0" applyFont="1" applyAlignment="1">
      <alignment vertical="top" wrapText="1"/>
    </xf>
    <xf numFmtId="0" fontId="7" fillId="0" borderId="0" xfId="0" applyFont="1"/>
    <xf numFmtId="2" fontId="0" fillId="0" borderId="0" xfId="0" applyNumberFormat="1"/>
    <xf numFmtId="0" fontId="0" fillId="0" borderId="0" xfId="0" applyFont="1"/>
    <xf numFmtId="0" fontId="9" fillId="0" borderId="0" xfId="0" applyFont="1" applyAlignment="1">
      <alignment horizontal="center" vertical="center" wrapText="1"/>
    </xf>
    <xf numFmtId="0" fontId="9" fillId="0" borderId="0" xfId="0" applyFont="1"/>
    <xf numFmtId="0" fontId="3" fillId="0" borderId="0" xfId="0" applyFont="1"/>
    <xf numFmtId="0" fontId="10" fillId="0" borderId="0" xfId="0" applyFont="1"/>
    <xf numFmtId="0" fontId="3" fillId="0" borderId="0" xfId="0" applyFont="1" applyAlignment="1">
      <alignment horizontal="center" wrapText="1"/>
    </xf>
    <xf numFmtId="0" fontId="3" fillId="0" borderId="2" xfId="0" applyFont="1" applyBorder="1"/>
    <xf numFmtId="0" fontId="0" fillId="0" borderId="0" xfId="0" applyFont="1" applyAlignment="1">
      <alignment wrapText="1"/>
    </xf>
    <xf numFmtId="0" fontId="0" fillId="0" borderId="0" xfId="0" applyFont="1" applyFill="1" applyBorder="1" applyAlignment="1"/>
    <xf numFmtId="0" fontId="0" fillId="0" borderId="1" xfId="0" applyFont="1" applyFill="1" applyBorder="1"/>
    <xf numFmtId="0" fontId="0" fillId="0" borderId="1" xfId="0" applyFont="1" applyFill="1" applyBorder="1" applyAlignment="1">
      <alignment vertical="center" wrapText="1"/>
    </xf>
    <xf numFmtId="0" fontId="0" fillId="0" borderId="1" xfId="0" applyFont="1" applyFill="1" applyBorder="1" applyAlignment="1"/>
    <xf numFmtId="0" fontId="0" fillId="0" borderId="0" xfId="0" applyFill="1"/>
    <xf numFmtId="0" fontId="14" fillId="0" borderId="0" xfId="0" applyFont="1" applyBorder="1"/>
    <xf numFmtId="0" fontId="3" fillId="0" borderId="0" xfId="0" applyFont="1" applyAlignment="1">
      <alignment horizontal="center" vertical="center" wrapText="1"/>
    </xf>
    <xf numFmtId="0" fontId="12" fillId="0" borderId="6" xfId="0" applyFont="1" applyBorder="1" applyAlignment="1">
      <alignment horizontal="right"/>
    </xf>
    <xf numFmtId="0" fontId="13" fillId="0" borderId="0" xfId="0" applyFont="1" applyAlignment="1">
      <alignment horizontal="right"/>
    </xf>
    <xf numFmtId="0" fontId="8" fillId="4" borderId="1" xfId="0" applyFont="1" applyFill="1" applyBorder="1" applyAlignment="1">
      <alignment vertical="center" wrapText="1"/>
    </xf>
    <xf numFmtId="0" fontId="8" fillId="4" borderId="1" xfId="0" applyFont="1" applyFill="1" applyBorder="1" applyAlignment="1">
      <alignment wrapText="1"/>
    </xf>
    <xf numFmtId="0" fontId="8" fillId="4" borderId="0" xfId="0" applyFont="1" applyFill="1" applyBorder="1"/>
    <xf numFmtId="0" fontId="3" fillId="0" borderId="9" xfId="0" applyFont="1" applyBorder="1" applyAlignment="1">
      <alignment horizontal="center" vertical="center" wrapText="1"/>
    </xf>
    <xf numFmtId="0" fontId="0" fillId="0" borderId="0" xfId="0" applyFont="1" applyAlignment="1">
      <alignment horizontal="center" vertical="center"/>
    </xf>
    <xf numFmtId="0" fontId="0" fillId="0" borderId="0" xfId="0" applyFont="1" applyAlignment="1">
      <alignment horizontal="right"/>
    </xf>
    <xf numFmtId="0" fontId="5" fillId="5" borderId="0" xfId="0" applyFont="1" applyFill="1" applyAlignment="1">
      <alignment horizontal="justify" vertical="center"/>
    </xf>
    <xf numFmtId="0" fontId="0" fillId="0" borderId="0" xfId="0" applyAlignment="1">
      <alignment horizontal="center" vertical="center"/>
    </xf>
    <xf numFmtId="0" fontId="3" fillId="0" borderId="10" xfId="0" applyFont="1" applyBorder="1"/>
    <xf numFmtId="0" fontId="3" fillId="0" borderId="11" xfId="0" applyFont="1" applyBorder="1"/>
    <xf numFmtId="0" fontId="3" fillId="0" borderId="12" xfId="0" applyFont="1" applyBorder="1"/>
    <xf numFmtId="0" fontId="0" fillId="0" borderId="12" xfId="0" applyBorder="1"/>
    <xf numFmtId="0" fontId="0" fillId="0" borderId="12" xfId="0" applyFill="1" applyBorder="1"/>
    <xf numFmtId="0" fontId="0" fillId="6" borderId="12" xfId="0" applyFill="1" applyBorder="1"/>
    <xf numFmtId="0" fontId="0" fillId="7" borderId="12" xfId="0" applyFill="1" applyBorder="1"/>
    <xf numFmtId="0" fontId="19" fillId="0" borderId="12" xfId="0" applyFont="1" applyBorder="1" applyAlignment="1">
      <alignment vertical="center"/>
    </xf>
    <xf numFmtId="0" fontId="0" fillId="0" borderId="12" xfId="0" applyBorder="1" applyAlignment="1">
      <alignment vertical="center"/>
    </xf>
    <xf numFmtId="0" fontId="0" fillId="0" borderId="0" xfId="0" applyAlignment="1">
      <alignment horizontal="right"/>
    </xf>
    <xf numFmtId="0" fontId="5" fillId="5" borderId="0" xfId="0" applyFont="1" applyFill="1" applyAlignment="1">
      <alignment horizontal="right" vertical="center"/>
    </xf>
    <xf numFmtId="0" fontId="20" fillId="0" borderId="0" xfId="0" applyFont="1"/>
    <xf numFmtId="0" fontId="3" fillId="0" borderId="0" xfId="0" applyFont="1" applyAlignment="1">
      <alignment horizontal="right"/>
    </xf>
    <xf numFmtId="0" fontId="9" fillId="0" borderId="13" xfId="0" applyFont="1" applyBorder="1" applyAlignment="1">
      <alignment wrapText="1"/>
    </xf>
    <xf numFmtId="0" fontId="9" fillId="0" borderId="0" xfId="0" applyFont="1" applyAlignment="1">
      <alignment wrapText="1"/>
    </xf>
    <xf numFmtId="0" fontId="0" fillId="0" borderId="14" xfId="0" applyFont="1" applyBorder="1" applyAlignment="1">
      <alignment wrapText="1"/>
    </xf>
    <xf numFmtId="0" fontId="0" fillId="0" borderId="15" xfId="0" applyFont="1" applyBorder="1" applyAlignment="1">
      <alignment wrapText="1"/>
    </xf>
    <xf numFmtId="0" fontId="9" fillId="0" borderId="15" xfId="0" applyFont="1" applyBorder="1" applyAlignment="1">
      <alignment wrapText="1"/>
    </xf>
    <xf numFmtId="0" fontId="9" fillId="0" borderId="16" xfId="0" applyFont="1" applyBorder="1" applyAlignment="1">
      <alignment wrapText="1"/>
    </xf>
    <xf numFmtId="0" fontId="9" fillId="0" borderId="9" xfId="0" applyFont="1" applyBorder="1" applyAlignment="1">
      <alignment wrapText="1"/>
    </xf>
    <xf numFmtId="0" fontId="0" fillId="0" borderId="9" xfId="0" applyFont="1" applyBorder="1" applyAlignment="1">
      <alignment wrapText="1"/>
    </xf>
    <xf numFmtId="0" fontId="15" fillId="0" borderId="6" xfId="0" quotePrefix="1" applyFont="1" applyBorder="1" applyAlignment="1">
      <alignment horizontal="right"/>
    </xf>
    <xf numFmtId="0" fontId="3" fillId="0" borderId="18"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20" xfId="0" applyFont="1" applyBorder="1" applyAlignment="1">
      <alignment horizontal="center" vertical="center" wrapText="1"/>
    </xf>
    <xf numFmtId="0" fontId="0" fillId="0" borderId="0" xfId="0" applyFont="1" applyAlignment="1">
      <alignment horizontal="center" vertical="center" wrapText="1"/>
    </xf>
    <xf numFmtId="0" fontId="22" fillId="0" borderId="0" xfId="0" applyFont="1"/>
    <xf numFmtId="0" fontId="0" fillId="0" borderId="0" xfId="0" applyFont="1" applyAlignment="1">
      <alignment horizontal="left" vertical="center" wrapText="1"/>
    </xf>
    <xf numFmtId="0" fontId="3" fillId="0" borderId="19" xfId="0" applyFont="1" applyBorder="1" applyAlignment="1">
      <alignment vertical="center" wrapText="1"/>
    </xf>
    <xf numFmtId="0" fontId="0" fillId="0" borderId="22" xfId="0" applyFont="1" applyBorder="1" applyAlignment="1">
      <alignment horizontal="center" vertical="center"/>
    </xf>
    <xf numFmtId="0" fontId="0" fillId="0" borderId="10" xfId="0" applyFont="1" applyBorder="1" applyAlignment="1">
      <alignment horizontal="center" vertical="center"/>
    </xf>
    <xf numFmtId="0" fontId="0" fillId="0" borderId="17" xfId="0" applyFont="1" applyBorder="1" applyAlignment="1">
      <alignment horizontal="center" vertical="center"/>
    </xf>
    <xf numFmtId="0" fontId="0" fillId="0" borderId="25" xfId="0" applyFont="1" applyBorder="1" applyAlignment="1">
      <alignment horizontal="center" vertical="center"/>
    </xf>
    <xf numFmtId="0" fontId="0" fillId="0" borderId="11" xfId="0" applyFont="1" applyBorder="1" applyAlignment="1">
      <alignment horizontal="center" vertical="center"/>
    </xf>
    <xf numFmtId="0" fontId="0" fillId="0" borderId="10" xfId="0" applyFont="1" applyBorder="1" applyAlignment="1">
      <alignment vertical="center" wrapText="1"/>
    </xf>
    <xf numFmtId="0" fontId="0" fillId="0" borderId="22" xfId="0" applyFont="1" applyBorder="1" applyAlignment="1">
      <alignment horizontal="left" vertical="center" wrapText="1"/>
    </xf>
    <xf numFmtId="0" fontId="0" fillId="0" borderId="10" xfId="0" applyFont="1" applyBorder="1" applyAlignment="1">
      <alignment horizontal="left" vertical="center" wrapText="1"/>
    </xf>
    <xf numFmtId="0" fontId="0" fillId="0" borderId="25" xfId="0" applyFont="1" applyBorder="1" applyAlignment="1">
      <alignment horizontal="left" vertical="center" wrapText="1"/>
    </xf>
    <xf numFmtId="0" fontId="0" fillId="0" borderId="17" xfId="0" applyFont="1" applyBorder="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0" fillId="0" borderId="0" xfId="0" applyFont="1" applyFill="1" applyAlignment="1"/>
    <xf numFmtId="0" fontId="0" fillId="0" borderId="34" xfId="0" applyFont="1" applyFill="1" applyBorder="1" applyAlignment="1">
      <alignment vertical="center" wrapText="1"/>
    </xf>
    <xf numFmtId="0" fontId="0" fillId="0" borderId="34" xfId="0" applyFont="1" applyFill="1" applyBorder="1" applyAlignment="1"/>
    <xf numFmtId="0" fontId="0" fillId="0" borderId="0" xfId="0" applyFill="1" applyBorder="1"/>
    <xf numFmtId="0" fontId="0" fillId="0" borderId="33" xfId="0" applyFont="1" applyFill="1" applyBorder="1"/>
    <xf numFmtId="0" fontId="7" fillId="0" borderId="35" xfId="0" applyFont="1" applyBorder="1" applyAlignment="1">
      <alignment horizontal="left" vertical="center" wrapText="1"/>
    </xf>
    <xf numFmtId="0" fontId="0" fillId="8" borderId="0" xfId="0" applyFont="1" applyFill="1" applyBorder="1" applyAlignment="1"/>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37" xfId="0" applyFont="1" applyBorder="1" applyAlignment="1">
      <alignment horizontal="center" vertical="center" wrapText="1"/>
    </xf>
    <xf numFmtId="0" fontId="7" fillId="0" borderId="36" xfId="0" applyFont="1" applyBorder="1" applyAlignment="1">
      <alignment horizontal="left" vertical="center" wrapText="1"/>
    </xf>
    <xf numFmtId="0" fontId="7" fillId="0" borderId="41" xfId="0" applyFont="1" applyBorder="1" applyAlignment="1">
      <alignment horizontal="left" vertical="center" wrapText="1"/>
    </xf>
    <xf numFmtId="0" fontId="0" fillId="0" borderId="42" xfId="0" applyFont="1" applyBorder="1" applyAlignment="1">
      <alignment horizontal="left" vertical="center" wrapText="1"/>
    </xf>
    <xf numFmtId="0" fontId="0" fillId="0" borderId="43" xfId="0" applyFont="1" applyBorder="1" applyAlignment="1">
      <alignment horizontal="left" vertical="center" wrapText="1"/>
    </xf>
    <xf numFmtId="0" fontId="0" fillId="8" borderId="44" xfId="0" applyFont="1" applyFill="1" applyBorder="1" applyAlignment="1">
      <alignment horizontal="left" vertical="center" wrapText="1"/>
    </xf>
    <xf numFmtId="0" fontId="0" fillId="0" borderId="44" xfId="0" applyFont="1" applyBorder="1" applyAlignment="1">
      <alignment horizontal="left" vertical="center" wrapText="1"/>
    </xf>
    <xf numFmtId="0" fontId="0" fillId="0" borderId="42" xfId="0" applyFont="1" applyFill="1" applyBorder="1" applyAlignment="1">
      <alignment vertical="center" wrapText="1"/>
    </xf>
    <xf numFmtId="0" fontId="0" fillId="0" borderId="44" xfId="0" applyFont="1" applyFill="1" applyBorder="1" applyAlignment="1">
      <alignment vertical="center" wrapText="1"/>
    </xf>
    <xf numFmtId="0" fontId="27" fillId="0" borderId="42" xfId="0" applyFont="1" applyBorder="1" applyAlignment="1">
      <alignment vertical="center" wrapText="1"/>
    </xf>
    <xf numFmtId="0" fontId="27" fillId="0" borderId="44" xfId="0" applyFont="1" applyBorder="1" applyAlignment="1">
      <alignment vertical="center" wrapText="1"/>
    </xf>
    <xf numFmtId="0" fontId="12" fillId="0" borderId="43" xfId="0" applyFont="1" applyBorder="1" applyAlignment="1">
      <alignment horizontal="left" vertical="center" wrapText="1"/>
    </xf>
    <xf numFmtId="0" fontId="13" fillId="0" borderId="44" xfId="0" applyFont="1" applyBorder="1" applyAlignment="1">
      <alignment horizontal="left" vertical="center" wrapText="1"/>
    </xf>
    <xf numFmtId="0" fontId="3" fillId="0" borderId="42" xfId="0" applyFont="1" applyBorder="1" applyAlignment="1">
      <alignment vertical="center" wrapText="1"/>
    </xf>
    <xf numFmtId="0" fontId="3" fillId="0" borderId="44" xfId="0" applyFont="1" applyBorder="1" applyAlignment="1">
      <alignment vertical="center" wrapText="1"/>
    </xf>
    <xf numFmtId="0" fontId="0" fillId="0" borderId="45" xfId="0" applyFont="1" applyBorder="1" applyAlignment="1">
      <alignment horizontal="left" vertical="center" wrapText="1"/>
    </xf>
    <xf numFmtId="0" fontId="0" fillId="0" borderId="46" xfId="0" applyFont="1" applyBorder="1" applyAlignment="1">
      <alignment horizontal="left" vertical="center" wrapText="1"/>
    </xf>
    <xf numFmtId="0" fontId="0" fillId="0" borderId="47" xfId="0" applyFont="1" applyBorder="1" applyAlignment="1">
      <alignment horizontal="left" vertical="center" wrapText="1"/>
    </xf>
    <xf numFmtId="0" fontId="29" fillId="0" borderId="43" xfId="0" applyFont="1" applyBorder="1" applyAlignment="1">
      <alignment vertical="center" wrapText="1"/>
    </xf>
    <xf numFmtId="0" fontId="29" fillId="0" borderId="44" xfId="0" applyFont="1" applyBorder="1" applyAlignment="1">
      <alignment vertical="center" wrapText="1"/>
    </xf>
    <xf numFmtId="0" fontId="0" fillId="0" borderId="0" xfId="0" applyNumberFormat="1" applyFont="1" applyFill="1" applyAlignment="1"/>
    <xf numFmtId="0" fontId="0" fillId="0" borderId="1" xfId="0" applyNumberFormat="1" applyFont="1" applyFill="1" applyBorder="1" applyAlignment="1"/>
    <xf numFmtId="0" fontId="0" fillId="0" borderId="0" xfId="0" applyNumberFormat="1" applyFill="1"/>
    <xf numFmtId="0" fontId="0" fillId="0" borderId="0" xfId="0" applyNumberFormat="1" applyFont="1" applyFill="1" applyBorder="1" applyAlignment="1"/>
    <xf numFmtId="0" fontId="0" fillId="0" borderId="34" xfId="0" applyNumberFormat="1" applyFont="1" applyFill="1" applyBorder="1" applyAlignment="1"/>
    <xf numFmtId="0" fontId="0" fillId="0" borderId="0" xfId="0" applyNumberFormat="1" applyFill="1" applyBorder="1"/>
    <xf numFmtId="0" fontId="8" fillId="4" borderId="1" xfId="0" applyFont="1" applyFill="1" applyBorder="1" applyAlignment="1">
      <alignment horizontal="left" vertical="top" wrapText="1"/>
    </xf>
    <xf numFmtId="0" fontId="8" fillId="4" borderId="0" xfId="0" applyFont="1" applyFill="1" applyBorder="1" applyAlignment="1">
      <alignment vertical="top" wrapText="1"/>
    </xf>
    <xf numFmtId="0" fontId="8" fillId="4" borderId="33" xfId="0" applyFont="1" applyFill="1" applyBorder="1" applyAlignment="1">
      <alignment vertical="top"/>
    </xf>
    <xf numFmtId="0" fontId="8" fillId="4" borderId="1" xfId="0" applyFont="1" applyFill="1" applyBorder="1" applyAlignment="1">
      <alignment vertical="top"/>
    </xf>
    <xf numFmtId="0" fontId="14" fillId="5" borderId="0" xfId="0" applyFont="1" applyFill="1" applyProtection="1">
      <protection locked="0"/>
    </xf>
    <xf numFmtId="0" fontId="14" fillId="5" borderId="0" xfId="0" applyFont="1" applyFill="1" applyAlignment="1" applyProtection="1">
      <alignment wrapText="1"/>
      <protection locked="0"/>
    </xf>
    <xf numFmtId="0" fontId="14" fillId="5" borderId="0" xfId="0" applyFont="1" applyFill="1" applyAlignment="1" applyProtection="1">
      <alignment horizontal="center" vertical="center"/>
      <protection locked="0"/>
    </xf>
    <xf numFmtId="0" fontId="14" fillId="5" borderId="6" xfId="0" applyFont="1" applyFill="1" applyBorder="1" applyAlignment="1" applyProtection="1">
      <alignment horizontal="right"/>
      <protection locked="0"/>
    </xf>
    <xf numFmtId="0" fontId="0" fillId="0" borderId="3" xfId="0" applyBorder="1" applyProtection="1">
      <protection locked="0"/>
    </xf>
    <xf numFmtId="0" fontId="0" fillId="0" borderId="4" xfId="0" applyFont="1" applyBorder="1" applyAlignment="1" applyProtection="1">
      <alignment wrapText="1"/>
      <protection locked="0"/>
    </xf>
    <xf numFmtId="2" fontId="3" fillId="0" borderId="4" xfId="0" applyNumberFormat="1" applyFont="1" applyBorder="1" applyAlignment="1" applyProtection="1">
      <alignment horizontal="center" vertical="center"/>
      <protection locked="0"/>
    </xf>
    <xf numFmtId="2" fontId="3" fillId="0" borderId="4" xfId="0" applyNumberFormat="1" applyFont="1" applyBorder="1" applyAlignment="1" applyProtection="1">
      <alignment vertical="center"/>
      <protection locked="0"/>
    </xf>
    <xf numFmtId="2" fontId="3" fillId="0" borderId="5" xfId="0" applyNumberFormat="1" applyFont="1" applyBorder="1" applyAlignment="1" applyProtection="1">
      <alignment vertical="center"/>
      <protection locked="0"/>
    </xf>
    <xf numFmtId="0" fontId="15" fillId="0" borderId="7" xfId="0" applyFont="1" applyBorder="1" applyAlignment="1" applyProtection="1">
      <alignment horizontal="right" vertical="center"/>
      <protection locked="0"/>
    </xf>
    <xf numFmtId="0" fontId="0" fillId="0" borderId="3" xfId="0"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0" fillId="0" borderId="5" xfId="0" applyFont="1" applyBorder="1" applyAlignment="1" applyProtection="1">
      <alignment horizontal="center" vertical="center"/>
      <protection locked="0"/>
    </xf>
    <xf numFmtId="0" fontId="0" fillId="0" borderId="4" xfId="0" applyFont="1" applyBorder="1" applyAlignment="1" applyProtection="1">
      <alignment horizontal="left" vertical="center" wrapText="1"/>
      <protection locked="0"/>
    </xf>
    <xf numFmtId="2" fontId="0" fillId="0" borderId="4" xfId="0" applyNumberFormat="1" applyFont="1" applyBorder="1" applyAlignment="1" applyProtection="1">
      <alignment horizontal="center" vertical="center" wrapText="1"/>
      <protection locked="0"/>
    </xf>
    <xf numFmtId="2" fontId="0" fillId="0" borderId="4" xfId="0" applyNumberFormat="1" applyFont="1" applyBorder="1" applyAlignment="1" applyProtection="1">
      <alignment vertical="center"/>
      <protection locked="0"/>
    </xf>
    <xf numFmtId="2" fontId="0" fillId="0" borderId="5" xfId="0" applyNumberFormat="1" applyFont="1" applyBorder="1" applyAlignment="1" applyProtection="1">
      <alignment vertical="center"/>
      <protection locked="0"/>
    </xf>
    <xf numFmtId="0" fontId="0" fillId="0" borderId="0" xfId="0" applyFont="1" applyAlignment="1" applyProtection="1">
      <alignment horizontal="center" vertical="center"/>
      <protection locked="0"/>
    </xf>
    <xf numFmtId="0" fontId="0" fillId="0" borderId="4" xfId="0" applyFont="1" applyFill="1" applyBorder="1" applyAlignment="1" applyProtection="1">
      <alignment horizontal="left" vertical="center" wrapText="1"/>
      <protection locked="0"/>
    </xf>
    <xf numFmtId="2" fontId="0" fillId="0" borderId="4" xfId="0" applyNumberFormat="1" applyFont="1" applyBorder="1" applyAlignment="1" applyProtection="1">
      <alignment horizontal="center" vertical="center"/>
      <protection locked="0"/>
    </xf>
    <xf numFmtId="0" fontId="0" fillId="0" borderId="0" xfId="0" applyProtection="1">
      <protection locked="0"/>
    </xf>
    <xf numFmtId="0" fontId="0" fillId="0" borderId="0" xfId="0" applyFont="1" applyProtection="1">
      <protection locked="0"/>
    </xf>
    <xf numFmtId="2" fontId="0" fillId="0" borderId="0" xfId="0" applyNumberFormat="1" applyFont="1" applyAlignment="1" applyProtection="1">
      <alignment horizontal="center" vertical="center"/>
      <protection locked="0"/>
    </xf>
    <xf numFmtId="2" fontId="0" fillId="0" borderId="0" xfId="0" applyNumberFormat="1" applyFont="1" applyProtection="1">
      <protection locked="0"/>
    </xf>
    <xf numFmtId="0" fontId="0" fillId="0" borderId="34" xfId="0" applyFont="1" applyFill="1" applyBorder="1"/>
    <xf numFmtId="0" fontId="0" fillId="0" borderId="3" xfId="0" applyFont="1" applyBorder="1" applyAlignment="1" applyProtection="1">
      <alignment horizontal="right" vertical="center"/>
    </xf>
    <xf numFmtId="0" fontId="31" fillId="0" borderId="8" xfId="0" applyFont="1" applyBorder="1" applyAlignment="1" applyProtection="1">
      <alignment horizontal="center" vertical="center"/>
    </xf>
    <xf numFmtId="0" fontId="0" fillId="0" borderId="3"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locked="0"/>
    </xf>
    <xf numFmtId="0" fontId="0" fillId="0" borderId="0" xfId="0" applyFont="1" applyFill="1" applyAlignment="1" applyProtection="1">
      <alignment horizontal="center" vertical="center"/>
      <protection locked="0"/>
    </xf>
    <xf numFmtId="0" fontId="0" fillId="0" borderId="53" xfId="0" applyBorder="1"/>
    <xf numFmtId="0" fontId="0" fillId="0" borderId="54" xfId="0" applyBorder="1"/>
    <xf numFmtId="0" fontId="0" fillId="0" borderId="55" xfId="0" applyBorder="1"/>
    <xf numFmtId="0" fontId="3" fillId="0" borderId="56" xfId="0" applyFont="1" applyBorder="1"/>
    <xf numFmtId="0" fontId="3" fillId="0" borderId="51" xfId="0" applyFont="1" applyBorder="1" applyAlignment="1">
      <alignment horizontal="center"/>
    </xf>
    <xf numFmtId="0" fontId="3" fillId="0" borderId="4" xfId="0" applyFont="1" applyBorder="1" applyAlignment="1">
      <alignment horizontal="center"/>
    </xf>
    <xf numFmtId="0" fontId="3" fillId="0" borderId="4" xfId="0" applyFont="1" applyFill="1" applyBorder="1" applyAlignment="1">
      <alignment horizontal="center"/>
    </xf>
    <xf numFmtId="0" fontId="3" fillId="0" borderId="52" xfId="0" applyFont="1" applyBorder="1" applyAlignment="1">
      <alignment horizontal="center"/>
    </xf>
    <xf numFmtId="0" fontId="13" fillId="0" borderId="0" xfId="0" applyFont="1" applyAlignment="1">
      <alignment horizontal="left"/>
    </xf>
    <xf numFmtId="0" fontId="31" fillId="0" borderId="8" xfId="0" applyFont="1" applyFill="1" applyBorder="1" applyAlignment="1" applyProtection="1">
      <alignment horizontal="center" vertical="center"/>
    </xf>
    <xf numFmtId="0" fontId="0" fillId="0" borderId="3" xfId="0" applyFont="1" applyFill="1" applyBorder="1" applyAlignment="1" applyProtection="1">
      <alignment horizontal="right" vertical="center"/>
    </xf>
    <xf numFmtId="0" fontId="0" fillId="0" borderId="0" xfId="0" applyFont="1" applyAlignment="1">
      <alignment horizontal="center"/>
    </xf>
    <xf numFmtId="0" fontId="0" fillId="0" borderId="0" xfId="0" applyAlignment="1">
      <alignment vertical="center"/>
    </xf>
    <xf numFmtId="0" fontId="0" fillId="0" borderId="0" xfId="0" applyAlignment="1">
      <alignment horizontal="center"/>
    </xf>
    <xf numFmtId="0" fontId="33" fillId="0" borderId="0" xfId="0" applyFont="1"/>
    <xf numFmtId="0" fontId="3" fillId="0" borderId="57" xfId="0" applyFont="1" applyBorder="1" applyAlignment="1">
      <alignment horizontal="center" vertical="center" wrapText="1"/>
    </xf>
    <xf numFmtId="0" fontId="3" fillId="0" borderId="58" xfId="0" applyFont="1" applyBorder="1" applyAlignment="1">
      <alignment horizontal="center" vertical="center" wrapText="1"/>
    </xf>
    <xf numFmtId="0" fontId="3" fillId="0" borderId="59" xfId="0" applyFont="1" applyBorder="1" applyAlignment="1">
      <alignment horizontal="center" vertical="center" wrapText="1"/>
    </xf>
    <xf numFmtId="0" fontId="0" fillId="0" borderId="60" xfId="0" applyFont="1" applyBorder="1"/>
    <xf numFmtId="0" fontId="0" fillId="0" borderId="10" xfId="0" applyFont="1" applyBorder="1"/>
    <xf numFmtId="0" fontId="0" fillId="0" borderId="61" xfId="0" applyFont="1" applyBorder="1" applyAlignment="1">
      <alignment horizontal="center"/>
    </xf>
    <xf numFmtId="0" fontId="0" fillId="0" borderId="62" xfId="0" applyFont="1" applyBorder="1"/>
    <xf numFmtId="0" fontId="0" fillId="0" borderId="63" xfId="0" applyFont="1" applyBorder="1"/>
    <xf numFmtId="0" fontId="0" fillId="0" borderId="64" xfId="0" applyFont="1" applyBorder="1" applyAlignment="1">
      <alignment horizontal="center"/>
    </xf>
    <xf numFmtId="0" fontId="15" fillId="0" borderId="0" xfId="0" applyFont="1" applyFill="1" applyAlignment="1">
      <alignment vertical="center"/>
    </xf>
    <xf numFmtId="0" fontId="15" fillId="0" borderId="0" xfId="0" applyFont="1" applyAlignment="1">
      <alignment vertical="center"/>
    </xf>
    <xf numFmtId="0" fontId="33" fillId="0" borderId="0" xfId="0" applyFont="1" applyFill="1" applyAlignment="1">
      <alignment vertical="center"/>
    </xf>
    <xf numFmtId="0" fontId="0" fillId="0" borderId="70" xfId="0" applyBorder="1"/>
    <xf numFmtId="0" fontId="0" fillId="0" borderId="71" xfId="0" applyBorder="1"/>
    <xf numFmtId="0" fontId="0" fillId="0" borderId="72" xfId="0" applyBorder="1"/>
    <xf numFmtId="0" fontId="0" fillId="0" borderId="0" xfId="0" applyFont="1" applyFill="1" applyBorder="1"/>
    <xf numFmtId="0" fontId="0" fillId="0" borderId="0" xfId="0" applyAlignment="1">
      <alignment vertical="center" wrapText="1"/>
    </xf>
    <xf numFmtId="0" fontId="3" fillId="0" borderId="73" xfId="0" applyFont="1" applyBorder="1" applyAlignment="1">
      <alignment horizontal="center"/>
    </xf>
    <xf numFmtId="0" fontId="0" fillId="0" borderId="66" xfId="0" applyBorder="1" applyAlignment="1">
      <alignment vertical="center"/>
    </xf>
    <xf numFmtId="0" fontId="3" fillId="0" borderId="74" xfId="0" applyFont="1" applyBorder="1" applyAlignment="1">
      <alignment horizontal="center"/>
    </xf>
    <xf numFmtId="0" fontId="0" fillId="0" borderId="15" xfId="0" applyBorder="1" applyAlignment="1">
      <alignment vertical="center"/>
    </xf>
    <xf numFmtId="0" fontId="3" fillId="0" borderId="74" xfId="0" applyFont="1" applyFill="1" applyBorder="1" applyAlignment="1">
      <alignment horizontal="center"/>
    </xf>
    <xf numFmtId="0" fontId="3" fillId="0" borderId="75" xfId="0" applyFont="1" applyBorder="1" applyAlignment="1">
      <alignment horizontal="center"/>
    </xf>
    <xf numFmtId="0" fontId="0" fillId="0" borderId="69" xfId="0" applyBorder="1" applyAlignment="1">
      <alignment vertical="center"/>
    </xf>
    <xf numFmtId="0" fontId="0" fillId="0" borderId="65" xfId="0" applyFont="1" applyBorder="1" applyAlignment="1">
      <alignment horizontal="center" vertical="center"/>
    </xf>
    <xf numFmtId="0" fontId="0" fillId="0" borderId="66" xfId="0" applyFont="1" applyBorder="1" applyAlignment="1">
      <alignment horizontal="center" vertical="center"/>
    </xf>
    <xf numFmtId="0" fontId="0" fillId="0" borderId="67" xfId="0" applyFont="1" applyBorder="1" applyAlignment="1">
      <alignment horizontal="center" vertical="center"/>
    </xf>
    <xf numFmtId="0" fontId="0" fillId="0" borderId="15" xfId="0" applyFont="1" applyBorder="1" applyAlignment="1">
      <alignment horizontal="center" vertical="center"/>
    </xf>
    <xf numFmtId="0" fontId="0" fillId="0" borderId="68" xfId="0" applyFont="1" applyBorder="1" applyAlignment="1">
      <alignment horizontal="center" vertical="center"/>
    </xf>
    <xf numFmtId="0" fontId="0" fillId="0" borderId="69" xfId="0" applyFont="1" applyBorder="1" applyAlignment="1">
      <alignment horizontal="center" vertical="center"/>
    </xf>
    <xf numFmtId="0" fontId="3" fillId="0" borderId="51" xfId="0" applyFont="1" applyBorder="1" applyAlignment="1">
      <alignment horizontal="center" vertical="center"/>
    </xf>
    <xf numFmtId="0" fontId="3" fillId="0" borderId="4" xfId="0" applyFont="1" applyBorder="1" applyAlignment="1">
      <alignment horizontal="center" vertical="center"/>
    </xf>
    <xf numFmtId="0" fontId="3" fillId="0" borderId="4" xfId="0" applyFont="1" applyFill="1" applyBorder="1" applyAlignment="1">
      <alignment horizontal="center" vertical="center"/>
    </xf>
    <xf numFmtId="0" fontId="3" fillId="0" borderId="52" xfId="0" applyFont="1" applyBorder="1" applyAlignment="1">
      <alignment horizontal="center" vertical="center"/>
    </xf>
    <xf numFmtId="0" fontId="0" fillId="0" borderId="26" xfId="0" applyBorder="1" applyAlignment="1">
      <alignment horizontal="center" vertical="center"/>
    </xf>
    <xf numFmtId="0" fontId="0" fillId="0" borderId="22" xfId="0" applyBorder="1" applyAlignment="1">
      <alignment horizontal="center" vertical="center"/>
    </xf>
    <xf numFmtId="0" fontId="0" fillId="0" borderId="50" xfId="0" applyBorder="1" applyAlignment="1">
      <alignment horizontal="center" vertical="center"/>
    </xf>
    <xf numFmtId="0" fontId="0" fillId="0" borderId="23" xfId="0" applyBorder="1" applyAlignment="1">
      <alignment horizontal="center" vertical="center"/>
    </xf>
    <xf numFmtId="0" fontId="0" fillId="0" borderId="10" xfId="0" applyBorder="1" applyAlignment="1">
      <alignment horizontal="center" vertical="center"/>
    </xf>
    <xf numFmtId="0" fontId="0" fillId="0" borderId="48"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49" xfId="0" applyBorder="1" applyAlignment="1">
      <alignment horizontal="center" vertical="center"/>
    </xf>
    <xf numFmtId="0" fontId="33" fillId="0" borderId="0" xfId="0" applyFont="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xf>
    <xf numFmtId="0" fontId="16" fillId="3" borderId="0" xfId="0" applyFont="1" applyFill="1" applyAlignment="1">
      <alignment horizontal="left" vertical="top" wrapText="1"/>
    </xf>
    <xf numFmtId="0" fontId="18" fillId="0" borderId="0" xfId="0" applyFont="1" applyAlignment="1">
      <alignment horizontal="center"/>
    </xf>
    <xf numFmtId="0" fontId="4" fillId="2" borderId="0" xfId="0" applyFont="1" applyFill="1" applyAlignment="1">
      <alignment horizontal="left"/>
    </xf>
    <xf numFmtId="0" fontId="2" fillId="0" borderId="0" xfId="0" applyFont="1" applyAlignment="1">
      <alignment horizontal="left" vertical="center"/>
    </xf>
    <xf numFmtId="0" fontId="3" fillId="0" borderId="0" xfId="0" applyFont="1" applyAlignment="1">
      <alignment horizontal="center"/>
    </xf>
    <xf numFmtId="0" fontId="0" fillId="0" borderId="0" xfId="0" applyAlignment="1">
      <alignment horizontal="center"/>
    </xf>
    <xf numFmtId="0" fontId="0" fillId="0" borderId="17" xfId="0" applyFont="1" applyBorder="1" applyAlignment="1">
      <alignment horizontal="left" vertical="center" wrapText="1"/>
    </xf>
    <xf numFmtId="0" fontId="0" fillId="0" borderId="10" xfId="0" applyFont="1" applyBorder="1" applyAlignment="1">
      <alignment horizontal="left" vertical="center" wrapText="1"/>
    </xf>
    <xf numFmtId="0" fontId="0" fillId="0" borderId="25" xfId="0" applyFont="1" applyBorder="1" applyAlignment="1">
      <alignment horizontal="left" vertical="center" wrapText="1"/>
    </xf>
    <xf numFmtId="0" fontId="0" fillId="0" borderId="29" xfId="0" applyFont="1" applyBorder="1" applyAlignment="1">
      <alignment horizontal="left" vertical="center" wrapText="1"/>
    </xf>
    <xf numFmtId="0" fontId="0" fillId="0" borderId="28" xfId="0" applyFont="1" applyBorder="1" applyAlignment="1">
      <alignment horizontal="left" vertical="center" wrapText="1"/>
    </xf>
    <xf numFmtId="0" fontId="0" fillId="0" borderId="22" xfId="0" applyFont="1" applyBorder="1" applyAlignment="1">
      <alignment horizontal="left" vertical="center" wrapText="1"/>
    </xf>
    <xf numFmtId="0" fontId="0" fillId="0" borderId="27" xfId="0" applyFont="1" applyBorder="1" applyAlignment="1">
      <alignment horizontal="left" vertical="center" wrapText="1"/>
    </xf>
    <xf numFmtId="0" fontId="0" fillId="0" borderId="30" xfId="0" applyFont="1" applyBorder="1" applyAlignment="1">
      <alignment horizontal="left" vertical="center" wrapText="1"/>
    </xf>
    <xf numFmtId="0" fontId="0" fillId="0" borderId="31" xfId="0" applyFont="1" applyBorder="1" applyAlignment="1">
      <alignment horizontal="left" vertical="center" wrapText="1"/>
    </xf>
    <xf numFmtId="0" fontId="0" fillId="0" borderId="32" xfId="0" applyFont="1" applyBorder="1" applyAlignment="1">
      <alignment horizontal="left" vertical="center" wrapText="1"/>
    </xf>
    <xf numFmtId="0" fontId="0" fillId="0" borderId="8" xfId="0" applyFont="1" applyBorder="1" applyAlignment="1">
      <alignment horizontal="left" vertical="center" wrapText="1"/>
    </xf>
    <xf numFmtId="0" fontId="0" fillId="0" borderId="26" xfId="0" applyFont="1" applyBorder="1" applyAlignment="1">
      <alignment horizontal="left" vertical="center"/>
    </xf>
    <xf numFmtId="0" fontId="0" fillId="0" borderId="23" xfId="0" applyFont="1" applyBorder="1" applyAlignment="1">
      <alignment horizontal="left" vertical="center"/>
    </xf>
    <xf numFmtId="0" fontId="0" fillId="0" borderId="24" xfId="0" applyFont="1" applyBorder="1" applyAlignment="1">
      <alignment horizontal="left" vertical="center"/>
    </xf>
    <xf numFmtId="0" fontId="0" fillId="0" borderId="17" xfId="0" applyFont="1" applyBorder="1" applyAlignment="1">
      <alignment vertical="center" wrapText="1"/>
    </xf>
    <xf numFmtId="0" fontId="0" fillId="0" borderId="10" xfId="0" applyFont="1" applyBorder="1" applyAlignment="1">
      <alignment vertical="center" wrapText="1"/>
    </xf>
    <xf numFmtId="0" fontId="0" fillId="0" borderId="25" xfId="0" applyFont="1" applyBorder="1" applyAlignment="1">
      <alignment vertical="center" wrapText="1"/>
    </xf>
    <xf numFmtId="0" fontId="0" fillId="0" borderId="21" xfId="0" applyFont="1" applyBorder="1" applyAlignment="1">
      <alignment horizontal="left" vertical="center"/>
    </xf>
    <xf numFmtId="0" fontId="0" fillId="0" borderId="22" xfId="0" applyFont="1" applyBorder="1" applyAlignment="1">
      <alignment vertical="center" wrapText="1"/>
    </xf>
    <xf numFmtId="0" fontId="0" fillId="0" borderId="26" xfId="0" applyFont="1" applyBorder="1" applyAlignment="1">
      <alignment horizontal="center" vertical="center"/>
    </xf>
    <xf numFmtId="0" fontId="0" fillId="0" borderId="23" xfId="0" applyFont="1" applyBorder="1" applyAlignment="1">
      <alignment horizontal="center" vertical="center"/>
    </xf>
    <xf numFmtId="0" fontId="26" fillId="0" borderId="38" xfId="0" applyFont="1" applyBorder="1" applyAlignment="1">
      <alignment horizontal="center" vertical="center" wrapText="1"/>
    </xf>
    <xf numFmtId="0" fontId="26" fillId="0" borderId="39" xfId="0" applyFont="1" applyBorder="1" applyAlignment="1">
      <alignment horizontal="center" vertical="center" wrapText="1"/>
    </xf>
    <xf numFmtId="0" fontId="26" fillId="0" borderId="40"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cellXfs>
  <cellStyles count="1">
    <cellStyle name="Normal" xfId="0" builtinId="0"/>
  </cellStyles>
  <dxfs count="74">
    <dxf>
      <numFmt numFmtId="0" formatCode="General"/>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bottom" textRotation="0" wrapText="0" indent="0" justifyLastLine="0" shrinkToFit="0" readingOrder="0"/>
    </dxf>
    <dxf>
      <border>
        <right/>
        <bottom/>
        <vertical/>
        <horizontal/>
      </border>
    </dxf>
    <dxf>
      <font>
        <color rgb="FF9C0006"/>
      </font>
      <fill>
        <patternFill>
          <bgColor rgb="FFFFC7CE"/>
        </patternFill>
      </fill>
    </dxf>
    <dxf>
      <border>
        <right/>
        <bottom/>
        <vertical/>
        <horizontal/>
      </border>
    </dxf>
    <dxf>
      <fill>
        <patternFill>
          <bgColor rgb="FFFFFFCC"/>
        </patternFill>
      </fill>
      <border>
        <bottom style="thin">
          <color auto="1"/>
        </bottom>
        <vertical/>
        <horizontal/>
      </border>
    </dxf>
    <dxf>
      <fill>
        <patternFill>
          <bgColor theme="2" tint="-9.9948118533890809E-2"/>
        </patternFill>
      </fill>
      <border>
        <bottom style="thin">
          <color auto="1"/>
        </bottom>
      </border>
    </dxf>
    <dxf>
      <numFmt numFmtId="2" formatCode="0.00"/>
    </dxf>
    <dxf>
      <fill>
        <patternFill>
          <bgColor rgb="FFC00000"/>
        </patternFill>
      </fill>
    </dxf>
    <dxf>
      <fill>
        <patternFill>
          <bgColor theme="2" tint="-9.9948118533890809E-2"/>
        </patternFill>
      </fill>
    </dxf>
    <dxf>
      <fill>
        <patternFill>
          <bgColor rgb="FFC00000"/>
        </patternFill>
      </fill>
    </dxf>
    <dxf>
      <font>
        <color theme="0"/>
      </font>
      <fill>
        <patternFill>
          <bgColor rgb="FFC00000"/>
        </patternFill>
      </fill>
    </dxf>
    <dxf>
      <fill>
        <patternFill>
          <bgColor rgb="FFFF0000"/>
        </patternFill>
      </fill>
    </dxf>
    <dxf>
      <font>
        <color theme="3"/>
      </font>
      <fill>
        <patternFill>
          <bgColor theme="5" tint="0.59996337778862885"/>
        </patternFill>
      </fill>
    </dxf>
    <dxf>
      <fill>
        <patternFill>
          <bgColor theme="5" tint="0.59996337778862885"/>
        </patternFill>
      </fill>
    </dxf>
    <dxf>
      <fill>
        <patternFill>
          <bgColor theme="0" tint="-0.14996795556505021"/>
        </patternFill>
      </fill>
      <border>
        <bottom style="thin">
          <color auto="1"/>
        </bottom>
        <vertical/>
        <horizontal/>
      </border>
    </dxf>
    <dxf>
      <font>
        <color theme="0" tint="-0.14996795556505021"/>
      </font>
      <fill>
        <patternFill patternType="lightVertical">
          <fgColor theme="0" tint="-0.24994659260841701"/>
          <bgColor theme="0" tint="-4.9989318521683403E-2"/>
        </patternFill>
      </fill>
    </dxf>
    <dxf>
      <border>
        <top style="hair">
          <color auto="1"/>
        </top>
        <vertical/>
        <horizontal/>
      </border>
    </dxf>
    <dxf>
      <border>
        <left/>
        <right/>
        <top/>
        <bottom/>
        <vertical/>
        <horizontal/>
      </border>
    </dxf>
    <dxf>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fill>
        <patternFill patternType="gray0625">
          <fgColor theme="0" tint="-0.499984740745262"/>
        </patternFill>
      </fill>
    </dxf>
    <dxf>
      <fill>
        <patternFill patternType="gray0625"/>
      </fill>
    </dxf>
    <dxf>
      <fill>
        <patternFill patternType="lightDown"/>
      </fill>
    </dxf>
    <dxf>
      <font>
        <b/>
        <i val="0"/>
        <color theme="1"/>
      </font>
      <fill>
        <patternFill>
          <bgColor rgb="FFFFFF00"/>
        </patternFill>
      </fill>
    </dxf>
    <dxf>
      <font>
        <b/>
        <i val="0"/>
        <color theme="1"/>
      </font>
      <fill>
        <patternFill patternType="solid">
          <bgColor rgb="FFFFFF00"/>
        </patternFill>
      </fill>
    </dxf>
    <dxf>
      <fill>
        <patternFill patternType="none">
          <fgColor indexed="64"/>
          <bgColor auto="1"/>
        </patternFill>
      </fill>
      <border>
        <top style="hair">
          <color auto="1"/>
        </top>
        <vertical/>
        <horizontal/>
      </border>
    </dxf>
    <dxf>
      <fill>
        <patternFill patternType="none">
          <bgColor auto="1"/>
        </patternFill>
      </fill>
      <border>
        <left/>
        <right/>
        <top/>
        <bottom/>
        <vertical/>
        <horizontal/>
      </border>
    </dxf>
    <dxf>
      <fill>
        <patternFill patternType="none">
          <bgColor auto="1"/>
        </patternFill>
      </fill>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border>
        <top style="hair">
          <color auto="1"/>
        </top>
        <vertical/>
        <horizontal/>
      </border>
    </dxf>
    <dxf>
      <border>
        <left/>
        <right/>
        <top/>
        <bottom/>
        <vertical/>
        <horizontal/>
      </border>
    </dxf>
    <dxf>
      <border>
        <bottom style="thin">
          <color auto="1"/>
        </bottom>
        <vertical/>
        <horizontal/>
      </border>
    </dxf>
    <dxf>
      <fill>
        <patternFill>
          <bgColor theme="2" tint="-0.24994659260841701"/>
        </patternFill>
      </fill>
    </dxf>
    <dxf>
      <fill>
        <patternFill>
          <bgColor theme="2" tint="-0.24994659260841701"/>
        </patternFill>
      </fill>
    </dxf>
    <dxf>
      <fill>
        <patternFill>
          <bgColor theme="2" tint="-0.24994659260841701"/>
        </patternFill>
      </fill>
    </dxf>
    <dxf>
      <font>
        <b/>
        <i val="0"/>
      </font>
    </dxf>
    <dxf>
      <fill>
        <patternFill>
          <bgColor theme="8" tint="0.59996337778862885"/>
        </patternFill>
      </fill>
    </dxf>
    <dxf>
      <border>
        <left/>
        <right/>
        <top/>
        <bottom/>
        <vertical/>
        <horizontal/>
      </border>
    </dxf>
    <dxf>
      <fill>
        <patternFill patternType="lightDown"/>
      </fill>
      <border>
        <bottom style="thin">
          <color auto="1"/>
        </bottom>
      </border>
    </dxf>
    <dxf>
      <numFmt numFmtId="2" formatCode="0.00"/>
    </dxf>
    <dxf>
      <font>
        <color theme="0"/>
      </font>
      <fill>
        <patternFill>
          <bgColor rgb="FFC00000"/>
        </patternFill>
      </fill>
    </dxf>
    <dxf>
      <fill>
        <patternFill>
          <bgColor theme="2" tint="-0.24994659260841701"/>
        </patternFill>
      </fill>
    </dxf>
    <dxf>
      <fill>
        <patternFill>
          <bgColor theme="2"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1422400</xdr:colOff>
          <xdr:row>0</xdr:row>
          <xdr:rowOff>368300</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Update Percentages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63500</xdr:rowOff>
        </xdr:from>
        <xdr:to>
          <xdr:col>1</xdr:col>
          <xdr:colOff>1727200</xdr:colOff>
          <xdr:row>0</xdr:row>
          <xdr:rowOff>355600</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Map to Prog. Indicators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485775</xdr:colOff>
      <xdr:row>1</xdr:row>
      <xdr:rowOff>171450</xdr:rowOff>
    </xdr:from>
    <xdr:to>
      <xdr:col>14</xdr:col>
      <xdr:colOff>2152650</xdr:colOff>
      <xdr:row>13</xdr:row>
      <xdr:rowOff>76200</xdr:rowOff>
    </xdr:to>
    <xdr:sp macro="" textlink="">
      <xdr:nvSpPr>
        <xdr:cNvPr id="2" name="TextBox 1">
          <a:extLst>
            <a:ext uri="{FF2B5EF4-FFF2-40B4-BE49-F238E27FC236}">
              <a16:creationId xmlns="" xmlns:a16="http://schemas.microsoft.com/office/drawing/2014/main" id="{00000000-0008-0000-0500-000002000000}"/>
            </a:ext>
          </a:extLst>
        </xdr:cNvPr>
        <xdr:cNvSpPr txBox="1"/>
      </xdr:nvSpPr>
      <xdr:spPr>
        <a:xfrm>
          <a:off x="4972050" y="533400"/>
          <a:ext cx="6619875"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1- Find the total weight of assessment for eac</a:t>
          </a:r>
          <a:r>
            <a:rPr lang="en-CA" sz="1100" baseline="0"/>
            <a:t>h indicator</a:t>
          </a:r>
        </a:p>
        <a:p>
          <a:r>
            <a:rPr lang="en-CA" sz="1100" baseline="0"/>
            <a:t>What would be the total contribution weight of the related assessments if the studnet gets full mark at each? (5*(5/5)+100*(10/100)+10*(5/10)+100*(10/100))</a:t>
          </a:r>
        </a:p>
        <a:p>
          <a:r>
            <a:rPr lang="en-CA" sz="1100" baseline="0"/>
            <a:t>or sum(related contributions)</a:t>
          </a:r>
        </a:p>
        <a:p>
          <a:endParaRPr lang="en-CA" sz="1100" baseline="0"/>
        </a:p>
        <a:p>
          <a:r>
            <a:rPr lang="en-CA" sz="1100" baseline="0"/>
            <a:t>2- Find the totall contribution from the assessments obtained by students.</a:t>
          </a:r>
        </a:p>
        <a:p>
          <a:r>
            <a:rPr lang="en-CA" sz="1100" baseline="0"/>
            <a:t>(x1*(5/5)+x2*(10/100)+x3*(5/10)+x4*(10/100)</a:t>
          </a:r>
        </a:p>
        <a:p>
          <a:endParaRPr lang="en-CA" sz="1100" baseline="0"/>
        </a:p>
        <a:p>
          <a:r>
            <a:rPr lang="en-CA" sz="1100" baseline="0"/>
            <a:t>3- (2)/(1)</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177800</xdr:colOff>
          <xdr:row>2</xdr:row>
          <xdr:rowOff>152400</xdr:rowOff>
        </xdr:from>
        <xdr:to>
          <xdr:col>17</xdr:col>
          <xdr:colOff>419100</xdr:colOff>
          <xdr:row>7</xdr:row>
          <xdr:rowOff>114300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Export A13 to CSV</a:t>
              </a:r>
            </a:p>
          </xdr:txBody>
        </xdr:sp>
        <xdr:clientData/>
      </xdr:twoCellAnchor>
    </mc:Choice>
    <mc:Fallback/>
  </mc:AlternateContent>
</xdr:wsDr>
</file>

<file path=xl/tables/table1.xml><?xml version="1.0" encoding="utf-8"?>
<table xmlns="http://schemas.openxmlformats.org/spreadsheetml/2006/main" id="1" name="Table1" displayName="Table1" ref="A1:J457" totalsRowShown="0" dataDxfId="11" tableBorderDxfId="10">
  <autoFilter ref="A1:J457"/>
  <sortState ref="A2:J422">
    <sortCondition ref="I1:I422"/>
  </sortState>
  <tableColumns count="10">
    <tableColumn id="1" name="Course " dataDxfId="9"/>
    <tableColumn id="2" name="Time " dataDxfId="8"/>
    <tableColumn id="3" name="Type" dataDxfId="7"/>
    <tableColumn id="4" name="Cohort" dataDxfId="6"/>
    <tableColumn id="5" name="Indicator " dataDxfId="5"/>
    <tableColumn id="6" name="PLI" dataDxfId="4"/>
    <tableColumn id="7" name="# PLI" dataDxfId="3">
      <calculatedColumnFormula>IF(LEN(F2)=2,LEFT(F2,1),LEFT(F2,2))</calculatedColumnFormula>
    </tableColumn>
    <tableColumn id="8" name="Sub# PLI" dataDxfId="2">
      <calculatedColumnFormula>RIGHT(F2,1)</calculatedColumnFormula>
    </tableColumn>
    <tableColumn id="9" name="Attribute" dataDxfId="1">
      <calculatedColumnFormula>IFERROR(VLOOKUP(F2,$N$2:$Q$39,4,FALSE),0)</calculatedColumnFormula>
    </tableColumn>
    <tableColumn id="10" name="Prog. Level Indicator" dataDxfId="0">
      <calculatedColumnFormula>IFERROR(VLOOKUP(F2,$N$2:$O$39,2,FALSE),0)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omments" Target="../comments1.xml"/><Relationship Id="rId1" Type="http://schemas.openxmlformats.org/officeDocument/2006/relationships/printerSettings" Target="../printerSettings/printerSettings4.bin"/><Relationship Id="rId2"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pageSetUpPr fitToPage="1"/>
  </sheetPr>
  <dimension ref="A1:AV117"/>
  <sheetViews>
    <sheetView workbookViewId="0">
      <pane ySplit="1" topLeftCell="A2" activePane="bottomLeft" state="frozen"/>
      <selection pane="bottomLeft" activeCell="F2" sqref="F2"/>
    </sheetView>
  </sheetViews>
  <sheetFormatPr baseColWidth="10" defaultColWidth="8.6640625" defaultRowHeight="15" x14ac:dyDescent="0.2"/>
  <cols>
    <col min="1" max="1" width="4.1640625" style="9" bestFit="1" customWidth="1"/>
    <col min="2" max="2" width="8.6640625" style="9"/>
    <col min="3" max="3" width="4.83203125" style="158" customWidth="1"/>
    <col min="4" max="4" width="8.6640625" style="9"/>
    <col min="5" max="5" width="33.5" style="9" bestFit="1" customWidth="1"/>
    <col min="6" max="37" width="6.6640625" style="9" customWidth="1"/>
    <col min="38" max="38" width="3.83203125" style="9" customWidth="1"/>
    <col min="39" max="39" width="8" style="3" customWidth="1"/>
    <col min="40" max="40" width="5.83203125" style="9" customWidth="1"/>
    <col min="41" max="41" width="20" style="3" customWidth="1"/>
    <col min="42" max="42" width="16.83203125" style="3" customWidth="1"/>
    <col min="43" max="43" width="5.33203125" style="3" customWidth="1"/>
    <col min="44" max="44" width="10.6640625" style="3" customWidth="1"/>
    <col min="45" max="45" width="60.33203125" style="3" customWidth="1"/>
    <col min="46" max="46" width="8.33203125" style="3" customWidth="1"/>
    <col min="47" max="47" width="3.33203125" style="3" customWidth="1"/>
    <col min="48" max="48" width="7.1640625" style="3" customWidth="1"/>
    <col min="49" max="16384" width="8.6640625" style="9"/>
  </cols>
  <sheetData>
    <row r="1" spans="1:48" s="59" customFormat="1" ht="17" thickTop="1" thickBot="1" x14ac:dyDescent="0.25">
      <c r="A1" s="162" t="s">
        <v>488</v>
      </c>
      <c r="B1" s="163" t="s">
        <v>987</v>
      </c>
      <c r="C1" s="164" t="s">
        <v>975</v>
      </c>
      <c r="F1" s="12" t="str">
        <f>INDEX('Assessment Documentation'!$A$10:$A$50,MATCH("*",'Assessment Documentation'!$A$10:$A$50,0))</f>
        <v>A1</v>
      </c>
      <c r="G1" s="12" t="str">
        <f ca="1">IFERROR(INDEX(OFFSET(INDEX('Assessment Documentation'!$A$10:$A$90,MATCH(F1,'Assessment Documentation'!$A$10:$A$90,0)),1,0):'Assessment Documentation'!$A$90,MATCH("*",OFFSET(INDEX('Assessment Documentation'!$A$10:$A$90,MATCH(F1,'Assessment Documentation'!$A$10:$A$90,0)),1,0):'Assessment Documentation'!$A$90,0)),"")</f>
        <v>A2</v>
      </c>
      <c r="H1" s="12" t="str">
        <f ca="1">IFERROR(INDEX(OFFSET(INDEX('Assessment Documentation'!$A$10:$A$90,MATCH(G1,'Assessment Documentation'!$A$10:$A$90,0)),1,0):'Assessment Documentation'!$A$90,MATCH("*",OFFSET(INDEX('Assessment Documentation'!$A$10:$A$90,MATCH(G1,'Assessment Documentation'!$A$10:$A$90,0)),1,0):'Assessment Documentation'!$A$90,0)),"")</f>
        <v>Q1-a</v>
      </c>
      <c r="I1" s="12" t="str">
        <f ca="1">IFERROR(INDEX(OFFSET(INDEX('Assessment Documentation'!$A$10:$A$90,MATCH(H1,'Assessment Documentation'!$A$10:$A$90,0)),1,0):'Assessment Documentation'!$A$90,MATCH("*",OFFSET(INDEX('Assessment Documentation'!$A$10:$A$90,MATCH(H1,'Assessment Documentation'!$A$10:$A$90,0)),1,0):'Assessment Documentation'!$A$90,0)),"")</f>
        <v>Q1-b</v>
      </c>
      <c r="J1" s="12" t="str">
        <f ca="1">IFERROR(INDEX(OFFSET(INDEX('Assessment Documentation'!$A$10:$A$90,MATCH(I1,'Assessment Documentation'!$A$10:$A$90,0)),1,0):'Assessment Documentation'!$A$90,MATCH("*",OFFSET(INDEX('Assessment Documentation'!$A$10:$A$90,MATCH(I1,'Assessment Documentation'!$A$10:$A$90,0)),1,0):'Assessment Documentation'!$A$90,0)),"")</f>
        <v>Q2-c</v>
      </c>
      <c r="K1" s="12" t="str">
        <f ca="1">IFERROR(INDEX(OFFSET(INDEX('Assessment Documentation'!$A$10:$A$90,MATCH(J1,'Assessment Documentation'!$A$10:$A$90,0)),1,0):'Assessment Documentation'!$A$90,MATCH("*",OFFSET(INDEX('Assessment Documentation'!$A$10:$A$90,MATCH(J1,'Assessment Documentation'!$A$10:$A$90,0)),1,0):'Assessment Documentation'!$A$90,0)),"")</f>
        <v>Q2-d</v>
      </c>
      <c r="L1" s="12" t="str">
        <f ca="1">IFERROR(INDEX(OFFSET(INDEX('Assessment Documentation'!$A$10:$A$90,MATCH(K1,'Assessment Documentation'!$A$10:$A$90,0)),1,0):'Assessment Documentation'!$A$90,MATCH("*",OFFSET(INDEX('Assessment Documentation'!$A$10:$A$90,MATCH(K1,'Assessment Documentation'!$A$10:$A$90,0)),1,0):'Assessment Documentation'!$A$90,0)),"")</f>
        <v>P1</v>
      </c>
      <c r="M1" s="12" t="str">
        <f ca="1">IFERROR(INDEX(OFFSET(INDEX('Assessment Documentation'!$A$10:$A$90,MATCH(L1,'Assessment Documentation'!$A$10:$A$90,0)),1,0):'Assessment Documentation'!$A$90,MATCH("*",OFFSET(INDEX('Assessment Documentation'!$A$10:$A$90,MATCH(L1,'Assessment Documentation'!$A$10:$A$90,0)),1,0):'Assessment Documentation'!$A$90,0)),"")</f>
        <v>P2</v>
      </c>
      <c r="N1" s="12" t="str">
        <f ca="1">IFERROR(INDEX(OFFSET(INDEX('Assessment Documentation'!$A$10:$A$90,MATCH(M1,'Assessment Documentation'!$A$10:$A$90,0)),1,0):'Assessment Documentation'!$A$90,MATCH("*",OFFSET(INDEX('Assessment Documentation'!$A$10:$A$90,MATCH(M1,'Assessment Documentation'!$A$10:$A$90,0)),1,0):'Assessment Documentation'!$A$90,0)),"")</f>
        <v>P3</v>
      </c>
      <c r="O1" s="12" t="str">
        <f ca="1">IFERROR(INDEX(OFFSET(INDEX('Assessment Documentation'!$A$10:$A$90,MATCH(N1,'Assessment Documentation'!$A$10:$A$90,0)),1,0):'Assessment Documentation'!$A$90,MATCH("*",OFFSET(INDEX('Assessment Documentation'!$A$10:$A$90,MATCH(N1,'Assessment Documentation'!$A$10:$A$90,0)),1,0):'Assessment Documentation'!$A$90,0)),"")</f>
        <v/>
      </c>
      <c r="P1" s="12" t="str">
        <f ca="1">IFERROR(INDEX(OFFSET(INDEX('Assessment Documentation'!$A$10:$A$90,MATCH(O1,'Assessment Documentation'!$A$10:$A$90,0)),1,0):'Assessment Documentation'!$A$90,MATCH("*",OFFSET(INDEX('Assessment Documentation'!$A$10:$A$90,MATCH(O1,'Assessment Documentation'!$A$10:$A$90,0)),1,0):'Assessment Documentation'!$A$90,0)),"")</f>
        <v/>
      </c>
      <c r="Q1" s="12" t="str">
        <f ca="1">IFERROR(INDEX(OFFSET(INDEX('Assessment Documentation'!$A$10:$A$90,MATCH(P1,'Assessment Documentation'!$A$10:$A$90,0)),1,0):'Assessment Documentation'!$A$90,MATCH("*",OFFSET(INDEX('Assessment Documentation'!$A$10:$A$90,MATCH(P1,'Assessment Documentation'!$A$10:$A$90,0)),1,0):'Assessment Documentation'!$A$90,0)),"")</f>
        <v/>
      </c>
      <c r="R1" s="12" t="str">
        <f ca="1">IFERROR(INDEX(OFFSET(INDEX('Assessment Documentation'!$A$10:$A$90,MATCH(Q1,'Assessment Documentation'!$A$10:$A$90,0)),1,0):'Assessment Documentation'!$A$90,MATCH("*",OFFSET(INDEX('Assessment Documentation'!$A$10:$A$90,MATCH(Q1,'Assessment Documentation'!$A$10:$A$90,0)),1,0):'Assessment Documentation'!$A$90,0)),"")</f>
        <v/>
      </c>
      <c r="S1" s="12" t="str">
        <f ca="1">IFERROR(INDEX(OFFSET(INDEX('Assessment Documentation'!$A$10:$A$90,MATCH(R1,'Assessment Documentation'!$A$10:$A$90,0)),1,0):'Assessment Documentation'!$A$90,MATCH("*",OFFSET(INDEX('Assessment Documentation'!$A$10:$A$90,MATCH(R1,'Assessment Documentation'!$A$10:$A$90,0)),1,0):'Assessment Documentation'!$A$90,0)),"")</f>
        <v/>
      </c>
      <c r="T1" s="12" t="str">
        <f ca="1">IFERROR(INDEX(OFFSET(INDEX('Assessment Documentation'!$A$10:$A$90,MATCH(S1,'Assessment Documentation'!$A$10:$A$90,0)),1,0):'Assessment Documentation'!$A$90,MATCH("*",OFFSET(INDEX('Assessment Documentation'!$A$10:$A$90,MATCH(S1,'Assessment Documentation'!$A$10:$A$90,0)),1,0):'Assessment Documentation'!$A$90,0)),"")</f>
        <v/>
      </c>
      <c r="U1" s="12" t="str">
        <f ca="1">IFERROR(INDEX(OFFSET(INDEX('Assessment Documentation'!$A$10:$A$90,MATCH(T1,'Assessment Documentation'!$A$10:$A$90,0)),1,0):'Assessment Documentation'!$A$90,MATCH("*",OFFSET(INDEX('Assessment Documentation'!$A$10:$A$90,MATCH(T1,'Assessment Documentation'!$A$10:$A$90,0)),1,0):'Assessment Documentation'!$A$90,0)),"")</f>
        <v/>
      </c>
      <c r="V1" s="12" t="str">
        <f ca="1">IFERROR(INDEX(OFFSET(INDEX('Assessment Documentation'!$A$10:$A$90,MATCH(U1,'Assessment Documentation'!$A$10:$A$90,0)),1,0):'Assessment Documentation'!$A$90,MATCH("*",OFFSET(INDEX('Assessment Documentation'!$A$10:$A$90,MATCH(U1,'Assessment Documentation'!$A$10:$A$90,0)),1,0):'Assessment Documentation'!$A$90,0)),"")</f>
        <v/>
      </c>
      <c r="W1" s="12" t="str">
        <f ca="1">IFERROR(INDEX(OFFSET(INDEX('Assessment Documentation'!$A$10:$A$90,MATCH(V1,'Assessment Documentation'!$A$10:$A$90,0)),1,0):'Assessment Documentation'!$A$90,MATCH("*",OFFSET(INDEX('Assessment Documentation'!$A$10:$A$90,MATCH(V1,'Assessment Documentation'!$A$10:$A$90,0)),1,0):'Assessment Documentation'!$A$90,0)),"")</f>
        <v/>
      </c>
      <c r="X1" s="12" t="str">
        <f ca="1">IFERROR(INDEX(OFFSET(INDEX('Assessment Documentation'!$A$10:$A$90,MATCH(W1,'Assessment Documentation'!$A$10:$A$90,0)),1,0):'Assessment Documentation'!$A$90,MATCH("*",OFFSET(INDEX('Assessment Documentation'!$A$10:$A$90,MATCH(W1,'Assessment Documentation'!$A$10:$A$90,0)),1,0):'Assessment Documentation'!$A$90,0)),"")</f>
        <v/>
      </c>
      <c r="Y1" s="12" t="str">
        <f ca="1">IFERROR(INDEX(OFFSET(INDEX('Assessment Documentation'!$A$10:$A$90,MATCH(X1,'Assessment Documentation'!$A$10:$A$90,0)),1,0):'Assessment Documentation'!$A$90,MATCH("*",OFFSET(INDEX('Assessment Documentation'!$A$10:$A$90,MATCH(X1,'Assessment Documentation'!$A$10:$A$90,0)),1,0):'Assessment Documentation'!$A$90,0)),"")</f>
        <v/>
      </c>
      <c r="Z1" s="12" t="str">
        <f ca="1">IFERROR(INDEX(OFFSET(INDEX('Assessment Documentation'!$A$10:$A$90,MATCH(Y1,'Assessment Documentation'!$A$10:$A$90,0)),1,0):'Assessment Documentation'!$A$90,MATCH("*",OFFSET(INDEX('Assessment Documentation'!$A$10:$A$90,MATCH(Y1,'Assessment Documentation'!$A$10:$A$90,0)),1,0):'Assessment Documentation'!$A$90,0)),"")</f>
        <v/>
      </c>
      <c r="AA1" s="12" t="str">
        <f ca="1">IFERROR(INDEX(OFFSET(INDEX('Assessment Documentation'!$A$10:$A$90,MATCH(Z1,'Assessment Documentation'!$A$10:$A$90,0)),1,0):'Assessment Documentation'!$A$90,MATCH("*",OFFSET(INDEX('Assessment Documentation'!$A$10:$A$90,MATCH(Z1,'Assessment Documentation'!$A$10:$A$90,0)),1,0):'Assessment Documentation'!$A$90,0)),"")</f>
        <v/>
      </c>
      <c r="AB1" s="12" t="str">
        <f ca="1">IFERROR(INDEX(OFFSET(INDEX('Assessment Documentation'!$A$10:$A$90,MATCH(AA1,'Assessment Documentation'!$A$10:$A$90,0)),1,0):'Assessment Documentation'!$A$90,MATCH("*",OFFSET(INDEX('Assessment Documentation'!$A$10:$A$90,MATCH(AA1,'Assessment Documentation'!$A$10:$A$90,0)),1,0):'Assessment Documentation'!$A$90,0)),"")</f>
        <v/>
      </c>
      <c r="AC1" s="12" t="str">
        <f ca="1">IFERROR(INDEX(OFFSET(INDEX('Assessment Documentation'!$A$10:$A$90,MATCH(AB1,'Assessment Documentation'!$A$10:$A$90,0)),1,0):'Assessment Documentation'!$A$90,MATCH("*",OFFSET(INDEX('Assessment Documentation'!$A$10:$A$90,MATCH(AB1,'Assessment Documentation'!$A$10:$A$90,0)),1,0):'Assessment Documentation'!$A$90,0)),"")</f>
        <v/>
      </c>
      <c r="AD1" s="12" t="str">
        <f ca="1">IFERROR(INDEX(OFFSET(INDEX('Assessment Documentation'!$A$10:$A$90,MATCH(AC1,'Assessment Documentation'!$A$10:$A$90,0)),1,0):'Assessment Documentation'!$A$90,MATCH("*",OFFSET(INDEX('Assessment Documentation'!$A$10:$A$90,MATCH(AC1,'Assessment Documentation'!$A$10:$A$90,0)),1,0):'Assessment Documentation'!$A$90,0)),"")</f>
        <v/>
      </c>
      <c r="AE1" s="12" t="str">
        <f ca="1">IFERROR(INDEX(OFFSET(INDEX('Assessment Documentation'!$A$10:$A$90,MATCH(AD1,'Assessment Documentation'!$A$10:$A$90,0)),1,0):'Assessment Documentation'!$A$90,MATCH("*",OFFSET(INDEX('Assessment Documentation'!$A$10:$A$90,MATCH(AD1,'Assessment Documentation'!$A$10:$A$90,0)),1,0):'Assessment Documentation'!$A$90,0)),"")</f>
        <v/>
      </c>
      <c r="AF1" s="12" t="str">
        <f ca="1">IFERROR(INDEX(OFFSET(INDEX('Assessment Documentation'!$A$10:$A$90,MATCH(AE1,'Assessment Documentation'!$A$10:$A$90,0)),1,0):'Assessment Documentation'!$A$90,MATCH("*",OFFSET(INDEX('Assessment Documentation'!$A$10:$A$90,MATCH(AE1,'Assessment Documentation'!$A$10:$A$90,0)),1,0):'Assessment Documentation'!$A$90,0)),"")</f>
        <v/>
      </c>
      <c r="AG1" s="12" t="str">
        <f ca="1">IFERROR(INDEX(OFFSET(INDEX('Assessment Documentation'!$A$10:$A$90,MATCH(AF1,'Assessment Documentation'!$A$10:$A$90,0)),1,0):'Assessment Documentation'!$A$90,MATCH("*",OFFSET(INDEX('Assessment Documentation'!$A$10:$A$90,MATCH(AF1,'Assessment Documentation'!$A$10:$A$90,0)),1,0):'Assessment Documentation'!$A$90,0)),"")</f>
        <v/>
      </c>
      <c r="AH1" s="12" t="str">
        <f ca="1">IFERROR(INDEX(OFFSET(INDEX('Assessment Documentation'!$A$10:$A$90,MATCH(AG1,'Assessment Documentation'!$A$10:$A$90,0)),1,0):'Assessment Documentation'!$A$90,MATCH("*",OFFSET(INDEX('Assessment Documentation'!$A$10:$A$90,MATCH(AG1,'Assessment Documentation'!$A$10:$A$90,0)),1,0):'Assessment Documentation'!$A$90,0)),"")</f>
        <v/>
      </c>
      <c r="AI1" s="12" t="str">
        <f ca="1">IFERROR(INDEX(OFFSET(INDEX('Assessment Documentation'!$A$10:$A$90,MATCH(AH1,'Assessment Documentation'!$A$10:$A$90,0)),1,0):'Assessment Documentation'!$A$90,MATCH("*",OFFSET(INDEX('Assessment Documentation'!$A$10:$A$90,MATCH(AH1,'Assessment Documentation'!$A$10:$A$90,0)),1,0):'Assessment Documentation'!$A$90,0)),"")</f>
        <v/>
      </c>
      <c r="AJ1" s="12" t="str">
        <f ca="1">IFERROR(INDEX(OFFSET(INDEX('Assessment Documentation'!$A$10:$A$90,MATCH(AI1,'Assessment Documentation'!$A$10:$A$90,0)),1,0):'Assessment Documentation'!$A$90,MATCH("*",OFFSET(INDEX('Assessment Documentation'!$A$10:$A$90,MATCH(AI1,'Assessment Documentation'!$A$10:$A$90,0)),1,0):'Assessment Documentation'!$A$90,0)),"")</f>
        <v/>
      </c>
      <c r="AK1" s="12" t="str">
        <f ca="1">IFERROR(INDEX(OFFSET(INDEX('Assessment Documentation'!$A$10:$A$90,MATCH(AJ1,'Assessment Documentation'!$A$10:$A$90,0)),1,0):'Assessment Documentation'!$A$90,MATCH("*",OFFSET(INDEX('Assessment Documentation'!$A$10:$A$90,MATCH(AJ1,'Assessment Documentation'!$A$10:$A$90,0)),1,0):'Assessment Documentation'!$A$90,0)),"")</f>
        <v/>
      </c>
      <c r="AL1" s="148"/>
      <c r="AM1" s="3"/>
      <c r="AO1" s="12" t="s">
        <v>727</v>
      </c>
      <c r="AP1" s="12" t="s">
        <v>728</v>
      </c>
      <c r="AQ1" s="3"/>
      <c r="AR1" s="34" t="s">
        <v>573</v>
      </c>
      <c r="AS1" s="35" t="s">
        <v>574</v>
      </c>
      <c r="AT1" s="36"/>
      <c r="AU1" s="36"/>
      <c r="AV1" s="36"/>
    </row>
    <row r="2" spans="1:48" x14ac:dyDescent="0.2">
      <c r="A2" s="165" t="s">
        <v>491</v>
      </c>
      <c r="B2" s="166">
        <f>SUMIF(Master!$AR$4:$AR$64,A2,Master!$AT$4:$AT$64)</f>
        <v>10</v>
      </c>
      <c r="C2" s="167" t="str">
        <f>IF(COUNTIFS(Master!$AR$4:$AR$64,A2,Master!$AS$4:$AS$64,"*I*")&gt;0,"I","")&amp;IF(COUNTIFS(Master!$AR$4:$AR$64,A2,Master!$AS$4:$AS$64,"*D*")&gt;0,"D","")&amp;IF(COUNTIFS(Master!$AR$4:$AR$64,A2,Master!$AS$4:$AS$64,"*A*")&gt;0,"A","")</f>
        <v>IDA</v>
      </c>
      <c r="E2" s="174" t="s">
        <v>478</v>
      </c>
      <c r="F2" s="186" t="str">
        <f>IF(COUNTIFS(Master!$AQ$4:$AQ$64,$E2,Master!J$4:J$64,"*")=0,"",IF(COUNTIFS(Master!$AQ$4:$AQ$64,$E2,Master!J$4:J$64,"*I*")&gt;0,"I","")&amp;IF(COUNTIFS(Master!$AQ$4:$AQ$64,$E2,Master!J$4:J$64,"*D*")&gt;0,"D","")&amp;IF(COUNTIFS(Master!$AQ$4:$AQ$64,$E2,Master!J$4:J$64,"*A*")&gt;0,"A","")&amp;" - "&amp;COUNTIFS(Master!$AQ$4:$AQ$64,$E2,Master!J$4:J$64,"*"))</f>
        <v>IDA - 2</v>
      </c>
      <c r="G2" s="186" t="str">
        <f>IF(COUNTIFS(Master!$AQ$4:$AQ$64,$E2,Master!K$4:K$64,"*")=0,"",IF(COUNTIFS(Master!$AQ$4:$AQ$64,$E2,Master!K$4:K$64,"*I*")&gt;0,"I","")&amp;IF(COUNTIFS(Master!$AQ$4:$AQ$64,$E2,Master!K$4:K$64,"*D*")&gt;0,"D","")&amp;IF(COUNTIFS(Master!$AQ$4:$AQ$64,$E2,Master!K$4:K$64,"*A*")&gt;0,"A","")&amp;" - "&amp;COUNTIFS(Master!$AQ$4:$AQ$64,$E2,Master!K$4:K$64,"*"))</f>
        <v>I - 1</v>
      </c>
      <c r="H2" s="186" t="str">
        <f>IF(COUNTIFS(Master!$AQ$4:$AQ$64,$E2,Master!L$4:L$64,"*")=0,"",IF(COUNTIFS(Master!$AQ$4:$AQ$64,$E2,Master!L$4:L$64,"*I*")&gt;0,"I","")&amp;IF(COUNTIFS(Master!$AQ$4:$AQ$64,$E2,Master!L$4:L$64,"*D*")&gt;0,"D","")&amp;IF(COUNTIFS(Master!$AQ$4:$AQ$64,$E2,Master!L$4:L$64,"*A*")&gt;0,"A","")&amp;" - "&amp;COUNTIFS(Master!$AQ$4:$AQ$64,$E2,Master!L$4:L$64,"*"))</f>
        <v>I - 1</v>
      </c>
      <c r="I2" s="186" t="str">
        <f>IF(COUNTIFS(Master!$AQ$4:$AQ$64,$E2,Master!M$4:M$64,"*")=0,"",IF(COUNTIFS(Master!$AQ$4:$AQ$64,$E2,Master!M$4:M$64,"*I*")&gt;0,"I","")&amp;IF(COUNTIFS(Master!$AQ$4:$AQ$64,$E2,Master!M$4:M$64,"*D*")&gt;0,"D","")&amp;IF(COUNTIFS(Master!$AQ$4:$AQ$64,$E2,Master!M$4:M$64,"*A*")&gt;0,"A","")&amp;" - "&amp;COUNTIFS(Master!$AQ$4:$AQ$64,$E2,Master!M$4:M$64,"*"))</f>
        <v>I - 1</v>
      </c>
      <c r="J2" s="186" t="str">
        <f>IF(COUNTIFS(Master!$AQ$4:$AQ$64,$E2,Master!N$4:N$64,"*")=0,"",IF(COUNTIFS(Master!$AQ$4:$AQ$64,$E2,Master!N$4:N$64,"*I*")&gt;0,"I","")&amp;IF(COUNTIFS(Master!$AQ$4:$AQ$64,$E2,Master!N$4:N$64,"*D*")&gt;0,"D","")&amp;IF(COUNTIFS(Master!$AQ$4:$AQ$64,$E2,Master!N$4:N$64,"*A*")&gt;0,"A","")&amp;" - "&amp;COUNTIFS(Master!$AQ$4:$AQ$64,$E2,Master!N$4:N$64,"*"))</f>
        <v>I - 1</v>
      </c>
      <c r="K2" s="186" t="str">
        <f>IF(COUNTIFS(Master!$AQ$4:$AQ$64,$E2,Master!O$4:O$64,"*")=0,"",IF(COUNTIFS(Master!$AQ$4:$AQ$64,$E2,Master!O$4:O$64,"*I*")&gt;0,"I","")&amp;IF(COUNTIFS(Master!$AQ$4:$AQ$64,$E2,Master!O$4:O$64,"*D*")&gt;0,"D","")&amp;IF(COUNTIFS(Master!$AQ$4:$AQ$64,$E2,Master!O$4:O$64,"*A*")&gt;0,"A","")&amp;" - "&amp;COUNTIFS(Master!$AQ$4:$AQ$64,$E2,Master!O$4:O$64,"*"))</f>
        <v>I - 1</v>
      </c>
      <c r="L2" s="186" t="str">
        <f>IF(COUNTIFS(Master!$AQ$4:$AQ$64,$E2,Master!P$4:P$64,"*")=0,"",IF(COUNTIFS(Master!$AQ$4:$AQ$64,$E2,Master!P$4:P$64,"*I*")&gt;0,"I","")&amp;IF(COUNTIFS(Master!$AQ$4:$AQ$64,$E2,Master!P$4:P$64,"*D*")&gt;0,"D","")&amp;IF(COUNTIFS(Master!$AQ$4:$AQ$64,$E2,Master!P$4:P$64,"*A*")&gt;0,"A","")&amp;" - "&amp;COUNTIFS(Master!$AQ$4:$AQ$64,$E2,Master!P$4:P$64,"*"))</f>
        <v>D - 1</v>
      </c>
      <c r="M2" s="186" t="str">
        <f>IF(COUNTIFS(Master!$AQ$4:$AQ$64,$E2,Master!Q$4:Q$64,"*")=0,"",IF(COUNTIFS(Master!$AQ$4:$AQ$64,$E2,Master!Q$4:Q$64,"*I*")&gt;0,"I","")&amp;IF(COUNTIFS(Master!$AQ$4:$AQ$64,$E2,Master!Q$4:Q$64,"*D*")&gt;0,"D","")&amp;IF(COUNTIFS(Master!$AQ$4:$AQ$64,$E2,Master!Q$4:Q$64,"*A*")&gt;0,"A","")&amp;" - "&amp;COUNTIFS(Master!$AQ$4:$AQ$64,$E2,Master!Q$4:Q$64,"*"))</f>
        <v/>
      </c>
      <c r="N2" s="186" t="str">
        <f>IF(COUNTIFS(Master!$AQ$4:$AQ$64,$E2,Master!R$4:R$64,"*")=0,"",IF(COUNTIFS(Master!$AQ$4:$AQ$64,$E2,Master!R$4:R$64,"*I*")&gt;0,"I","")&amp;IF(COUNTIFS(Master!$AQ$4:$AQ$64,$E2,Master!R$4:R$64,"*D*")&gt;0,"D","")&amp;IF(COUNTIFS(Master!$AQ$4:$AQ$64,$E2,Master!R$4:R$64,"*A*")&gt;0,"A","")&amp;" - "&amp;COUNTIFS(Master!$AQ$4:$AQ$64,$E2,Master!R$4:R$64,"*"))</f>
        <v>DA - 2</v>
      </c>
      <c r="O2" s="186" t="str">
        <f>IF(COUNTIFS(Master!$AQ$4:$AQ$64,$E2,Master!S$4:S$64,"*")=0,"",IF(COUNTIFS(Master!$AQ$4:$AQ$64,$E2,Master!S$4:S$64,"*I*")&gt;0,"I","")&amp;IF(COUNTIFS(Master!$AQ$4:$AQ$64,$E2,Master!S$4:S$64,"*D*")&gt;0,"D","")&amp;IF(COUNTIFS(Master!$AQ$4:$AQ$64,$E2,Master!S$4:S$64,"*A*")&gt;0,"A","")&amp;" - "&amp;COUNTIFS(Master!$AQ$4:$AQ$64,$E2,Master!S$4:S$64,"*"))</f>
        <v/>
      </c>
      <c r="P2" s="186" t="str">
        <f>IF(COUNTIFS(Master!$AQ$4:$AQ$64,$E2,Master!T$4:T$64,"*")=0,"",IF(COUNTIFS(Master!$AQ$4:$AQ$64,$E2,Master!T$4:T$64,"*I*")&gt;0,"I","")&amp;IF(COUNTIFS(Master!$AQ$4:$AQ$64,$E2,Master!T$4:T$64,"*D*")&gt;0,"D","")&amp;IF(COUNTIFS(Master!$AQ$4:$AQ$64,$E2,Master!T$4:T$64,"*A*")&gt;0,"A","")&amp;" - "&amp;COUNTIFS(Master!$AQ$4:$AQ$64,$E2,Master!T$4:T$64,"*"))</f>
        <v/>
      </c>
      <c r="Q2" s="186" t="str">
        <f>IF(COUNTIFS(Master!$AQ$4:$AQ$64,$E2,Master!U$4:U$64,"*")=0,"",IF(COUNTIFS(Master!$AQ$4:$AQ$64,$E2,Master!U$4:U$64,"*I*")&gt;0,"I","")&amp;IF(COUNTIFS(Master!$AQ$4:$AQ$64,$E2,Master!U$4:U$64,"*D*")&gt;0,"D","")&amp;IF(COUNTIFS(Master!$AQ$4:$AQ$64,$E2,Master!U$4:U$64,"*A*")&gt;0,"A","")&amp;" - "&amp;COUNTIFS(Master!$AQ$4:$AQ$64,$E2,Master!U$4:U$64,"*"))</f>
        <v/>
      </c>
      <c r="R2" s="186" t="str">
        <f>IF(COUNTIFS(Master!$AQ$4:$AQ$64,$E2,Master!V$4:V$64,"*")=0,"",IF(COUNTIFS(Master!$AQ$4:$AQ$64,$E2,Master!V$4:V$64,"*I*")&gt;0,"I","")&amp;IF(COUNTIFS(Master!$AQ$4:$AQ$64,$E2,Master!V$4:V$64,"*D*")&gt;0,"D","")&amp;IF(COUNTIFS(Master!$AQ$4:$AQ$64,$E2,Master!V$4:V$64,"*A*")&gt;0,"A","")&amp;" - "&amp;COUNTIFS(Master!$AQ$4:$AQ$64,$E2,Master!V$4:V$64,"*"))</f>
        <v/>
      </c>
      <c r="S2" s="186" t="str">
        <f>IF(COUNTIFS(Master!$AQ$4:$AQ$64,$E2,Master!W$4:W$64,"*")=0,"",IF(COUNTIFS(Master!$AQ$4:$AQ$64,$E2,Master!W$4:W$64,"*I*")&gt;0,"I","")&amp;IF(COUNTIFS(Master!$AQ$4:$AQ$64,$E2,Master!W$4:W$64,"*D*")&gt;0,"D","")&amp;IF(COUNTIFS(Master!$AQ$4:$AQ$64,$E2,Master!W$4:W$64,"*A*")&gt;0,"A","")&amp;" - "&amp;COUNTIFS(Master!$AQ$4:$AQ$64,$E2,Master!W$4:W$64,"*"))</f>
        <v/>
      </c>
      <c r="T2" s="186" t="str">
        <f>IF(COUNTIFS(Master!$AQ$4:$AQ$64,$E2,Master!X$4:X$64,"*")=0,"",IF(COUNTIFS(Master!$AQ$4:$AQ$64,$E2,Master!X$4:X$64,"*I*")&gt;0,"I","")&amp;IF(COUNTIFS(Master!$AQ$4:$AQ$64,$E2,Master!X$4:X$64,"*D*")&gt;0,"D","")&amp;IF(COUNTIFS(Master!$AQ$4:$AQ$64,$E2,Master!X$4:X$64,"*A*")&gt;0,"A","")&amp;" - "&amp;COUNTIFS(Master!$AQ$4:$AQ$64,$E2,Master!X$4:X$64,"*"))</f>
        <v/>
      </c>
      <c r="U2" s="186" t="str">
        <f>IF(COUNTIFS(Master!$AQ$4:$AQ$64,$E2,Master!Y$4:Y$64,"*")=0,"",IF(COUNTIFS(Master!$AQ$4:$AQ$64,$E2,Master!Y$4:Y$64,"*I*")&gt;0,"I","")&amp;IF(COUNTIFS(Master!$AQ$4:$AQ$64,$E2,Master!Y$4:Y$64,"*D*")&gt;0,"D","")&amp;IF(COUNTIFS(Master!$AQ$4:$AQ$64,$E2,Master!Y$4:Y$64,"*A*")&gt;0,"A","")&amp;" - "&amp;COUNTIFS(Master!$AQ$4:$AQ$64,$E2,Master!Y$4:Y$64,"*"))</f>
        <v/>
      </c>
      <c r="V2" s="186" t="str">
        <f>IF(COUNTIFS(Master!$AQ$4:$AQ$64,$E2,Master!Z$4:Z$64,"*")=0,"",IF(COUNTIFS(Master!$AQ$4:$AQ$64,$E2,Master!Z$4:Z$64,"*I*")&gt;0,"I","")&amp;IF(COUNTIFS(Master!$AQ$4:$AQ$64,$E2,Master!Z$4:Z$64,"*D*")&gt;0,"D","")&amp;IF(COUNTIFS(Master!$AQ$4:$AQ$64,$E2,Master!Z$4:Z$64,"*A*")&gt;0,"A","")&amp;" - "&amp;COUNTIFS(Master!$AQ$4:$AQ$64,$E2,Master!Z$4:Z$64,"*"))</f>
        <v/>
      </c>
      <c r="W2" s="186" t="str">
        <f>IF(COUNTIFS(Master!$AQ$4:$AQ$64,$E2,Master!AA$4:AA$64,"*")=0,"",IF(COUNTIFS(Master!$AQ$4:$AQ$64,$E2,Master!AA$4:AA$64,"*I*")&gt;0,"I","")&amp;IF(COUNTIFS(Master!$AQ$4:$AQ$64,$E2,Master!AA$4:AA$64,"*D*")&gt;0,"D","")&amp;IF(COUNTIFS(Master!$AQ$4:$AQ$64,$E2,Master!AA$4:AA$64,"*A*")&gt;0,"A","")&amp;" - "&amp;COUNTIFS(Master!$AQ$4:$AQ$64,$E2,Master!AA$4:AA$64,"*"))</f>
        <v/>
      </c>
      <c r="X2" s="186" t="str">
        <f>IF(COUNTIFS(Master!$AQ$4:$AQ$64,$E2,Master!AB$4:AB$64,"*")=0,"",IF(COUNTIFS(Master!$AQ$4:$AQ$64,$E2,Master!AB$4:AB$64,"*I*")&gt;0,"I","")&amp;IF(COUNTIFS(Master!$AQ$4:$AQ$64,$E2,Master!AB$4:AB$64,"*D*")&gt;0,"D","")&amp;IF(COUNTIFS(Master!$AQ$4:$AQ$64,$E2,Master!AB$4:AB$64,"*A*")&gt;0,"A","")&amp;" - "&amp;COUNTIFS(Master!$AQ$4:$AQ$64,$E2,Master!AB$4:AB$64,"*"))</f>
        <v/>
      </c>
      <c r="Y2" s="186" t="str">
        <f>IF(COUNTIFS(Master!$AQ$4:$AQ$64,$E2,Master!AC$4:AC$64,"*")=0,"",IF(COUNTIFS(Master!$AQ$4:$AQ$64,$E2,Master!AC$4:AC$64,"*I*")&gt;0,"I","")&amp;IF(COUNTIFS(Master!$AQ$4:$AQ$64,$E2,Master!AC$4:AC$64,"*D*")&gt;0,"D","")&amp;IF(COUNTIFS(Master!$AQ$4:$AQ$64,$E2,Master!AC$4:AC$64,"*A*")&gt;0,"A","")&amp;" - "&amp;COUNTIFS(Master!$AQ$4:$AQ$64,$E2,Master!AC$4:AC$64,"*"))</f>
        <v/>
      </c>
      <c r="Z2" s="186" t="str">
        <f>IF(COUNTIFS(Master!$AQ$4:$AQ$64,$E2,Master!AD$4:AD$64,"*")=0,"",IF(COUNTIFS(Master!$AQ$4:$AQ$64,$E2,Master!AD$4:AD$64,"*I*")&gt;0,"I","")&amp;IF(COUNTIFS(Master!$AQ$4:$AQ$64,$E2,Master!AD$4:AD$64,"*D*")&gt;0,"D","")&amp;IF(COUNTIFS(Master!$AQ$4:$AQ$64,$E2,Master!AD$4:AD$64,"*A*")&gt;0,"A","")&amp;" - "&amp;COUNTIFS(Master!$AQ$4:$AQ$64,$E2,Master!AD$4:AD$64,"*"))</f>
        <v/>
      </c>
      <c r="AA2" s="186" t="str">
        <f>IF(COUNTIFS(Master!$AQ$4:$AQ$64,$E2,Master!AE$4:AE$64,"*")=0,"",IF(COUNTIFS(Master!$AQ$4:$AQ$64,$E2,Master!AE$4:AE$64,"*I*")&gt;0,"I","")&amp;IF(COUNTIFS(Master!$AQ$4:$AQ$64,$E2,Master!AE$4:AE$64,"*D*")&gt;0,"D","")&amp;IF(COUNTIFS(Master!$AQ$4:$AQ$64,$E2,Master!AE$4:AE$64,"*A*")&gt;0,"A","")&amp;" - "&amp;COUNTIFS(Master!$AQ$4:$AQ$64,$E2,Master!AE$4:AE$64,"*"))</f>
        <v/>
      </c>
      <c r="AB2" s="186" t="str">
        <f>IF(COUNTIFS(Master!$AQ$4:$AQ$64,$E2,Master!AF$4:AF$64,"*")=0,"",IF(COUNTIFS(Master!$AQ$4:$AQ$64,$E2,Master!AF$4:AF$64,"*I*")&gt;0,"I","")&amp;IF(COUNTIFS(Master!$AQ$4:$AQ$64,$E2,Master!AF$4:AF$64,"*D*")&gt;0,"D","")&amp;IF(COUNTIFS(Master!$AQ$4:$AQ$64,$E2,Master!AF$4:AF$64,"*A*")&gt;0,"A","")&amp;" - "&amp;COUNTIFS(Master!$AQ$4:$AQ$64,$E2,Master!AF$4:AF$64,"*"))</f>
        <v/>
      </c>
      <c r="AC2" s="186" t="str">
        <f>IF(COUNTIFS(Master!$AQ$4:$AQ$64,$E2,Master!AG$4:AG$64,"*")=0,"",IF(COUNTIFS(Master!$AQ$4:$AQ$64,$E2,Master!AG$4:AG$64,"*I*")&gt;0,"I","")&amp;IF(COUNTIFS(Master!$AQ$4:$AQ$64,$E2,Master!AG$4:AG$64,"*D*")&gt;0,"D","")&amp;IF(COUNTIFS(Master!$AQ$4:$AQ$64,$E2,Master!AG$4:AG$64,"*A*")&gt;0,"A","")&amp;" - "&amp;COUNTIFS(Master!$AQ$4:$AQ$64,$E2,Master!AG$4:AG$64,"*"))</f>
        <v/>
      </c>
      <c r="AD2" s="186" t="str">
        <f>IF(COUNTIFS(Master!$AQ$4:$AQ$64,$E2,Master!AH$4:AH$64,"*")=0,"",IF(COUNTIFS(Master!$AQ$4:$AQ$64,$E2,Master!AH$4:AH$64,"*I*")&gt;0,"I","")&amp;IF(COUNTIFS(Master!$AQ$4:$AQ$64,$E2,Master!AH$4:AH$64,"*D*")&gt;0,"D","")&amp;IF(COUNTIFS(Master!$AQ$4:$AQ$64,$E2,Master!AH$4:AH$64,"*A*")&gt;0,"A","")&amp;" - "&amp;COUNTIFS(Master!$AQ$4:$AQ$64,$E2,Master!AH$4:AH$64,"*"))</f>
        <v/>
      </c>
      <c r="AE2" s="186" t="str">
        <f>IF(COUNTIFS(Master!$AQ$4:$AQ$64,$E2,Master!AI$4:AI$64,"*")=0,"",IF(COUNTIFS(Master!$AQ$4:$AQ$64,$E2,Master!AI$4:AI$64,"*I*")&gt;0,"I","")&amp;IF(COUNTIFS(Master!$AQ$4:$AQ$64,$E2,Master!AI$4:AI$64,"*D*")&gt;0,"D","")&amp;IF(COUNTIFS(Master!$AQ$4:$AQ$64,$E2,Master!AI$4:AI$64,"*A*")&gt;0,"A","")&amp;" - "&amp;COUNTIFS(Master!$AQ$4:$AQ$64,$E2,Master!AI$4:AI$64,"*"))</f>
        <v/>
      </c>
      <c r="AF2" s="186" t="str">
        <f>IF(COUNTIFS(Master!$AQ$4:$AQ$64,$E2,Master!AJ$4:AJ$64,"*")=0,"",IF(COUNTIFS(Master!$AQ$4:$AQ$64,$E2,Master!AJ$4:AJ$64,"*I*")&gt;0,"I","")&amp;IF(COUNTIFS(Master!$AQ$4:$AQ$64,$E2,Master!AJ$4:AJ$64,"*D*")&gt;0,"D","")&amp;IF(COUNTIFS(Master!$AQ$4:$AQ$64,$E2,Master!AJ$4:AJ$64,"*A*")&gt;0,"A","")&amp;" - "&amp;COUNTIFS(Master!$AQ$4:$AQ$64,$E2,Master!AJ$4:AJ$64,"*"))</f>
        <v/>
      </c>
      <c r="AG2" s="186" t="str">
        <f>IF(COUNTIFS(Master!$AQ$4:$AQ$64,$E2,Master!AK$4:AK$64,"*")=0,"",IF(COUNTIFS(Master!$AQ$4:$AQ$64,$E2,Master!AK$4:AK$64,"*I*")&gt;0,"I","")&amp;IF(COUNTIFS(Master!$AQ$4:$AQ$64,$E2,Master!AK$4:AK$64,"*D*")&gt;0,"D","")&amp;IF(COUNTIFS(Master!$AQ$4:$AQ$64,$E2,Master!AK$4:AK$64,"*A*")&gt;0,"A","")&amp;" - "&amp;COUNTIFS(Master!$AQ$4:$AQ$64,$E2,Master!AK$4:AK$64,"*"))</f>
        <v/>
      </c>
      <c r="AH2" s="186" t="str">
        <f>IF(COUNTIFS(Master!$AQ$4:$AQ$64,$E2,Master!AL$4:AL$64,"*")=0,"",IF(COUNTIFS(Master!$AQ$4:$AQ$64,$E2,Master!AL$4:AL$64,"*I*")&gt;0,"I","")&amp;IF(COUNTIFS(Master!$AQ$4:$AQ$64,$E2,Master!AL$4:AL$64,"*D*")&gt;0,"D","")&amp;IF(COUNTIFS(Master!$AQ$4:$AQ$64,$E2,Master!AL$4:AL$64,"*A*")&gt;0,"A","")&amp;" - "&amp;COUNTIFS(Master!$AQ$4:$AQ$64,$E2,Master!AL$4:AL$64,"*"))</f>
        <v/>
      </c>
      <c r="AI2" s="186" t="str">
        <f>IF(COUNTIFS(Master!$AQ$4:$AQ$64,$E2,Master!AM$4:AM$64,"*")=0,"",IF(COUNTIFS(Master!$AQ$4:$AQ$64,$E2,Master!AM$4:AM$64,"*I*")&gt;0,"I","")&amp;IF(COUNTIFS(Master!$AQ$4:$AQ$64,$E2,Master!AM$4:AM$64,"*D*")&gt;0,"D","")&amp;IF(COUNTIFS(Master!$AQ$4:$AQ$64,$E2,Master!AM$4:AM$64,"*A*")&gt;0,"A","")&amp;" - "&amp;COUNTIFS(Master!$AQ$4:$AQ$64,$E2,Master!AM$4:AM$64,"*"))</f>
        <v/>
      </c>
      <c r="AJ2" s="186" t="str">
        <f>IF(COUNTIFS(Master!$AQ$4:$AQ$64,$E2,Master!AN$4:AN$64,"*")=0,"",IF(COUNTIFS(Master!$AQ$4:$AQ$64,$E2,Master!AN$4:AN$64,"*I*")&gt;0,"I","")&amp;IF(COUNTIFS(Master!$AQ$4:$AQ$64,$E2,Master!AN$4:AN$64,"*D*")&gt;0,"D","")&amp;IF(COUNTIFS(Master!$AQ$4:$AQ$64,$E2,Master!AN$4:AN$64,"*A*")&gt;0,"A","")&amp;" - "&amp;COUNTIFS(Master!$AQ$4:$AQ$64,$E2,Master!AN$4:AN$64,"*"))</f>
        <v/>
      </c>
      <c r="AK2" s="187" t="str">
        <f>IF(COUNTIFS(Master!$AQ$4:$AQ$64,$E2,Master!AO$4:AO$64,"*")=0,"",IF(COUNTIFS(Master!$AQ$4:$AQ$64,$E2,Master!AO$4:AO$64,"*I*")&gt;0,"I","")&amp;IF(COUNTIFS(Master!$AQ$4:$AQ$64,$E2,Master!AO$4:AO$64,"*D*")&gt;0,"D","")&amp;IF(COUNTIFS(Master!$AQ$4:$AQ$64,$E2,Master!AO$4:AO$64,"*A*")&gt;0,"A","")&amp;" - "&amp;COUNTIFS(Master!$AQ$4:$AQ$64,$E2,Master!AO$4:AO$64,"*"))</f>
        <v/>
      </c>
      <c r="AM2" s="3" t="s">
        <v>991</v>
      </c>
      <c r="AO2" s="9" t="s">
        <v>36</v>
      </c>
      <c r="AP2" s="9" t="s">
        <v>37</v>
      </c>
      <c r="AR2" s="37" t="s">
        <v>229</v>
      </c>
      <c r="AS2" s="37" t="s">
        <v>575</v>
      </c>
      <c r="AT2" s="38" t="s">
        <v>32</v>
      </c>
      <c r="AU2" s="38" t="s">
        <v>68</v>
      </c>
      <c r="AV2" s="37" t="s">
        <v>28</v>
      </c>
    </row>
    <row r="3" spans="1:48" x14ac:dyDescent="0.2">
      <c r="A3" s="165" t="s">
        <v>492</v>
      </c>
      <c r="B3" s="166">
        <f>SUMIF(Master!$AR$4:$AR$64,A3,Master!$AT$4:$AT$64)</f>
        <v>0</v>
      </c>
      <c r="C3" s="167" t="str">
        <f>IF(COUNTIFS(Master!$AR$4:$AR$64,A3,Master!$AS$4:$AS$64,"*I*")&gt;0,"I","")&amp;IF(COUNTIFS(Master!$AR$4:$AR$64,A3,Master!$AS$4:$AS$64,"*D*")&gt;0,"D","")&amp;IF(COUNTIFS(Master!$AR$4:$AR$64,A3,Master!$AS$4:$AS$64,"*A*")&gt;0,"A","")</f>
        <v/>
      </c>
      <c r="E3" s="175" t="s">
        <v>40</v>
      </c>
      <c r="F3" s="188" t="str">
        <f>IF(COUNTIFS(Master!$AQ$4:$AQ$64,$E3,Master!J$4:J$64,"*")=0,"",IF(COUNTIFS(Master!$AQ$4:$AQ$64,$E3,Master!J$4:J$64,"*I*")&gt;0,"I","")&amp;IF(COUNTIFS(Master!$AQ$4:$AQ$64,$E3,Master!J$4:J$64,"*D*")&gt;0,"D","")&amp;IF(COUNTIFS(Master!$AQ$4:$AQ$64,$E3,Master!J$4:J$64,"*A*")&gt;0,"A","")&amp;" - "&amp;COUNTIFS(Master!$AQ$4:$AQ$64,$E3,Master!J$4:J$64,"*"))</f>
        <v>A - 1</v>
      </c>
      <c r="G3" s="188" t="str">
        <f>IF(COUNTIFS(Master!$AQ$4:$AQ$64,$E3,Master!K$4:K$64,"*")=0,"",IF(COUNTIFS(Master!$AQ$4:$AQ$64,$E3,Master!K$4:K$64,"*I*")&gt;0,"I","")&amp;IF(COUNTIFS(Master!$AQ$4:$AQ$64,$E3,Master!K$4:K$64,"*D*")&gt;0,"D","")&amp;IF(COUNTIFS(Master!$AQ$4:$AQ$64,$E3,Master!K$4:K$64,"*A*")&gt;0,"A","")&amp;" - "&amp;COUNTIFS(Master!$AQ$4:$AQ$64,$E3,Master!K$4:K$64,"*"))</f>
        <v/>
      </c>
      <c r="H3" s="188" t="str">
        <f>IF(COUNTIFS(Master!$AQ$4:$AQ$64,$E3,Master!L$4:L$64,"*")=0,"",IF(COUNTIFS(Master!$AQ$4:$AQ$64,$E3,Master!L$4:L$64,"*I*")&gt;0,"I","")&amp;IF(COUNTIFS(Master!$AQ$4:$AQ$64,$E3,Master!L$4:L$64,"*D*")&gt;0,"D","")&amp;IF(COUNTIFS(Master!$AQ$4:$AQ$64,$E3,Master!L$4:L$64,"*A*")&gt;0,"A","")&amp;" - "&amp;COUNTIFS(Master!$AQ$4:$AQ$64,$E3,Master!L$4:L$64,"*"))</f>
        <v>D - 1</v>
      </c>
      <c r="I3" s="188" t="str">
        <f>IF(COUNTIFS(Master!$AQ$4:$AQ$64,$E3,Master!M$4:M$64,"*")=0,"",IF(COUNTIFS(Master!$AQ$4:$AQ$64,$E3,Master!M$4:M$64,"*I*")&gt;0,"I","")&amp;IF(COUNTIFS(Master!$AQ$4:$AQ$64,$E3,Master!M$4:M$64,"*D*")&gt;0,"D","")&amp;IF(COUNTIFS(Master!$AQ$4:$AQ$64,$E3,Master!M$4:M$64,"*A*")&gt;0,"A","")&amp;" - "&amp;COUNTIFS(Master!$AQ$4:$AQ$64,$E3,Master!M$4:M$64,"*"))</f>
        <v/>
      </c>
      <c r="J3" s="188" t="str">
        <f>IF(COUNTIFS(Master!$AQ$4:$AQ$64,$E3,Master!N$4:N$64,"*")=0,"",IF(COUNTIFS(Master!$AQ$4:$AQ$64,$E3,Master!N$4:N$64,"*I*")&gt;0,"I","")&amp;IF(COUNTIFS(Master!$AQ$4:$AQ$64,$E3,Master!N$4:N$64,"*D*")&gt;0,"D","")&amp;IF(COUNTIFS(Master!$AQ$4:$AQ$64,$E3,Master!N$4:N$64,"*A*")&gt;0,"A","")&amp;" - "&amp;COUNTIFS(Master!$AQ$4:$AQ$64,$E3,Master!N$4:N$64,"*"))</f>
        <v/>
      </c>
      <c r="K3" s="188" t="str">
        <f>IF(COUNTIFS(Master!$AQ$4:$AQ$64,$E3,Master!O$4:O$64,"*")=0,"",IF(COUNTIFS(Master!$AQ$4:$AQ$64,$E3,Master!O$4:O$64,"*I*")&gt;0,"I","")&amp;IF(COUNTIFS(Master!$AQ$4:$AQ$64,$E3,Master!O$4:O$64,"*D*")&gt;0,"D","")&amp;IF(COUNTIFS(Master!$AQ$4:$AQ$64,$E3,Master!O$4:O$64,"*A*")&gt;0,"A","")&amp;" - "&amp;COUNTIFS(Master!$AQ$4:$AQ$64,$E3,Master!O$4:O$64,"*"))</f>
        <v>I - 1</v>
      </c>
      <c r="L3" s="188" t="str">
        <f>IF(COUNTIFS(Master!$AQ$4:$AQ$64,$E3,Master!P$4:P$64,"*")=0,"",IF(COUNTIFS(Master!$AQ$4:$AQ$64,$E3,Master!P$4:P$64,"*I*")&gt;0,"I","")&amp;IF(COUNTIFS(Master!$AQ$4:$AQ$64,$E3,Master!P$4:P$64,"*D*")&gt;0,"D","")&amp;IF(COUNTIFS(Master!$AQ$4:$AQ$64,$E3,Master!P$4:P$64,"*A*")&gt;0,"A","")&amp;" - "&amp;COUNTIFS(Master!$AQ$4:$AQ$64,$E3,Master!P$4:P$64,"*"))</f>
        <v/>
      </c>
      <c r="M3" s="188" t="str">
        <f>IF(COUNTIFS(Master!$AQ$4:$AQ$64,$E3,Master!Q$4:Q$64,"*")=0,"",IF(COUNTIFS(Master!$AQ$4:$AQ$64,$E3,Master!Q$4:Q$64,"*I*")&gt;0,"I","")&amp;IF(COUNTIFS(Master!$AQ$4:$AQ$64,$E3,Master!Q$4:Q$64,"*D*")&gt;0,"D","")&amp;IF(COUNTIFS(Master!$AQ$4:$AQ$64,$E3,Master!Q$4:Q$64,"*A*")&gt;0,"A","")&amp;" - "&amp;COUNTIFS(Master!$AQ$4:$AQ$64,$E3,Master!Q$4:Q$64,"*"))</f>
        <v>I - 1</v>
      </c>
      <c r="N3" s="188" t="str">
        <f>IF(COUNTIFS(Master!$AQ$4:$AQ$64,$E3,Master!R$4:R$64,"*")=0,"",IF(COUNTIFS(Master!$AQ$4:$AQ$64,$E3,Master!R$4:R$64,"*I*")&gt;0,"I","")&amp;IF(COUNTIFS(Master!$AQ$4:$AQ$64,$E3,Master!R$4:R$64,"*D*")&gt;0,"D","")&amp;IF(COUNTIFS(Master!$AQ$4:$AQ$64,$E3,Master!R$4:R$64,"*A*")&gt;0,"A","")&amp;" - "&amp;COUNTIFS(Master!$AQ$4:$AQ$64,$E3,Master!R$4:R$64,"*"))</f>
        <v/>
      </c>
      <c r="O3" s="188" t="str">
        <f>IF(COUNTIFS(Master!$AQ$4:$AQ$64,$E3,Master!S$4:S$64,"*")=0,"",IF(COUNTIFS(Master!$AQ$4:$AQ$64,$E3,Master!S$4:S$64,"*I*")&gt;0,"I","")&amp;IF(COUNTIFS(Master!$AQ$4:$AQ$64,$E3,Master!S$4:S$64,"*D*")&gt;0,"D","")&amp;IF(COUNTIFS(Master!$AQ$4:$AQ$64,$E3,Master!S$4:S$64,"*A*")&gt;0,"A","")&amp;" - "&amp;COUNTIFS(Master!$AQ$4:$AQ$64,$E3,Master!S$4:S$64,"*"))</f>
        <v/>
      </c>
      <c r="P3" s="188" t="str">
        <f>IF(COUNTIFS(Master!$AQ$4:$AQ$64,$E3,Master!T$4:T$64,"*")=0,"",IF(COUNTIFS(Master!$AQ$4:$AQ$64,$E3,Master!T$4:T$64,"*I*")&gt;0,"I","")&amp;IF(COUNTIFS(Master!$AQ$4:$AQ$64,$E3,Master!T$4:T$64,"*D*")&gt;0,"D","")&amp;IF(COUNTIFS(Master!$AQ$4:$AQ$64,$E3,Master!T$4:T$64,"*A*")&gt;0,"A","")&amp;" - "&amp;COUNTIFS(Master!$AQ$4:$AQ$64,$E3,Master!T$4:T$64,"*"))</f>
        <v/>
      </c>
      <c r="Q3" s="188" t="str">
        <f>IF(COUNTIFS(Master!$AQ$4:$AQ$64,$E3,Master!U$4:U$64,"*")=0,"",IF(COUNTIFS(Master!$AQ$4:$AQ$64,$E3,Master!U$4:U$64,"*I*")&gt;0,"I","")&amp;IF(COUNTIFS(Master!$AQ$4:$AQ$64,$E3,Master!U$4:U$64,"*D*")&gt;0,"D","")&amp;IF(COUNTIFS(Master!$AQ$4:$AQ$64,$E3,Master!U$4:U$64,"*A*")&gt;0,"A","")&amp;" - "&amp;COUNTIFS(Master!$AQ$4:$AQ$64,$E3,Master!U$4:U$64,"*"))</f>
        <v/>
      </c>
      <c r="R3" s="188" t="str">
        <f>IF(COUNTIFS(Master!$AQ$4:$AQ$64,$E3,Master!V$4:V$64,"*")=0,"",IF(COUNTIFS(Master!$AQ$4:$AQ$64,$E3,Master!V$4:V$64,"*I*")&gt;0,"I","")&amp;IF(COUNTIFS(Master!$AQ$4:$AQ$64,$E3,Master!V$4:V$64,"*D*")&gt;0,"D","")&amp;IF(COUNTIFS(Master!$AQ$4:$AQ$64,$E3,Master!V$4:V$64,"*A*")&gt;0,"A","")&amp;" - "&amp;COUNTIFS(Master!$AQ$4:$AQ$64,$E3,Master!V$4:V$64,"*"))</f>
        <v/>
      </c>
      <c r="S3" s="188" t="str">
        <f>IF(COUNTIFS(Master!$AQ$4:$AQ$64,$E3,Master!W$4:W$64,"*")=0,"",IF(COUNTIFS(Master!$AQ$4:$AQ$64,$E3,Master!W$4:W$64,"*I*")&gt;0,"I","")&amp;IF(COUNTIFS(Master!$AQ$4:$AQ$64,$E3,Master!W$4:W$64,"*D*")&gt;0,"D","")&amp;IF(COUNTIFS(Master!$AQ$4:$AQ$64,$E3,Master!W$4:W$64,"*A*")&gt;0,"A","")&amp;" - "&amp;COUNTIFS(Master!$AQ$4:$AQ$64,$E3,Master!W$4:W$64,"*"))</f>
        <v/>
      </c>
      <c r="T3" s="188" t="str">
        <f>IF(COUNTIFS(Master!$AQ$4:$AQ$64,$E3,Master!X$4:X$64,"*")=0,"",IF(COUNTIFS(Master!$AQ$4:$AQ$64,$E3,Master!X$4:X$64,"*I*")&gt;0,"I","")&amp;IF(COUNTIFS(Master!$AQ$4:$AQ$64,$E3,Master!X$4:X$64,"*D*")&gt;0,"D","")&amp;IF(COUNTIFS(Master!$AQ$4:$AQ$64,$E3,Master!X$4:X$64,"*A*")&gt;0,"A","")&amp;" - "&amp;COUNTIFS(Master!$AQ$4:$AQ$64,$E3,Master!X$4:X$64,"*"))</f>
        <v/>
      </c>
      <c r="U3" s="188" t="str">
        <f>IF(COUNTIFS(Master!$AQ$4:$AQ$64,$E3,Master!Y$4:Y$64,"*")=0,"",IF(COUNTIFS(Master!$AQ$4:$AQ$64,$E3,Master!Y$4:Y$64,"*I*")&gt;0,"I","")&amp;IF(COUNTIFS(Master!$AQ$4:$AQ$64,$E3,Master!Y$4:Y$64,"*D*")&gt;0,"D","")&amp;IF(COUNTIFS(Master!$AQ$4:$AQ$64,$E3,Master!Y$4:Y$64,"*A*")&gt;0,"A","")&amp;" - "&amp;COUNTIFS(Master!$AQ$4:$AQ$64,$E3,Master!Y$4:Y$64,"*"))</f>
        <v/>
      </c>
      <c r="V3" s="188" t="str">
        <f>IF(COUNTIFS(Master!$AQ$4:$AQ$64,$E3,Master!Z$4:Z$64,"*")=0,"",IF(COUNTIFS(Master!$AQ$4:$AQ$64,$E3,Master!Z$4:Z$64,"*I*")&gt;0,"I","")&amp;IF(COUNTIFS(Master!$AQ$4:$AQ$64,$E3,Master!Z$4:Z$64,"*D*")&gt;0,"D","")&amp;IF(COUNTIFS(Master!$AQ$4:$AQ$64,$E3,Master!Z$4:Z$64,"*A*")&gt;0,"A","")&amp;" - "&amp;COUNTIFS(Master!$AQ$4:$AQ$64,$E3,Master!Z$4:Z$64,"*"))</f>
        <v/>
      </c>
      <c r="W3" s="188" t="str">
        <f>IF(COUNTIFS(Master!$AQ$4:$AQ$64,$E3,Master!AA$4:AA$64,"*")=0,"",IF(COUNTIFS(Master!$AQ$4:$AQ$64,$E3,Master!AA$4:AA$64,"*I*")&gt;0,"I","")&amp;IF(COUNTIFS(Master!$AQ$4:$AQ$64,$E3,Master!AA$4:AA$64,"*D*")&gt;0,"D","")&amp;IF(COUNTIFS(Master!$AQ$4:$AQ$64,$E3,Master!AA$4:AA$64,"*A*")&gt;0,"A","")&amp;" - "&amp;COUNTIFS(Master!$AQ$4:$AQ$64,$E3,Master!AA$4:AA$64,"*"))</f>
        <v/>
      </c>
      <c r="X3" s="188" t="str">
        <f>IF(COUNTIFS(Master!$AQ$4:$AQ$64,$E3,Master!AB$4:AB$64,"*")=0,"",IF(COUNTIFS(Master!$AQ$4:$AQ$64,$E3,Master!AB$4:AB$64,"*I*")&gt;0,"I","")&amp;IF(COUNTIFS(Master!$AQ$4:$AQ$64,$E3,Master!AB$4:AB$64,"*D*")&gt;0,"D","")&amp;IF(COUNTIFS(Master!$AQ$4:$AQ$64,$E3,Master!AB$4:AB$64,"*A*")&gt;0,"A","")&amp;" - "&amp;COUNTIFS(Master!$AQ$4:$AQ$64,$E3,Master!AB$4:AB$64,"*"))</f>
        <v/>
      </c>
      <c r="Y3" s="188" t="str">
        <f>IF(COUNTIFS(Master!$AQ$4:$AQ$64,$E3,Master!AC$4:AC$64,"*")=0,"",IF(COUNTIFS(Master!$AQ$4:$AQ$64,$E3,Master!AC$4:AC$64,"*I*")&gt;0,"I","")&amp;IF(COUNTIFS(Master!$AQ$4:$AQ$64,$E3,Master!AC$4:AC$64,"*D*")&gt;0,"D","")&amp;IF(COUNTIFS(Master!$AQ$4:$AQ$64,$E3,Master!AC$4:AC$64,"*A*")&gt;0,"A","")&amp;" - "&amp;COUNTIFS(Master!$AQ$4:$AQ$64,$E3,Master!AC$4:AC$64,"*"))</f>
        <v/>
      </c>
      <c r="Z3" s="188" t="str">
        <f>IF(COUNTIFS(Master!$AQ$4:$AQ$64,$E3,Master!AD$4:AD$64,"*")=0,"",IF(COUNTIFS(Master!$AQ$4:$AQ$64,$E3,Master!AD$4:AD$64,"*I*")&gt;0,"I","")&amp;IF(COUNTIFS(Master!$AQ$4:$AQ$64,$E3,Master!AD$4:AD$64,"*D*")&gt;0,"D","")&amp;IF(COUNTIFS(Master!$AQ$4:$AQ$64,$E3,Master!AD$4:AD$64,"*A*")&gt;0,"A","")&amp;" - "&amp;COUNTIFS(Master!$AQ$4:$AQ$64,$E3,Master!AD$4:AD$64,"*"))</f>
        <v/>
      </c>
      <c r="AA3" s="188" t="str">
        <f>IF(COUNTIFS(Master!$AQ$4:$AQ$64,$E3,Master!AE$4:AE$64,"*")=0,"",IF(COUNTIFS(Master!$AQ$4:$AQ$64,$E3,Master!AE$4:AE$64,"*I*")&gt;0,"I","")&amp;IF(COUNTIFS(Master!$AQ$4:$AQ$64,$E3,Master!AE$4:AE$64,"*D*")&gt;0,"D","")&amp;IF(COUNTIFS(Master!$AQ$4:$AQ$64,$E3,Master!AE$4:AE$64,"*A*")&gt;0,"A","")&amp;" - "&amp;COUNTIFS(Master!$AQ$4:$AQ$64,$E3,Master!AE$4:AE$64,"*"))</f>
        <v/>
      </c>
      <c r="AB3" s="188" t="str">
        <f>IF(COUNTIFS(Master!$AQ$4:$AQ$64,$E3,Master!AF$4:AF$64,"*")=0,"",IF(COUNTIFS(Master!$AQ$4:$AQ$64,$E3,Master!AF$4:AF$64,"*I*")&gt;0,"I","")&amp;IF(COUNTIFS(Master!$AQ$4:$AQ$64,$E3,Master!AF$4:AF$64,"*D*")&gt;0,"D","")&amp;IF(COUNTIFS(Master!$AQ$4:$AQ$64,$E3,Master!AF$4:AF$64,"*A*")&gt;0,"A","")&amp;" - "&amp;COUNTIFS(Master!$AQ$4:$AQ$64,$E3,Master!AF$4:AF$64,"*"))</f>
        <v/>
      </c>
      <c r="AC3" s="188" t="str">
        <f>IF(COUNTIFS(Master!$AQ$4:$AQ$64,$E3,Master!AG$4:AG$64,"*")=0,"",IF(COUNTIFS(Master!$AQ$4:$AQ$64,$E3,Master!AG$4:AG$64,"*I*")&gt;0,"I","")&amp;IF(COUNTIFS(Master!$AQ$4:$AQ$64,$E3,Master!AG$4:AG$64,"*D*")&gt;0,"D","")&amp;IF(COUNTIFS(Master!$AQ$4:$AQ$64,$E3,Master!AG$4:AG$64,"*A*")&gt;0,"A","")&amp;" - "&amp;COUNTIFS(Master!$AQ$4:$AQ$64,$E3,Master!AG$4:AG$64,"*"))</f>
        <v/>
      </c>
      <c r="AD3" s="188" t="str">
        <f>IF(COUNTIFS(Master!$AQ$4:$AQ$64,$E3,Master!AH$4:AH$64,"*")=0,"",IF(COUNTIFS(Master!$AQ$4:$AQ$64,$E3,Master!AH$4:AH$64,"*I*")&gt;0,"I","")&amp;IF(COUNTIFS(Master!$AQ$4:$AQ$64,$E3,Master!AH$4:AH$64,"*D*")&gt;0,"D","")&amp;IF(COUNTIFS(Master!$AQ$4:$AQ$64,$E3,Master!AH$4:AH$64,"*A*")&gt;0,"A","")&amp;" - "&amp;COUNTIFS(Master!$AQ$4:$AQ$64,$E3,Master!AH$4:AH$64,"*"))</f>
        <v/>
      </c>
      <c r="AE3" s="188" t="str">
        <f>IF(COUNTIFS(Master!$AQ$4:$AQ$64,$E3,Master!AI$4:AI$64,"*")=0,"",IF(COUNTIFS(Master!$AQ$4:$AQ$64,$E3,Master!AI$4:AI$64,"*I*")&gt;0,"I","")&amp;IF(COUNTIFS(Master!$AQ$4:$AQ$64,$E3,Master!AI$4:AI$64,"*D*")&gt;0,"D","")&amp;IF(COUNTIFS(Master!$AQ$4:$AQ$64,$E3,Master!AI$4:AI$64,"*A*")&gt;0,"A","")&amp;" - "&amp;COUNTIFS(Master!$AQ$4:$AQ$64,$E3,Master!AI$4:AI$64,"*"))</f>
        <v/>
      </c>
      <c r="AF3" s="188" t="str">
        <f>IF(COUNTIFS(Master!$AQ$4:$AQ$64,$E3,Master!AJ$4:AJ$64,"*")=0,"",IF(COUNTIFS(Master!$AQ$4:$AQ$64,$E3,Master!AJ$4:AJ$64,"*I*")&gt;0,"I","")&amp;IF(COUNTIFS(Master!$AQ$4:$AQ$64,$E3,Master!AJ$4:AJ$64,"*D*")&gt;0,"D","")&amp;IF(COUNTIFS(Master!$AQ$4:$AQ$64,$E3,Master!AJ$4:AJ$64,"*A*")&gt;0,"A","")&amp;" - "&amp;COUNTIFS(Master!$AQ$4:$AQ$64,$E3,Master!AJ$4:AJ$64,"*"))</f>
        <v/>
      </c>
      <c r="AG3" s="188" t="str">
        <f>IF(COUNTIFS(Master!$AQ$4:$AQ$64,$E3,Master!AK$4:AK$64,"*")=0,"",IF(COUNTIFS(Master!$AQ$4:$AQ$64,$E3,Master!AK$4:AK$64,"*I*")&gt;0,"I","")&amp;IF(COUNTIFS(Master!$AQ$4:$AQ$64,$E3,Master!AK$4:AK$64,"*D*")&gt;0,"D","")&amp;IF(COUNTIFS(Master!$AQ$4:$AQ$64,$E3,Master!AK$4:AK$64,"*A*")&gt;0,"A","")&amp;" - "&amp;COUNTIFS(Master!$AQ$4:$AQ$64,$E3,Master!AK$4:AK$64,"*"))</f>
        <v/>
      </c>
      <c r="AH3" s="188" t="str">
        <f>IF(COUNTIFS(Master!$AQ$4:$AQ$64,$E3,Master!AL$4:AL$64,"*")=0,"",IF(COUNTIFS(Master!$AQ$4:$AQ$64,$E3,Master!AL$4:AL$64,"*I*")&gt;0,"I","")&amp;IF(COUNTIFS(Master!$AQ$4:$AQ$64,$E3,Master!AL$4:AL$64,"*D*")&gt;0,"D","")&amp;IF(COUNTIFS(Master!$AQ$4:$AQ$64,$E3,Master!AL$4:AL$64,"*A*")&gt;0,"A","")&amp;" - "&amp;COUNTIFS(Master!$AQ$4:$AQ$64,$E3,Master!AL$4:AL$64,"*"))</f>
        <v/>
      </c>
      <c r="AI3" s="188" t="str">
        <f>IF(COUNTIFS(Master!$AQ$4:$AQ$64,$E3,Master!AM$4:AM$64,"*")=0,"",IF(COUNTIFS(Master!$AQ$4:$AQ$64,$E3,Master!AM$4:AM$64,"*I*")&gt;0,"I","")&amp;IF(COUNTIFS(Master!$AQ$4:$AQ$64,$E3,Master!AM$4:AM$64,"*D*")&gt;0,"D","")&amp;IF(COUNTIFS(Master!$AQ$4:$AQ$64,$E3,Master!AM$4:AM$64,"*A*")&gt;0,"A","")&amp;" - "&amp;COUNTIFS(Master!$AQ$4:$AQ$64,$E3,Master!AM$4:AM$64,"*"))</f>
        <v/>
      </c>
      <c r="AJ3" s="188" t="str">
        <f>IF(COUNTIFS(Master!$AQ$4:$AQ$64,$E3,Master!AN$4:AN$64,"*")=0,"",IF(COUNTIFS(Master!$AQ$4:$AQ$64,$E3,Master!AN$4:AN$64,"*I*")&gt;0,"I","")&amp;IF(COUNTIFS(Master!$AQ$4:$AQ$64,$E3,Master!AN$4:AN$64,"*D*")&gt;0,"D","")&amp;IF(COUNTIFS(Master!$AQ$4:$AQ$64,$E3,Master!AN$4:AN$64,"*A*")&gt;0,"A","")&amp;" - "&amp;COUNTIFS(Master!$AQ$4:$AQ$64,$E3,Master!AN$4:AN$64,"*"))</f>
        <v/>
      </c>
      <c r="AK3" s="189" t="str">
        <f>IF(COUNTIFS(Master!$AQ$4:$AQ$64,$E3,Master!AO$4:AO$64,"*")=0,"",IF(COUNTIFS(Master!$AQ$4:$AQ$64,$E3,Master!AO$4:AO$64,"*I*")&gt;0,"I","")&amp;IF(COUNTIFS(Master!$AQ$4:$AQ$64,$E3,Master!AO$4:AO$64,"*D*")&gt;0,"D","")&amp;IF(COUNTIFS(Master!$AQ$4:$AQ$64,$E3,Master!AO$4:AO$64,"*A*")&gt;0,"A","")&amp;" - "&amp;COUNTIFS(Master!$AQ$4:$AQ$64,$E3,Master!AO$4:AO$64,"*"))</f>
        <v/>
      </c>
      <c r="AM3" s="3" t="s">
        <v>26</v>
      </c>
      <c r="AO3" s="3" t="s">
        <v>729</v>
      </c>
      <c r="AP3" s="3" t="s">
        <v>730</v>
      </c>
      <c r="AR3" s="37" t="s">
        <v>66</v>
      </c>
      <c r="AS3" s="37" t="s">
        <v>578</v>
      </c>
      <c r="AT3" s="38" t="s">
        <v>32</v>
      </c>
      <c r="AU3" s="38" t="s">
        <v>68</v>
      </c>
      <c r="AV3" s="37" t="s">
        <v>28</v>
      </c>
    </row>
    <row r="4" spans="1:48" x14ac:dyDescent="0.2">
      <c r="A4" s="165" t="s">
        <v>493</v>
      </c>
      <c r="B4" s="166">
        <f>SUMIF(Master!$AR$4:$AR$64,A4,Master!$AT$4:$AT$64)</f>
        <v>0</v>
      </c>
      <c r="C4" s="167" t="str">
        <f>IF(COUNTIFS(Master!$AR$4:$AR$64,A4,Master!$AS$4:$AS$64,"*I*")&gt;0,"I","")&amp;IF(COUNTIFS(Master!$AR$4:$AR$64,A4,Master!$AS$4:$AS$64,"*D*")&gt;0,"D","")&amp;IF(COUNTIFS(Master!$AR$4:$AR$64,A4,Master!$AS$4:$AS$64,"*A*")&gt;0,"A","")</f>
        <v/>
      </c>
      <c r="E4" s="175" t="s">
        <v>41</v>
      </c>
      <c r="F4" s="188" t="str">
        <f>IF(COUNTIFS(Master!$AQ$4:$AQ$64,$E4,Master!J$4:J$64,"*")=0,"",IF(COUNTIFS(Master!$AQ$4:$AQ$64,$E4,Master!J$4:J$64,"*I*")&gt;0,"I","")&amp;IF(COUNTIFS(Master!$AQ$4:$AQ$64,$E4,Master!J$4:J$64,"*D*")&gt;0,"D","")&amp;IF(COUNTIFS(Master!$AQ$4:$AQ$64,$E4,Master!J$4:J$64,"*A*")&gt;0,"A","")&amp;" - "&amp;COUNTIFS(Master!$AQ$4:$AQ$64,$E4,Master!J$4:J$64,"*"))</f>
        <v/>
      </c>
      <c r="G4" s="188" t="str">
        <f>IF(COUNTIFS(Master!$AQ$4:$AQ$64,$E4,Master!K$4:K$64,"*")=0,"",IF(COUNTIFS(Master!$AQ$4:$AQ$64,$E4,Master!K$4:K$64,"*I*")&gt;0,"I","")&amp;IF(COUNTIFS(Master!$AQ$4:$AQ$64,$E4,Master!K$4:K$64,"*D*")&gt;0,"D","")&amp;IF(COUNTIFS(Master!$AQ$4:$AQ$64,$E4,Master!K$4:K$64,"*A*")&gt;0,"A","")&amp;" - "&amp;COUNTIFS(Master!$AQ$4:$AQ$64,$E4,Master!K$4:K$64,"*"))</f>
        <v/>
      </c>
      <c r="H4" s="188" t="str">
        <f>IF(COUNTIFS(Master!$AQ$4:$AQ$64,$E4,Master!L$4:L$64,"*")=0,"",IF(COUNTIFS(Master!$AQ$4:$AQ$64,$E4,Master!L$4:L$64,"*I*")&gt;0,"I","")&amp;IF(COUNTIFS(Master!$AQ$4:$AQ$64,$E4,Master!L$4:L$64,"*D*")&gt;0,"D","")&amp;IF(COUNTIFS(Master!$AQ$4:$AQ$64,$E4,Master!L$4:L$64,"*A*")&gt;0,"A","")&amp;" - "&amp;COUNTIFS(Master!$AQ$4:$AQ$64,$E4,Master!L$4:L$64,"*"))</f>
        <v/>
      </c>
      <c r="I4" s="188" t="str">
        <f>IF(COUNTIFS(Master!$AQ$4:$AQ$64,$E4,Master!M$4:M$64,"*")=0,"",IF(COUNTIFS(Master!$AQ$4:$AQ$64,$E4,Master!M$4:M$64,"*I*")&gt;0,"I","")&amp;IF(COUNTIFS(Master!$AQ$4:$AQ$64,$E4,Master!M$4:M$64,"*D*")&gt;0,"D","")&amp;IF(COUNTIFS(Master!$AQ$4:$AQ$64,$E4,Master!M$4:M$64,"*A*")&gt;0,"A","")&amp;" - "&amp;COUNTIFS(Master!$AQ$4:$AQ$64,$E4,Master!M$4:M$64,"*"))</f>
        <v/>
      </c>
      <c r="J4" s="188" t="str">
        <f>IF(COUNTIFS(Master!$AQ$4:$AQ$64,$E4,Master!N$4:N$64,"*")=0,"",IF(COUNTIFS(Master!$AQ$4:$AQ$64,$E4,Master!N$4:N$64,"*I*")&gt;0,"I","")&amp;IF(COUNTIFS(Master!$AQ$4:$AQ$64,$E4,Master!N$4:N$64,"*D*")&gt;0,"D","")&amp;IF(COUNTIFS(Master!$AQ$4:$AQ$64,$E4,Master!N$4:N$64,"*A*")&gt;0,"A","")&amp;" - "&amp;COUNTIFS(Master!$AQ$4:$AQ$64,$E4,Master!N$4:N$64,"*"))</f>
        <v/>
      </c>
      <c r="K4" s="188" t="str">
        <f>IF(COUNTIFS(Master!$AQ$4:$AQ$64,$E4,Master!O$4:O$64,"*")=0,"",IF(COUNTIFS(Master!$AQ$4:$AQ$64,$E4,Master!O$4:O$64,"*I*")&gt;0,"I","")&amp;IF(COUNTIFS(Master!$AQ$4:$AQ$64,$E4,Master!O$4:O$64,"*D*")&gt;0,"D","")&amp;IF(COUNTIFS(Master!$AQ$4:$AQ$64,$E4,Master!O$4:O$64,"*A*")&gt;0,"A","")&amp;" - "&amp;COUNTIFS(Master!$AQ$4:$AQ$64,$E4,Master!O$4:O$64,"*"))</f>
        <v/>
      </c>
      <c r="L4" s="188" t="str">
        <f>IF(COUNTIFS(Master!$AQ$4:$AQ$64,$E4,Master!P$4:P$64,"*")=0,"",IF(COUNTIFS(Master!$AQ$4:$AQ$64,$E4,Master!P$4:P$64,"*I*")&gt;0,"I","")&amp;IF(COUNTIFS(Master!$AQ$4:$AQ$64,$E4,Master!P$4:P$64,"*D*")&gt;0,"D","")&amp;IF(COUNTIFS(Master!$AQ$4:$AQ$64,$E4,Master!P$4:P$64,"*A*")&gt;0,"A","")&amp;" - "&amp;COUNTIFS(Master!$AQ$4:$AQ$64,$E4,Master!P$4:P$64,"*"))</f>
        <v/>
      </c>
      <c r="M4" s="188" t="str">
        <f>IF(COUNTIFS(Master!$AQ$4:$AQ$64,$E4,Master!Q$4:Q$64,"*")=0,"",IF(COUNTIFS(Master!$AQ$4:$AQ$64,$E4,Master!Q$4:Q$64,"*I*")&gt;0,"I","")&amp;IF(COUNTIFS(Master!$AQ$4:$AQ$64,$E4,Master!Q$4:Q$64,"*D*")&gt;0,"D","")&amp;IF(COUNTIFS(Master!$AQ$4:$AQ$64,$E4,Master!Q$4:Q$64,"*A*")&gt;0,"A","")&amp;" - "&amp;COUNTIFS(Master!$AQ$4:$AQ$64,$E4,Master!Q$4:Q$64,"*"))</f>
        <v/>
      </c>
      <c r="N4" s="188" t="str">
        <f>IF(COUNTIFS(Master!$AQ$4:$AQ$64,$E4,Master!R$4:R$64,"*")=0,"",IF(COUNTIFS(Master!$AQ$4:$AQ$64,$E4,Master!R$4:R$64,"*I*")&gt;0,"I","")&amp;IF(COUNTIFS(Master!$AQ$4:$AQ$64,$E4,Master!R$4:R$64,"*D*")&gt;0,"D","")&amp;IF(COUNTIFS(Master!$AQ$4:$AQ$64,$E4,Master!R$4:R$64,"*A*")&gt;0,"A","")&amp;" - "&amp;COUNTIFS(Master!$AQ$4:$AQ$64,$E4,Master!R$4:R$64,"*"))</f>
        <v/>
      </c>
      <c r="O4" s="188" t="str">
        <f>IF(COUNTIFS(Master!$AQ$4:$AQ$64,$E4,Master!S$4:S$64,"*")=0,"",IF(COUNTIFS(Master!$AQ$4:$AQ$64,$E4,Master!S$4:S$64,"*I*")&gt;0,"I","")&amp;IF(COUNTIFS(Master!$AQ$4:$AQ$64,$E4,Master!S$4:S$64,"*D*")&gt;0,"D","")&amp;IF(COUNTIFS(Master!$AQ$4:$AQ$64,$E4,Master!S$4:S$64,"*A*")&gt;0,"A","")&amp;" - "&amp;COUNTIFS(Master!$AQ$4:$AQ$64,$E4,Master!S$4:S$64,"*"))</f>
        <v/>
      </c>
      <c r="P4" s="188" t="str">
        <f>IF(COUNTIFS(Master!$AQ$4:$AQ$64,$E4,Master!T$4:T$64,"*")=0,"",IF(COUNTIFS(Master!$AQ$4:$AQ$64,$E4,Master!T$4:T$64,"*I*")&gt;0,"I","")&amp;IF(COUNTIFS(Master!$AQ$4:$AQ$64,$E4,Master!T$4:T$64,"*D*")&gt;0,"D","")&amp;IF(COUNTIFS(Master!$AQ$4:$AQ$64,$E4,Master!T$4:T$64,"*A*")&gt;0,"A","")&amp;" - "&amp;COUNTIFS(Master!$AQ$4:$AQ$64,$E4,Master!T$4:T$64,"*"))</f>
        <v/>
      </c>
      <c r="Q4" s="188" t="str">
        <f>IF(COUNTIFS(Master!$AQ$4:$AQ$64,$E4,Master!U$4:U$64,"*")=0,"",IF(COUNTIFS(Master!$AQ$4:$AQ$64,$E4,Master!U$4:U$64,"*I*")&gt;0,"I","")&amp;IF(COUNTIFS(Master!$AQ$4:$AQ$64,$E4,Master!U$4:U$64,"*D*")&gt;0,"D","")&amp;IF(COUNTIFS(Master!$AQ$4:$AQ$64,$E4,Master!U$4:U$64,"*A*")&gt;0,"A","")&amp;" - "&amp;COUNTIFS(Master!$AQ$4:$AQ$64,$E4,Master!U$4:U$64,"*"))</f>
        <v/>
      </c>
      <c r="R4" s="188" t="str">
        <f>IF(COUNTIFS(Master!$AQ$4:$AQ$64,$E4,Master!V$4:V$64,"*")=0,"",IF(COUNTIFS(Master!$AQ$4:$AQ$64,$E4,Master!V$4:V$64,"*I*")&gt;0,"I","")&amp;IF(COUNTIFS(Master!$AQ$4:$AQ$64,$E4,Master!V$4:V$64,"*D*")&gt;0,"D","")&amp;IF(COUNTIFS(Master!$AQ$4:$AQ$64,$E4,Master!V$4:V$64,"*A*")&gt;0,"A","")&amp;" - "&amp;COUNTIFS(Master!$AQ$4:$AQ$64,$E4,Master!V$4:V$64,"*"))</f>
        <v/>
      </c>
      <c r="S4" s="188" t="str">
        <f>IF(COUNTIFS(Master!$AQ$4:$AQ$64,$E4,Master!W$4:W$64,"*")=0,"",IF(COUNTIFS(Master!$AQ$4:$AQ$64,$E4,Master!W$4:W$64,"*I*")&gt;0,"I","")&amp;IF(COUNTIFS(Master!$AQ$4:$AQ$64,$E4,Master!W$4:W$64,"*D*")&gt;0,"D","")&amp;IF(COUNTIFS(Master!$AQ$4:$AQ$64,$E4,Master!W$4:W$64,"*A*")&gt;0,"A","")&amp;" - "&amp;COUNTIFS(Master!$AQ$4:$AQ$64,$E4,Master!W$4:W$64,"*"))</f>
        <v/>
      </c>
      <c r="T4" s="188" t="str">
        <f>IF(COUNTIFS(Master!$AQ$4:$AQ$64,$E4,Master!X$4:X$64,"*")=0,"",IF(COUNTIFS(Master!$AQ$4:$AQ$64,$E4,Master!X$4:X$64,"*I*")&gt;0,"I","")&amp;IF(COUNTIFS(Master!$AQ$4:$AQ$64,$E4,Master!X$4:X$64,"*D*")&gt;0,"D","")&amp;IF(COUNTIFS(Master!$AQ$4:$AQ$64,$E4,Master!X$4:X$64,"*A*")&gt;0,"A","")&amp;" - "&amp;COUNTIFS(Master!$AQ$4:$AQ$64,$E4,Master!X$4:X$64,"*"))</f>
        <v/>
      </c>
      <c r="U4" s="188" t="str">
        <f>IF(COUNTIFS(Master!$AQ$4:$AQ$64,$E4,Master!Y$4:Y$64,"*")=0,"",IF(COUNTIFS(Master!$AQ$4:$AQ$64,$E4,Master!Y$4:Y$64,"*I*")&gt;0,"I","")&amp;IF(COUNTIFS(Master!$AQ$4:$AQ$64,$E4,Master!Y$4:Y$64,"*D*")&gt;0,"D","")&amp;IF(COUNTIFS(Master!$AQ$4:$AQ$64,$E4,Master!Y$4:Y$64,"*A*")&gt;0,"A","")&amp;" - "&amp;COUNTIFS(Master!$AQ$4:$AQ$64,$E4,Master!Y$4:Y$64,"*"))</f>
        <v/>
      </c>
      <c r="V4" s="188" t="str">
        <f>IF(COUNTIFS(Master!$AQ$4:$AQ$64,$E4,Master!Z$4:Z$64,"*")=0,"",IF(COUNTIFS(Master!$AQ$4:$AQ$64,$E4,Master!Z$4:Z$64,"*I*")&gt;0,"I","")&amp;IF(COUNTIFS(Master!$AQ$4:$AQ$64,$E4,Master!Z$4:Z$64,"*D*")&gt;0,"D","")&amp;IF(COUNTIFS(Master!$AQ$4:$AQ$64,$E4,Master!Z$4:Z$64,"*A*")&gt;0,"A","")&amp;" - "&amp;COUNTIFS(Master!$AQ$4:$AQ$64,$E4,Master!Z$4:Z$64,"*"))</f>
        <v/>
      </c>
      <c r="W4" s="188" t="str">
        <f>IF(COUNTIFS(Master!$AQ$4:$AQ$64,$E4,Master!AA$4:AA$64,"*")=0,"",IF(COUNTIFS(Master!$AQ$4:$AQ$64,$E4,Master!AA$4:AA$64,"*I*")&gt;0,"I","")&amp;IF(COUNTIFS(Master!$AQ$4:$AQ$64,$E4,Master!AA$4:AA$64,"*D*")&gt;0,"D","")&amp;IF(COUNTIFS(Master!$AQ$4:$AQ$64,$E4,Master!AA$4:AA$64,"*A*")&gt;0,"A","")&amp;" - "&amp;COUNTIFS(Master!$AQ$4:$AQ$64,$E4,Master!AA$4:AA$64,"*"))</f>
        <v/>
      </c>
      <c r="X4" s="188" t="str">
        <f>IF(COUNTIFS(Master!$AQ$4:$AQ$64,$E4,Master!AB$4:AB$64,"*")=0,"",IF(COUNTIFS(Master!$AQ$4:$AQ$64,$E4,Master!AB$4:AB$64,"*I*")&gt;0,"I","")&amp;IF(COUNTIFS(Master!$AQ$4:$AQ$64,$E4,Master!AB$4:AB$64,"*D*")&gt;0,"D","")&amp;IF(COUNTIFS(Master!$AQ$4:$AQ$64,$E4,Master!AB$4:AB$64,"*A*")&gt;0,"A","")&amp;" - "&amp;COUNTIFS(Master!$AQ$4:$AQ$64,$E4,Master!AB$4:AB$64,"*"))</f>
        <v/>
      </c>
      <c r="Y4" s="188" t="str">
        <f>IF(COUNTIFS(Master!$AQ$4:$AQ$64,$E4,Master!AC$4:AC$64,"*")=0,"",IF(COUNTIFS(Master!$AQ$4:$AQ$64,$E4,Master!AC$4:AC$64,"*I*")&gt;0,"I","")&amp;IF(COUNTIFS(Master!$AQ$4:$AQ$64,$E4,Master!AC$4:AC$64,"*D*")&gt;0,"D","")&amp;IF(COUNTIFS(Master!$AQ$4:$AQ$64,$E4,Master!AC$4:AC$64,"*A*")&gt;0,"A","")&amp;" - "&amp;COUNTIFS(Master!$AQ$4:$AQ$64,$E4,Master!AC$4:AC$64,"*"))</f>
        <v/>
      </c>
      <c r="Z4" s="188" t="str">
        <f>IF(COUNTIFS(Master!$AQ$4:$AQ$64,$E4,Master!AD$4:AD$64,"*")=0,"",IF(COUNTIFS(Master!$AQ$4:$AQ$64,$E4,Master!AD$4:AD$64,"*I*")&gt;0,"I","")&amp;IF(COUNTIFS(Master!$AQ$4:$AQ$64,$E4,Master!AD$4:AD$64,"*D*")&gt;0,"D","")&amp;IF(COUNTIFS(Master!$AQ$4:$AQ$64,$E4,Master!AD$4:AD$64,"*A*")&gt;0,"A","")&amp;" - "&amp;COUNTIFS(Master!$AQ$4:$AQ$64,$E4,Master!AD$4:AD$64,"*"))</f>
        <v/>
      </c>
      <c r="AA4" s="188" t="str">
        <f>IF(COUNTIFS(Master!$AQ$4:$AQ$64,$E4,Master!AE$4:AE$64,"*")=0,"",IF(COUNTIFS(Master!$AQ$4:$AQ$64,$E4,Master!AE$4:AE$64,"*I*")&gt;0,"I","")&amp;IF(COUNTIFS(Master!$AQ$4:$AQ$64,$E4,Master!AE$4:AE$64,"*D*")&gt;0,"D","")&amp;IF(COUNTIFS(Master!$AQ$4:$AQ$64,$E4,Master!AE$4:AE$64,"*A*")&gt;0,"A","")&amp;" - "&amp;COUNTIFS(Master!$AQ$4:$AQ$64,$E4,Master!AE$4:AE$64,"*"))</f>
        <v/>
      </c>
      <c r="AB4" s="188" t="str">
        <f>IF(COUNTIFS(Master!$AQ$4:$AQ$64,$E4,Master!AF$4:AF$64,"*")=0,"",IF(COUNTIFS(Master!$AQ$4:$AQ$64,$E4,Master!AF$4:AF$64,"*I*")&gt;0,"I","")&amp;IF(COUNTIFS(Master!$AQ$4:$AQ$64,$E4,Master!AF$4:AF$64,"*D*")&gt;0,"D","")&amp;IF(COUNTIFS(Master!$AQ$4:$AQ$64,$E4,Master!AF$4:AF$64,"*A*")&gt;0,"A","")&amp;" - "&amp;COUNTIFS(Master!$AQ$4:$AQ$64,$E4,Master!AF$4:AF$64,"*"))</f>
        <v/>
      </c>
      <c r="AC4" s="188" t="str">
        <f>IF(COUNTIFS(Master!$AQ$4:$AQ$64,$E4,Master!AG$4:AG$64,"*")=0,"",IF(COUNTIFS(Master!$AQ$4:$AQ$64,$E4,Master!AG$4:AG$64,"*I*")&gt;0,"I","")&amp;IF(COUNTIFS(Master!$AQ$4:$AQ$64,$E4,Master!AG$4:AG$64,"*D*")&gt;0,"D","")&amp;IF(COUNTIFS(Master!$AQ$4:$AQ$64,$E4,Master!AG$4:AG$64,"*A*")&gt;0,"A","")&amp;" - "&amp;COUNTIFS(Master!$AQ$4:$AQ$64,$E4,Master!AG$4:AG$64,"*"))</f>
        <v/>
      </c>
      <c r="AD4" s="188" t="str">
        <f>IF(COUNTIFS(Master!$AQ$4:$AQ$64,$E4,Master!AH$4:AH$64,"*")=0,"",IF(COUNTIFS(Master!$AQ$4:$AQ$64,$E4,Master!AH$4:AH$64,"*I*")&gt;0,"I","")&amp;IF(COUNTIFS(Master!$AQ$4:$AQ$64,$E4,Master!AH$4:AH$64,"*D*")&gt;0,"D","")&amp;IF(COUNTIFS(Master!$AQ$4:$AQ$64,$E4,Master!AH$4:AH$64,"*A*")&gt;0,"A","")&amp;" - "&amp;COUNTIFS(Master!$AQ$4:$AQ$64,$E4,Master!AH$4:AH$64,"*"))</f>
        <v/>
      </c>
      <c r="AE4" s="188" t="str">
        <f>IF(COUNTIFS(Master!$AQ$4:$AQ$64,$E4,Master!AI$4:AI$64,"*")=0,"",IF(COUNTIFS(Master!$AQ$4:$AQ$64,$E4,Master!AI$4:AI$64,"*I*")&gt;0,"I","")&amp;IF(COUNTIFS(Master!$AQ$4:$AQ$64,$E4,Master!AI$4:AI$64,"*D*")&gt;0,"D","")&amp;IF(COUNTIFS(Master!$AQ$4:$AQ$64,$E4,Master!AI$4:AI$64,"*A*")&gt;0,"A","")&amp;" - "&amp;COUNTIFS(Master!$AQ$4:$AQ$64,$E4,Master!AI$4:AI$64,"*"))</f>
        <v/>
      </c>
      <c r="AF4" s="188" t="str">
        <f>IF(COUNTIFS(Master!$AQ$4:$AQ$64,$E4,Master!AJ$4:AJ$64,"*")=0,"",IF(COUNTIFS(Master!$AQ$4:$AQ$64,$E4,Master!AJ$4:AJ$64,"*I*")&gt;0,"I","")&amp;IF(COUNTIFS(Master!$AQ$4:$AQ$64,$E4,Master!AJ$4:AJ$64,"*D*")&gt;0,"D","")&amp;IF(COUNTIFS(Master!$AQ$4:$AQ$64,$E4,Master!AJ$4:AJ$64,"*A*")&gt;0,"A","")&amp;" - "&amp;COUNTIFS(Master!$AQ$4:$AQ$64,$E4,Master!AJ$4:AJ$64,"*"))</f>
        <v/>
      </c>
      <c r="AG4" s="188" t="str">
        <f>IF(COUNTIFS(Master!$AQ$4:$AQ$64,$E4,Master!AK$4:AK$64,"*")=0,"",IF(COUNTIFS(Master!$AQ$4:$AQ$64,$E4,Master!AK$4:AK$64,"*I*")&gt;0,"I","")&amp;IF(COUNTIFS(Master!$AQ$4:$AQ$64,$E4,Master!AK$4:AK$64,"*D*")&gt;0,"D","")&amp;IF(COUNTIFS(Master!$AQ$4:$AQ$64,$E4,Master!AK$4:AK$64,"*A*")&gt;0,"A","")&amp;" - "&amp;COUNTIFS(Master!$AQ$4:$AQ$64,$E4,Master!AK$4:AK$64,"*"))</f>
        <v/>
      </c>
      <c r="AH4" s="188" t="str">
        <f>IF(COUNTIFS(Master!$AQ$4:$AQ$64,$E4,Master!AL$4:AL$64,"*")=0,"",IF(COUNTIFS(Master!$AQ$4:$AQ$64,$E4,Master!AL$4:AL$64,"*I*")&gt;0,"I","")&amp;IF(COUNTIFS(Master!$AQ$4:$AQ$64,$E4,Master!AL$4:AL$64,"*D*")&gt;0,"D","")&amp;IF(COUNTIFS(Master!$AQ$4:$AQ$64,$E4,Master!AL$4:AL$64,"*A*")&gt;0,"A","")&amp;" - "&amp;COUNTIFS(Master!$AQ$4:$AQ$64,$E4,Master!AL$4:AL$64,"*"))</f>
        <v/>
      </c>
      <c r="AI4" s="188" t="str">
        <f>IF(COUNTIFS(Master!$AQ$4:$AQ$64,$E4,Master!AM$4:AM$64,"*")=0,"",IF(COUNTIFS(Master!$AQ$4:$AQ$64,$E4,Master!AM$4:AM$64,"*I*")&gt;0,"I","")&amp;IF(COUNTIFS(Master!$AQ$4:$AQ$64,$E4,Master!AM$4:AM$64,"*D*")&gt;0,"D","")&amp;IF(COUNTIFS(Master!$AQ$4:$AQ$64,$E4,Master!AM$4:AM$64,"*A*")&gt;0,"A","")&amp;" - "&amp;COUNTIFS(Master!$AQ$4:$AQ$64,$E4,Master!AM$4:AM$64,"*"))</f>
        <v/>
      </c>
      <c r="AJ4" s="188" t="str">
        <f>IF(COUNTIFS(Master!$AQ$4:$AQ$64,$E4,Master!AN$4:AN$64,"*")=0,"",IF(COUNTIFS(Master!$AQ$4:$AQ$64,$E4,Master!AN$4:AN$64,"*I*")&gt;0,"I","")&amp;IF(COUNTIFS(Master!$AQ$4:$AQ$64,$E4,Master!AN$4:AN$64,"*D*")&gt;0,"D","")&amp;IF(COUNTIFS(Master!$AQ$4:$AQ$64,$E4,Master!AN$4:AN$64,"*A*")&gt;0,"A","")&amp;" - "&amp;COUNTIFS(Master!$AQ$4:$AQ$64,$E4,Master!AN$4:AN$64,"*"))</f>
        <v/>
      </c>
      <c r="AK4" s="189" t="str">
        <f>IF(COUNTIFS(Master!$AQ$4:$AQ$64,$E4,Master!AO$4:AO$64,"*")=0,"",IF(COUNTIFS(Master!$AQ$4:$AQ$64,$E4,Master!AO$4:AO$64,"*I*")&gt;0,"I","")&amp;IF(COUNTIFS(Master!$AQ$4:$AQ$64,$E4,Master!AO$4:AO$64,"*D*")&gt;0,"D","")&amp;IF(COUNTIFS(Master!$AQ$4:$AQ$64,$E4,Master!AO$4:AO$64,"*A*")&gt;0,"A","")&amp;" - "&amp;COUNTIFS(Master!$AQ$4:$AQ$64,$E4,Master!AO$4:AO$64,"*"))</f>
        <v/>
      </c>
      <c r="AM4" s="3" t="s">
        <v>27</v>
      </c>
      <c r="AO4" s="3" t="s">
        <v>731</v>
      </c>
      <c r="AP4" s="3" t="s">
        <v>732</v>
      </c>
      <c r="AR4" s="37" t="s">
        <v>232</v>
      </c>
      <c r="AS4" s="37" t="s">
        <v>580</v>
      </c>
      <c r="AT4" s="38" t="s">
        <v>32</v>
      </c>
      <c r="AU4" s="38" t="s">
        <v>68</v>
      </c>
      <c r="AV4" s="37" t="s">
        <v>28</v>
      </c>
    </row>
    <row r="5" spans="1:48" x14ac:dyDescent="0.2">
      <c r="A5" s="165" t="s">
        <v>494</v>
      </c>
      <c r="B5" s="166">
        <f>SUMIF(Master!$AR$4:$AR$64,A5,Master!$AT$4:$AT$64)</f>
        <v>0</v>
      </c>
      <c r="C5" s="167" t="str">
        <f>IF(COUNTIFS(Master!$AR$4:$AR$64,A5,Master!$AS$4:$AS$64,"*I*")&gt;0,"I","")&amp;IF(COUNTIFS(Master!$AR$4:$AR$64,A5,Master!$AS$4:$AS$64,"*D*")&gt;0,"D","")&amp;IF(COUNTIFS(Master!$AR$4:$AR$64,A5,Master!$AS$4:$AS$64,"*A*")&gt;0,"A","")</f>
        <v/>
      </c>
      <c r="E5" s="175" t="s">
        <v>42</v>
      </c>
      <c r="F5" s="188" t="str">
        <f>IF(COUNTIFS(Master!$AQ$4:$AQ$64,$E5,Master!J$4:J$64,"*")=0,"",IF(COUNTIFS(Master!$AQ$4:$AQ$64,$E5,Master!J$4:J$64,"*I*")&gt;0,"I","")&amp;IF(COUNTIFS(Master!$AQ$4:$AQ$64,$E5,Master!J$4:J$64,"*D*")&gt;0,"D","")&amp;IF(COUNTIFS(Master!$AQ$4:$AQ$64,$E5,Master!J$4:J$64,"*A*")&gt;0,"A","")&amp;" - "&amp;COUNTIFS(Master!$AQ$4:$AQ$64,$E5,Master!J$4:J$64,"*"))</f>
        <v/>
      </c>
      <c r="G5" s="188" t="str">
        <f>IF(COUNTIFS(Master!$AQ$4:$AQ$64,$E5,Master!K$4:K$64,"*")=0,"",IF(COUNTIFS(Master!$AQ$4:$AQ$64,$E5,Master!K$4:K$64,"*I*")&gt;0,"I","")&amp;IF(COUNTIFS(Master!$AQ$4:$AQ$64,$E5,Master!K$4:K$64,"*D*")&gt;0,"D","")&amp;IF(COUNTIFS(Master!$AQ$4:$AQ$64,$E5,Master!K$4:K$64,"*A*")&gt;0,"A","")&amp;" - "&amp;COUNTIFS(Master!$AQ$4:$AQ$64,$E5,Master!K$4:K$64,"*"))</f>
        <v/>
      </c>
      <c r="H5" s="188" t="str">
        <f>IF(COUNTIFS(Master!$AQ$4:$AQ$64,$E5,Master!L$4:L$64,"*")=0,"",IF(COUNTIFS(Master!$AQ$4:$AQ$64,$E5,Master!L$4:L$64,"*I*")&gt;0,"I","")&amp;IF(COUNTIFS(Master!$AQ$4:$AQ$64,$E5,Master!L$4:L$64,"*D*")&gt;0,"D","")&amp;IF(COUNTIFS(Master!$AQ$4:$AQ$64,$E5,Master!L$4:L$64,"*A*")&gt;0,"A","")&amp;" - "&amp;COUNTIFS(Master!$AQ$4:$AQ$64,$E5,Master!L$4:L$64,"*"))</f>
        <v/>
      </c>
      <c r="I5" s="188" t="str">
        <f>IF(COUNTIFS(Master!$AQ$4:$AQ$64,$E5,Master!M$4:M$64,"*")=0,"",IF(COUNTIFS(Master!$AQ$4:$AQ$64,$E5,Master!M$4:M$64,"*I*")&gt;0,"I","")&amp;IF(COUNTIFS(Master!$AQ$4:$AQ$64,$E5,Master!M$4:M$64,"*D*")&gt;0,"D","")&amp;IF(COUNTIFS(Master!$AQ$4:$AQ$64,$E5,Master!M$4:M$64,"*A*")&gt;0,"A","")&amp;" - "&amp;COUNTIFS(Master!$AQ$4:$AQ$64,$E5,Master!M$4:M$64,"*"))</f>
        <v/>
      </c>
      <c r="J5" s="188" t="str">
        <f>IF(COUNTIFS(Master!$AQ$4:$AQ$64,$E5,Master!N$4:N$64,"*")=0,"",IF(COUNTIFS(Master!$AQ$4:$AQ$64,$E5,Master!N$4:N$64,"*I*")&gt;0,"I","")&amp;IF(COUNTIFS(Master!$AQ$4:$AQ$64,$E5,Master!N$4:N$64,"*D*")&gt;0,"D","")&amp;IF(COUNTIFS(Master!$AQ$4:$AQ$64,$E5,Master!N$4:N$64,"*A*")&gt;0,"A","")&amp;" - "&amp;COUNTIFS(Master!$AQ$4:$AQ$64,$E5,Master!N$4:N$64,"*"))</f>
        <v/>
      </c>
      <c r="K5" s="188" t="str">
        <f>IF(COUNTIFS(Master!$AQ$4:$AQ$64,$E5,Master!O$4:O$64,"*")=0,"",IF(COUNTIFS(Master!$AQ$4:$AQ$64,$E5,Master!O$4:O$64,"*I*")&gt;0,"I","")&amp;IF(COUNTIFS(Master!$AQ$4:$AQ$64,$E5,Master!O$4:O$64,"*D*")&gt;0,"D","")&amp;IF(COUNTIFS(Master!$AQ$4:$AQ$64,$E5,Master!O$4:O$64,"*A*")&gt;0,"A","")&amp;" - "&amp;COUNTIFS(Master!$AQ$4:$AQ$64,$E5,Master!O$4:O$64,"*"))</f>
        <v/>
      </c>
      <c r="L5" s="188" t="str">
        <f>IF(COUNTIFS(Master!$AQ$4:$AQ$64,$E5,Master!P$4:P$64,"*")=0,"",IF(COUNTIFS(Master!$AQ$4:$AQ$64,$E5,Master!P$4:P$64,"*I*")&gt;0,"I","")&amp;IF(COUNTIFS(Master!$AQ$4:$AQ$64,$E5,Master!P$4:P$64,"*D*")&gt;0,"D","")&amp;IF(COUNTIFS(Master!$AQ$4:$AQ$64,$E5,Master!P$4:P$64,"*A*")&gt;0,"A","")&amp;" - "&amp;COUNTIFS(Master!$AQ$4:$AQ$64,$E5,Master!P$4:P$64,"*"))</f>
        <v/>
      </c>
      <c r="M5" s="188" t="str">
        <f>IF(COUNTIFS(Master!$AQ$4:$AQ$64,$E5,Master!Q$4:Q$64,"*")=0,"",IF(COUNTIFS(Master!$AQ$4:$AQ$64,$E5,Master!Q$4:Q$64,"*I*")&gt;0,"I","")&amp;IF(COUNTIFS(Master!$AQ$4:$AQ$64,$E5,Master!Q$4:Q$64,"*D*")&gt;0,"D","")&amp;IF(COUNTIFS(Master!$AQ$4:$AQ$64,$E5,Master!Q$4:Q$64,"*A*")&gt;0,"A","")&amp;" - "&amp;COUNTIFS(Master!$AQ$4:$AQ$64,$E5,Master!Q$4:Q$64,"*"))</f>
        <v/>
      </c>
      <c r="N5" s="188" t="str">
        <f>IF(COUNTIFS(Master!$AQ$4:$AQ$64,$E5,Master!R$4:R$64,"*")=0,"",IF(COUNTIFS(Master!$AQ$4:$AQ$64,$E5,Master!R$4:R$64,"*I*")&gt;0,"I","")&amp;IF(COUNTIFS(Master!$AQ$4:$AQ$64,$E5,Master!R$4:R$64,"*D*")&gt;0,"D","")&amp;IF(COUNTIFS(Master!$AQ$4:$AQ$64,$E5,Master!R$4:R$64,"*A*")&gt;0,"A","")&amp;" - "&amp;COUNTIFS(Master!$AQ$4:$AQ$64,$E5,Master!R$4:R$64,"*"))</f>
        <v/>
      </c>
      <c r="O5" s="188" t="str">
        <f>IF(COUNTIFS(Master!$AQ$4:$AQ$64,$E5,Master!S$4:S$64,"*")=0,"",IF(COUNTIFS(Master!$AQ$4:$AQ$64,$E5,Master!S$4:S$64,"*I*")&gt;0,"I","")&amp;IF(COUNTIFS(Master!$AQ$4:$AQ$64,$E5,Master!S$4:S$64,"*D*")&gt;0,"D","")&amp;IF(COUNTIFS(Master!$AQ$4:$AQ$64,$E5,Master!S$4:S$64,"*A*")&gt;0,"A","")&amp;" - "&amp;COUNTIFS(Master!$AQ$4:$AQ$64,$E5,Master!S$4:S$64,"*"))</f>
        <v/>
      </c>
      <c r="P5" s="188" t="str">
        <f>IF(COUNTIFS(Master!$AQ$4:$AQ$64,$E5,Master!T$4:T$64,"*")=0,"",IF(COUNTIFS(Master!$AQ$4:$AQ$64,$E5,Master!T$4:T$64,"*I*")&gt;0,"I","")&amp;IF(COUNTIFS(Master!$AQ$4:$AQ$64,$E5,Master!T$4:T$64,"*D*")&gt;0,"D","")&amp;IF(COUNTIFS(Master!$AQ$4:$AQ$64,$E5,Master!T$4:T$64,"*A*")&gt;0,"A","")&amp;" - "&amp;COUNTIFS(Master!$AQ$4:$AQ$64,$E5,Master!T$4:T$64,"*"))</f>
        <v/>
      </c>
      <c r="Q5" s="188" t="str">
        <f>IF(COUNTIFS(Master!$AQ$4:$AQ$64,$E5,Master!U$4:U$64,"*")=0,"",IF(COUNTIFS(Master!$AQ$4:$AQ$64,$E5,Master!U$4:U$64,"*I*")&gt;0,"I","")&amp;IF(COUNTIFS(Master!$AQ$4:$AQ$64,$E5,Master!U$4:U$64,"*D*")&gt;0,"D","")&amp;IF(COUNTIFS(Master!$AQ$4:$AQ$64,$E5,Master!U$4:U$64,"*A*")&gt;0,"A","")&amp;" - "&amp;COUNTIFS(Master!$AQ$4:$AQ$64,$E5,Master!U$4:U$64,"*"))</f>
        <v/>
      </c>
      <c r="R5" s="188" t="str">
        <f>IF(COUNTIFS(Master!$AQ$4:$AQ$64,$E5,Master!V$4:V$64,"*")=0,"",IF(COUNTIFS(Master!$AQ$4:$AQ$64,$E5,Master!V$4:V$64,"*I*")&gt;0,"I","")&amp;IF(COUNTIFS(Master!$AQ$4:$AQ$64,$E5,Master!V$4:V$64,"*D*")&gt;0,"D","")&amp;IF(COUNTIFS(Master!$AQ$4:$AQ$64,$E5,Master!V$4:V$64,"*A*")&gt;0,"A","")&amp;" - "&amp;COUNTIFS(Master!$AQ$4:$AQ$64,$E5,Master!V$4:V$64,"*"))</f>
        <v/>
      </c>
      <c r="S5" s="188" t="str">
        <f>IF(COUNTIFS(Master!$AQ$4:$AQ$64,$E5,Master!W$4:W$64,"*")=0,"",IF(COUNTIFS(Master!$AQ$4:$AQ$64,$E5,Master!W$4:W$64,"*I*")&gt;0,"I","")&amp;IF(COUNTIFS(Master!$AQ$4:$AQ$64,$E5,Master!W$4:W$64,"*D*")&gt;0,"D","")&amp;IF(COUNTIFS(Master!$AQ$4:$AQ$64,$E5,Master!W$4:W$64,"*A*")&gt;0,"A","")&amp;" - "&amp;COUNTIFS(Master!$AQ$4:$AQ$64,$E5,Master!W$4:W$64,"*"))</f>
        <v/>
      </c>
      <c r="T5" s="188" t="str">
        <f>IF(COUNTIFS(Master!$AQ$4:$AQ$64,$E5,Master!X$4:X$64,"*")=0,"",IF(COUNTIFS(Master!$AQ$4:$AQ$64,$E5,Master!X$4:X$64,"*I*")&gt;0,"I","")&amp;IF(COUNTIFS(Master!$AQ$4:$AQ$64,$E5,Master!X$4:X$64,"*D*")&gt;0,"D","")&amp;IF(COUNTIFS(Master!$AQ$4:$AQ$64,$E5,Master!X$4:X$64,"*A*")&gt;0,"A","")&amp;" - "&amp;COUNTIFS(Master!$AQ$4:$AQ$64,$E5,Master!X$4:X$64,"*"))</f>
        <v/>
      </c>
      <c r="U5" s="188" t="str">
        <f>IF(COUNTIFS(Master!$AQ$4:$AQ$64,$E5,Master!Y$4:Y$64,"*")=0,"",IF(COUNTIFS(Master!$AQ$4:$AQ$64,$E5,Master!Y$4:Y$64,"*I*")&gt;0,"I","")&amp;IF(COUNTIFS(Master!$AQ$4:$AQ$64,$E5,Master!Y$4:Y$64,"*D*")&gt;0,"D","")&amp;IF(COUNTIFS(Master!$AQ$4:$AQ$64,$E5,Master!Y$4:Y$64,"*A*")&gt;0,"A","")&amp;" - "&amp;COUNTIFS(Master!$AQ$4:$AQ$64,$E5,Master!Y$4:Y$64,"*"))</f>
        <v/>
      </c>
      <c r="V5" s="188" t="str">
        <f>IF(COUNTIFS(Master!$AQ$4:$AQ$64,$E5,Master!Z$4:Z$64,"*")=0,"",IF(COUNTIFS(Master!$AQ$4:$AQ$64,$E5,Master!Z$4:Z$64,"*I*")&gt;0,"I","")&amp;IF(COUNTIFS(Master!$AQ$4:$AQ$64,$E5,Master!Z$4:Z$64,"*D*")&gt;0,"D","")&amp;IF(COUNTIFS(Master!$AQ$4:$AQ$64,$E5,Master!Z$4:Z$64,"*A*")&gt;0,"A","")&amp;" - "&amp;COUNTIFS(Master!$AQ$4:$AQ$64,$E5,Master!Z$4:Z$64,"*"))</f>
        <v/>
      </c>
      <c r="W5" s="188" t="str">
        <f>IF(COUNTIFS(Master!$AQ$4:$AQ$64,$E5,Master!AA$4:AA$64,"*")=0,"",IF(COUNTIFS(Master!$AQ$4:$AQ$64,$E5,Master!AA$4:AA$64,"*I*")&gt;0,"I","")&amp;IF(COUNTIFS(Master!$AQ$4:$AQ$64,$E5,Master!AA$4:AA$64,"*D*")&gt;0,"D","")&amp;IF(COUNTIFS(Master!$AQ$4:$AQ$64,$E5,Master!AA$4:AA$64,"*A*")&gt;0,"A","")&amp;" - "&amp;COUNTIFS(Master!$AQ$4:$AQ$64,$E5,Master!AA$4:AA$64,"*"))</f>
        <v/>
      </c>
      <c r="X5" s="188" t="str">
        <f>IF(COUNTIFS(Master!$AQ$4:$AQ$64,$E5,Master!AB$4:AB$64,"*")=0,"",IF(COUNTIFS(Master!$AQ$4:$AQ$64,$E5,Master!AB$4:AB$64,"*I*")&gt;0,"I","")&amp;IF(COUNTIFS(Master!$AQ$4:$AQ$64,$E5,Master!AB$4:AB$64,"*D*")&gt;0,"D","")&amp;IF(COUNTIFS(Master!$AQ$4:$AQ$64,$E5,Master!AB$4:AB$64,"*A*")&gt;0,"A","")&amp;" - "&amp;COUNTIFS(Master!$AQ$4:$AQ$64,$E5,Master!AB$4:AB$64,"*"))</f>
        <v/>
      </c>
      <c r="Y5" s="188" t="str">
        <f>IF(COUNTIFS(Master!$AQ$4:$AQ$64,$E5,Master!AC$4:AC$64,"*")=0,"",IF(COUNTIFS(Master!$AQ$4:$AQ$64,$E5,Master!AC$4:AC$64,"*I*")&gt;0,"I","")&amp;IF(COUNTIFS(Master!$AQ$4:$AQ$64,$E5,Master!AC$4:AC$64,"*D*")&gt;0,"D","")&amp;IF(COUNTIFS(Master!$AQ$4:$AQ$64,$E5,Master!AC$4:AC$64,"*A*")&gt;0,"A","")&amp;" - "&amp;COUNTIFS(Master!$AQ$4:$AQ$64,$E5,Master!AC$4:AC$64,"*"))</f>
        <v/>
      </c>
      <c r="Z5" s="188" t="str">
        <f>IF(COUNTIFS(Master!$AQ$4:$AQ$64,$E5,Master!AD$4:AD$64,"*")=0,"",IF(COUNTIFS(Master!$AQ$4:$AQ$64,$E5,Master!AD$4:AD$64,"*I*")&gt;0,"I","")&amp;IF(COUNTIFS(Master!$AQ$4:$AQ$64,$E5,Master!AD$4:AD$64,"*D*")&gt;0,"D","")&amp;IF(COUNTIFS(Master!$AQ$4:$AQ$64,$E5,Master!AD$4:AD$64,"*A*")&gt;0,"A","")&amp;" - "&amp;COUNTIFS(Master!$AQ$4:$AQ$64,$E5,Master!AD$4:AD$64,"*"))</f>
        <v/>
      </c>
      <c r="AA5" s="188" t="str">
        <f>IF(COUNTIFS(Master!$AQ$4:$AQ$64,$E5,Master!AE$4:AE$64,"*")=0,"",IF(COUNTIFS(Master!$AQ$4:$AQ$64,$E5,Master!AE$4:AE$64,"*I*")&gt;0,"I","")&amp;IF(COUNTIFS(Master!$AQ$4:$AQ$64,$E5,Master!AE$4:AE$64,"*D*")&gt;0,"D","")&amp;IF(COUNTIFS(Master!$AQ$4:$AQ$64,$E5,Master!AE$4:AE$64,"*A*")&gt;0,"A","")&amp;" - "&amp;COUNTIFS(Master!$AQ$4:$AQ$64,$E5,Master!AE$4:AE$64,"*"))</f>
        <v/>
      </c>
      <c r="AB5" s="188" t="str">
        <f>IF(COUNTIFS(Master!$AQ$4:$AQ$64,$E5,Master!AF$4:AF$64,"*")=0,"",IF(COUNTIFS(Master!$AQ$4:$AQ$64,$E5,Master!AF$4:AF$64,"*I*")&gt;0,"I","")&amp;IF(COUNTIFS(Master!$AQ$4:$AQ$64,$E5,Master!AF$4:AF$64,"*D*")&gt;0,"D","")&amp;IF(COUNTIFS(Master!$AQ$4:$AQ$64,$E5,Master!AF$4:AF$64,"*A*")&gt;0,"A","")&amp;" - "&amp;COUNTIFS(Master!$AQ$4:$AQ$64,$E5,Master!AF$4:AF$64,"*"))</f>
        <v/>
      </c>
      <c r="AC5" s="188" t="str">
        <f>IF(COUNTIFS(Master!$AQ$4:$AQ$64,$E5,Master!AG$4:AG$64,"*")=0,"",IF(COUNTIFS(Master!$AQ$4:$AQ$64,$E5,Master!AG$4:AG$64,"*I*")&gt;0,"I","")&amp;IF(COUNTIFS(Master!$AQ$4:$AQ$64,$E5,Master!AG$4:AG$64,"*D*")&gt;0,"D","")&amp;IF(COUNTIFS(Master!$AQ$4:$AQ$64,$E5,Master!AG$4:AG$64,"*A*")&gt;0,"A","")&amp;" - "&amp;COUNTIFS(Master!$AQ$4:$AQ$64,$E5,Master!AG$4:AG$64,"*"))</f>
        <v/>
      </c>
      <c r="AD5" s="188" t="str">
        <f>IF(COUNTIFS(Master!$AQ$4:$AQ$64,$E5,Master!AH$4:AH$64,"*")=0,"",IF(COUNTIFS(Master!$AQ$4:$AQ$64,$E5,Master!AH$4:AH$64,"*I*")&gt;0,"I","")&amp;IF(COUNTIFS(Master!$AQ$4:$AQ$64,$E5,Master!AH$4:AH$64,"*D*")&gt;0,"D","")&amp;IF(COUNTIFS(Master!$AQ$4:$AQ$64,$E5,Master!AH$4:AH$64,"*A*")&gt;0,"A","")&amp;" - "&amp;COUNTIFS(Master!$AQ$4:$AQ$64,$E5,Master!AH$4:AH$64,"*"))</f>
        <v/>
      </c>
      <c r="AE5" s="188" t="str">
        <f>IF(COUNTIFS(Master!$AQ$4:$AQ$64,$E5,Master!AI$4:AI$64,"*")=0,"",IF(COUNTIFS(Master!$AQ$4:$AQ$64,$E5,Master!AI$4:AI$64,"*I*")&gt;0,"I","")&amp;IF(COUNTIFS(Master!$AQ$4:$AQ$64,$E5,Master!AI$4:AI$64,"*D*")&gt;0,"D","")&amp;IF(COUNTIFS(Master!$AQ$4:$AQ$64,$E5,Master!AI$4:AI$64,"*A*")&gt;0,"A","")&amp;" - "&amp;COUNTIFS(Master!$AQ$4:$AQ$64,$E5,Master!AI$4:AI$64,"*"))</f>
        <v/>
      </c>
      <c r="AF5" s="188" t="str">
        <f>IF(COUNTIFS(Master!$AQ$4:$AQ$64,$E5,Master!AJ$4:AJ$64,"*")=0,"",IF(COUNTIFS(Master!$AQ$4:$AQ$64,$E5,Master!AJ$4:AJ$64,"*I*")&gt;0,"I","")&amp;IF(COUNTIFS(Master!$AQ$4:$AQ$64,$E5,Master!AJ$4:AJ$64,"*D*")&gt;0,"D","")&amp;IF(COUNTIFS(Master!$AQ$4:$AQ$64,$E5,Master!AJ$4:AJ$64,"*A*")&gt;0,"A","")&amp;" - "&amp;COUNTIFS(Master!$AQ$4:$AQ$64,$E5,Master!AJ$4:AJ$64,"*"))</f>
        <v/>
      </c>
      <c r="AG5" s="188" t="str">
        <f>IF(COUNTIFS(Master!$AQ$4:$AQ$64,$E5,Master!AK$4:AK$64,"*")=0,"",IF(COUNTIFS(Master!$AQ$4:$AQ$64,$E5,Master!AK$4:AK$64,"*I*")&gt;0,"I","")&amp;IF(COUNTIFS(Master!$AQ$4:$AQ$64,$E5,Master!AK$4:AK$64,"*D*")&gt;0,"D","")&amp;IF(COUNTIFS(Master!$AQ$4:$AQ$64,$E5,Master!AK$4:AK$64,"*A*")&gt;0,"A","")&amp;" - "&amp;COUNTIFS(Master!$AQ$4:$AQ$64,$E5,Master!AK$4:AK$64,"*"))</f>
        <v/>
      </c>
      <c r="AH5" s="188" t="str">
        <f>IF(COUNTIFS(Master!$AQ$4:$AQ$64,$E5,Master!AL$4:AL$64,"*")=0,"",IF(COUNTIFS(Master!$AQ$4:$AQ$64,$E5,Master!AL$4:AL$64,"*I*")&gt;0,"I","")&amp;IF(COUNTIFS(Master!$AQ$4:$AQ$64,$E5,Master!AL$4:AL$64,"*D*")&gt;0,"D","")&amp;IF(COUNTIFS(Master!$AQ$4:$AQ$64,$E5,Master!AL$4:AL$64,"*A*")&gt;0,"A","")&amp;" - "&amp;COUNTIFS(Master!$AQ$4:$AQ$64,$E5,Master!AL$4:AL$64,"*"))</f>
        <v/>
      </c>
      <c r="AI5" s="188" t="str">
        <f>IF(COUNTIFS(Master!$AQ$4:$AQ$64,$E5,Master!AM$4:AM$64,"*")=0,"",IF(COUNTIFS(Master!$AQ$4:$AQ$64,$E5,Master!AM$4:AM$64,"*I*")&gt;0,"I","")&amp;IF(COUNTIFS(Master!$AQ$4:$AQ$64,$E5,Master!AM$4:AM$64,"*D*")&gt;0,"D","")&amp;IF(COUNTIFS(Master!$AQ$4:$AQ$64,$E5,Master!AM$4:AM$64,"*A*")&gt;0,"A","")&amp;" - "&amp;COUNTIFS(Master!$AQ$4:$AQ$64,$E5,Master!AM$4:AM$64,"*"))</f>
        <v/>
      </c>
      <c r="AJ5" s="188" t="str">
        <f>IF(COUNTIFS(Master!$AQ$4:$AQ$64,$E5,Master!AN$4:AN$64,"*")=0,"",IF(COUNTIFS(Master!$AQ$4:$AQ$64,$E5,Master!AN$4:AN$64,"*I*")&gt;0,"I","")&amp;IF(COUNTIFS(Master!$AQ$4:$AQ$64,$E5,Master!AN$4:AN$64,"*D*")&gt;0,"D","")&amp;IF(COUNTIFS(Master!$AQ$4:$AQ$64,$E5,Master!AN$4:AN$64,"*A*")&gt;0,"A","")&amp;" - "&amp;COUNTIFS(Master!$AQ$4:$AQ$64,$E5,Master!AN$4:AN$64,"*"))</f>
        <v/>
      </c>
      <c r="AK5" s="189" t="str">
        <f>IF(COUNTIFS(Master!$AQ$4:$AQ$64,$E5,Master!AO$4:AO$64,"*")=0,"",IF(COUNTIFS(Master!$AQ$4:$AQ$64,$E5,Master!AO$4:AO$64,"*I*")&gt;0,"I","")&amp;IF(COUNTIFS(Master!$AQ$4:$AQ$64,$E5,Master!AO$4:AO$64,"*D*")&gt;0,"D","")&amp;IF(COUNTIFS(Master!$AQ$4:$AQ$64,$E5,Master!AO$4:AO$64,"*A*")&gt;0,"A","")&amp;" - "&amp;COUNTIFS(Master!$AQ$4:$AQ$64,$E5,Master!AO$4:AO$64,"*"))</f>
        <v/>
      </c>
      <c r="AM5" s="3" t="s">
        <v>28</v>
      </c>
      <c r="AO5" s="3" t="s">
        <v>733</v>
      </c>
      <c r="AP5" s="3" t="s">
        <v>734</v>
      </c>
      <c r="AR5" s="37" t="s">
        <v>238</v>
      </c>
      <c r="AS5" s="37" t="s">
        <v>582</v>
      </c>
      <c r="AT5" s="38" t="s">
        <v>32</v>
      </c>
      <c r="AU5" s="38" t="s">
        <v>68</v>
      </c>
      <c r="AV5" s="37" t="s">
        <v>28</v>
      </c>
    </row>
    <row r="6" spans="1:48" x14ac:dyDescent="0.2">
      <c r="A6" s="165" t="s">
        <v>508</v>
      </c>
      <c r="B6" s="166">
        <f>SUMIF(Master!$AR$4:$AR$64,A6,Master!$AT$4:$AT$64)</f>
        <v>4</v>
      </c>
      <c r="C6" s="167" t="str">
        <f>IF(COUNTIFS(Master!$AR$4:$AR$64,A6,Master!$AS$4:$AS$64,"*I*")&gt;0,"I","")&amp;IF(COUNTIFS(Master!$AR$4:$AR$64,A6,Master!$AS$4:$AS$64,"*D*")&gt;0,"D","")&amp;IF(COUNTIFS(Master!$AR$4:$AR$64,A6,Master!$AS$4:$AS$64,"*A*")&gt;0,"A","")</f>
        <v>IDA</v>
      </c>
      <c r="E6" s="175" t="s">
        <v>479</v>
      </c>
      <c r="F6" s="188" t="str">
        <f>IF(COUNTIFS(Master!$AQ$4:$AQ$64,$E6,Master!J$4:J$64,"*")=0,"",IF(COUNTIFS(Master!$AQ$4:$AQ$64,$E6,Master!J$4:J$64,"*I*")&gt;0,"I","")&amp;IF(COUNTIFS(Master!$AQ$4:$AQ$64,$E6,Master!J$4:J$64,"*D*")&gt;0,"D","")&amp;IF(COUNTIFS(Master!$AQ$4:$AQ$64,$E6,Master!J$4:J$64,"*A*")&gt;0,"A","")&amp;" - "&amp;COUNTIFS(Master!$AQ$4:$AQ$64,$E6,Master!J$4:J$64,"*"))</f>
        <v/>
      </c>
      <c r="G6" s="188" t="str">
        <f>IF(COUNTIFS(Master!$AQ$4:$AQ$64,$E6,Master!K$4:K$64,"*")=0,"",IF(COUNTIFS(Master!$AQ$4:$AQ$64,$E6,Master!K$4:K$64,"*I*")&gt;0,"I","")&amp;IF(COUNTIFS(Master!$AQ$4:$AQ$64,$E6,Master!K$4:K$64,"*D*")&gt;0,"D","")&amp;IF(COUNTIFS(Master!$AQ$4:$AQ$64,$E6,Master!K$4:K$64,"*A*")&gt;0,"A","")&amp;" - "&amp;COUNTIFS(Master!$AQ$4:$AQ$64,$E6,Master!K$4:K$64,"*"))</f>
        <v/>
      </c>
      <c r="H6" s="188" t="str">
        <f>IF(COUNTIFS(Master!$AQ$4:$AQ$64,$E6,Master!L$4:L$64,"*")=0,"",IF(COUNTIFS(Master!$AQ$4:$AQ$64,$E6,Master!L$4:L$64,"*I*")&gt;0,"I","")&amp;IF(COUNTIFS(Master!$AQ$4:$AQ$64,$E6,Master!L$4:L$64,"*D*")&gt;0,"D","")&amp;IF(COUNTIFS(Master!$AQ$4:$AQ$64,$E6,Master!L$4:L$64,"*A*")&gt;0,"A","")&amp;" - "&amp;COUNTIFS(Master!$AQ$4:$AQ$64,$E6,Master!L$4:L$64,"*"))</f>
        <v/>
      </c>
      <c r="I6" s="188" t="str">
        <f>IF(COUNTIFS(Master!$AQ$4:$AQ$64,$E6,Master!M$4:M$64,"*")=0,"",IF(COUNTIFS(Master!$AQ$4:$AQ$64,$E6,Master!M$4:M$64,"*I*")&gt;0,"I","")&amp;IF(COUNTIFS(Master!$AQ$4:$AQ$64,$E6,Master!M$4:M$64,"*D*")&gt;0,"D","")&amp;IF(COUNTIFS(Master!$AQ$4:$AQ$64,$E6,Master!M$4:M$64,"*A*")&gt;0,"A","")&amp;" - "&amp;COUNTIFS(Master!$AQ$4:$AQ$64,$E6,Master!M$4:M$64,"*"))</f>
        <v/>
      </c>
      <c r="J6" s="188" t="str">
        <f>IF(COUNTIFS(Master!$AQ$4:$AQ$64,$E6,Master!N$4:N$64,"*")=0,"",IF(COUNTIFS(Master!$AQ$4:$AQ$64,$E6,Master!N$4:N$64,"*I*")&gt;0,"I","")&amp;IF(COUNTIFS(Master!$AQ$4:$AQ$64,$E6,Master!N$4:N$64,"*D*")&gt;0,"D","")&amp;IF(COUNTIFS(Master!$AQ$4:$AQ$64,$E6,Master!N$4:N$64,"*A*")&gt;0,"A","")&amp;" - "&amp;COUNTIFS(Master!$AQ$4:$AQ$64,$E6,Master!N$4:N$64,"*"))</f>
        <v/>
      </c>
      <c r="K6" s="188" t="str">
        <f>IF(COUNTIFS(Master!$AQ$4:$AQ$64,$E6,Master!O$4:O$64,"*")=0,"",IF(COUNTIFS(Master!$AQ$4:$AQ$64,$E6,Master!O$4:O$64,"*I*")&gt;0,"I","")&amp;IF(COUNTIFS(Master!$AQ$4:$AQ$64,$E6,Master!O$4:O$64,"*D*")&gt;0,"D","")&amp;IF(COUNTIFS(Master!$AQ$4:$AQ$64,$E6,Master!O$4:O$64,"*A*")&gt;0,"A","")&amp;" - "&amp;COUNTIFS(Master!$AQ$4:$AQ$64,$E6,Master!O$4:O$64,"*"))</f>
        <v/>
      </c>
      <c r="L6" s="188" t="str">
        <f>IF(COUNTIFS(Master!$AQ$4:$AQ$64,$E6,Master!P$4:P$64,"*")=0,"",IF(COUNTIFS(Master!$AQ$4:$AQ$64,$E6,Master!P$4:P$64,"*I*")&gt;0,"I","")&amp;IF(COUNTIFS(Master!$AQ$4:$AQ$64,$E6,Master!P$4:P$64,"*D*")&gt;0,"D","")&amp;IF(COUNTIFS(Master!$AQ$4:$AQ$64,$E6,Master!P$4:P$64,"*A*")&gt;0,"A","")&amp;" - "&amp;COUNTIFS(Master!$AQ$4:$AQ$64,$E6,Master!P$4:P$64,"*"))</f>
        <v/>
      </c>
      <c r="M6" s="188" t="str">
        <f>IF(COUNTIFS(Master!$AQ$4:$AQ$64,$E6,Master!Q$4:Q$64,"*")=0,"",IF(COUNTIFS(Master!$AQ$4:$AQ$64,$E6,Master!Q$4:Q$64,"*I*")&gt;0,"I","")&amp;IF(COUNTIFS(Master!$AQ$4:$AQ$64,$E6,Master!Q$4:Q$64,"*D*")&gt;0,"D","")&amp;IF(COUNTIFS(Master!$AQ$4:$AQ$64,$E6,Master!Q$4:Q$64,"*A*")&gt;0,"A","")&amp;" - "&amp;COUNTIFS(Master!$AQ$4:$AQ$64,$E6,Master!Q$4:Q$64,"*"))</f>
        <v/>
      </c>
      <c r="N6" s="188" t="str">
        <f>IF(COUNTIFS(Master!$AQ$4:$AQ$64,$E6,Master!R$4:R$64,"*")=0,"",IF(COUNTIFS(Master!$AQ$4:$AQ$64,$E6,Master!R$4:R$64,"*I*")&gt;0,"I","")&amp;IF(COUNTIFS(Master!$AQ$4:$AQ$64,$E6,Master!R$4:R$64,"*D*")&gt;0,"D","")&amp;IF(COUNTIFS(Master!$AQ$4:$AQ$64,$E6,Master!R$4:R$64,"*A*")&gt;0,"A","")&amp;" - "&amp;COUNTIFS(Master!$AQ$4:$AQ$64,$E6,Master!R$4:R$64,"*"))</f>
        <v/>
      </c>
      <c r="O6" s="188" t="str">
        <f>IF(COUNTIFS(Master!$AQ$4:$AQ$64,$E6,Master!S$4:S$64,"*")=0,"",IF(COUNTIFS(Master!$AQ$4:$AQ$64,$E6,Master!S$4:S$64,"*I*")&gt;0,"I","")&amp;IF(COUNTIFS(Master!$AQ$4:$AQ$64,$E6,Master!S$4:S$64,"*D*")&gt;0,"D","")&amp;IF(COUNTIFS(Master!$AQ$4:$AQ$64,$E6,Master!S$4:S$64,"*A*")&gt;0,"A","")&amp;" - "&amp;COUNTIFS(Master!$AQ$4:$AQ$64,$E6,Master!S$4:S$64,"*"))</f>
        <v/>
      </c>
      <c r="P6" s="188" t="str">
        <f>IF(COUNTIFS(Master!$AQ$4:$AQ$64,$E6,Master!T$4:T$64,"*")=0,"",IF(COUNTIFS(Master!$AQ$4:$AQ$64,$E6,Master!T$4:T$64,"*I*")&gt;0,"I","")&amp;IF(COUNTIFS(Master!$AQ$4:$AQ$64,$E6,Master!T$4:T$64,"*D*")&gt;0,"D","")&amp;IF(COUNTIFS(Master!$AQ$4:$AQ$64,$E6,Master!T$4:T$64,"*A*")&gt;0,"A","")&amp;" - "&amp;COUNTIFS(Master!$AQ$4:$AQ$64,$E6,Master!T$4:T$64,"*"))</f>
        <v/>
      </c>
      <c r="Q6" s="188" t="str">
        <f>IF(COUNTIFS(Master!$AQ$4:$AQ$64,$E6,Master!U$4:U$64,"*")=0,"",IF(COUNTIFS(Master!$AQ$4:$AQ$64,$E6,Master!U$4:U$64,"*I*")&gt;0,"I","")&amp;IF(COUNTIFS(Master!$AQ$4:$AQ$64,$E6,Master!U$4:U$64,"*D*")&gt;0,"D","")&amp;IF(COUNTIFS(Master!$AQ$4:$AQ$64,$E6,Master!U$4:U$64,"*A*")&gt;0,"A","")&amp;" - "&amp;COUNTIFS(Master!$AQ$4:$AQ$64,$E6,Master!U$4:U$64,"*"))</f>
        <v/>
      </c>
      <c r="R6" s="188" t="str">
        <f>IF(COUNTIFS(Master!$AQ$4:$AQ$64,$E6,Master!V$4:V$64,"*")=0,"",IF(COUNTIFS(Master!$AQ$4:$AQ$64,$E6,Master!V$4:V$64,"*I*")&gt;0,"I","")&amp;IF(COUNTIFS(Master!$AQ$4:$AQ$64,$E6,Master!V$4:V$64,"*D*")&gt;0,"D","")&amp;IF(COUNTIFS(Master!$AQ$4:$AQ$64,$E6,Master!V$4:V$64,"*A*")&gt;0,"A","")&amp;" - "&amp;COUNTIFS(Master!$AQ$4:$AQ$64,$E6,Master!V$4:V$64,"*"))</f>
        <v/>
      </c>
      <c r="S6" s="188" t="str">
        <f>IF(COUNTIFS(Master!$AQ$4:$AQ$64,$E6,Master!W$4:W$64,"*")=0,"",IF(COUNTIFS(Master!$AQ$4:$AQ$64,$E6,Master!W$4:W$64,"*I*")&gt;0,"I","")&amp;IF(COUNTIFS(Master!$AQ$4:$AQ$64,$E6,Master!W$4:W$64,"*D*")&gt;0,"D","")&amp;IF(COUNTIFS(Master!$AQ$4:$AQ$64,$E6,Master!W$4:W$64,"*A*")&gt;0,"A","")&amp;" - "&amp;COUNTIFS(Master!$AQ$4:$AQ$64,$E6,Master!W$4:W$64,"*"))</f>
        <v/>
      </c>
      <c r="T6" s="188" t="str">
        <f>IF(COUNTIFS(Master!$AQ$4:$AQ$64,$E6,Master!X$4:X$64,"*")=0,"",IF(COUNTIFS(Master!$AQ$4:$AQ$64,$E6,Master!X$4:X$64,"*I*")&gt;0,"I","")&amp;IF(COUNTIFS(Master!$AQ$4:$AQ$64,$E6,Master!X$4:X$64,"*D*")&gt;0,"D","")&amp;IF(COUNTIFS(Master!$AQ$4:$AQ$64,$E6,Master!X$4:X$64,"*A*")&gt;0,"A","")&amp;" - "&amp;COUNTIFS(Master!$AQ$4:$AQ$64,$E6,Master!X$4:X$64,"*"))</f>
        <v/>
      </c>
      <c r="U6" s="188" t="str">
        <f>IF(COUNTIFS(Master!$AQ$4:$AQ$64,$E6,Master!Y$4:Y$64,"*")=0,"",IF(COUNTIFS(Master!$AQ$4:$AQ$64,$E6,Master!Y$4:Y$64,"*I*")&gt;0,"I","")&amp;IF(COUNTIFS(Master!$AQ$4:$AQ$64,$E6,Master!Y$4:Y$64,"*D*")&gt;0,"D","")&amp;IF(COUNTIFS(Master!$AQ$4:$AQ$64,$E6,Master!Y$4:Y$64,"*A*")&gt;0,"A","")&amp;" - "&amp;COUNTIFS(Master!$AQ$4:$AQ$64,$E6,Master!Y$4:Y$64,"*"))</f>
        <v/>
      </c>
      <c r="V6" s="188" t="str">
        <f>IF(COUNTIFS(Master!$AQ$4:$AQ$64,$E6,Master!Z$4:Z$64,"*")=0,"",IF(COUNTIFS(Master!$AQ$4:$AQ$64,$E6,Master!Z$4:Z$64,"*I*")&gt;0,"I","")&amp;IF(COUNTIFS(Master!$AQ$4:$AQ$64,$E6,Master!Z$4:Z$64,"*D*")&gt;0,"D","")&amp;IF(COUNTIFS(Master!$AQ$4:$AQ$64,$E6,Master!Z$4:Z$64,"*A*")&gt;0,"A","")&amp;" - "&amp;COUNTIFS(Master!$AQ$4:$AQ$64,$E6,Master!Z$4:Z$64,"*"))</f>
        <v/>
      </c>
      <c r="W6" s="188" t="str">
        <f>IF(COUNTIFS(Master!$AQ$4:$AQ$64,$E6,Master!AA$4:AA$64,"*")=0,"",IF(COUNTIFS(Master!$AQ$4:$AQ$64,$E6,Master!AA$4:AA$64,"*I*")&gt;0,"I","")&amp;IF(COUNTIFS(Master!$AQ$4:$AQ$64,$E6,Master!AA$4:AA$64,"*D*")&gt;0,"D","")&amp;IF(COUNTIFS(Master!$AQ$4:$AQ$64,$E6,Master!AA$4:AA$64,"*A*")&gt;0,"A","")&amp;" - "&amp;COUNTIFS(Master!$AQ$4:$AQ$64,$E6,Master!AA$4:AA$64,"*"))</f>
        <v/>
      </c>
      <c r="X6" s="188" t="str">
        <f>IF(COUNTIFS(Master!$AQ$4:$AQ$64,$E6,Master!AB$4:AB$64,"*")=0,"",IF(COUNTIFS(Master!$AQ$4:$AQ$64,$E6,Master!AB$4:AB$64,"*I*")&gt;0,"I","")&amp;IF(COUNTIFS(Master!$AQ$4:$AQ$64,$E6,Master!AB$4:AB$64,"*D*")&gt;0,"D","")&amp;IF(COUNTIFS(Master!$AQ$4:$AQ$64,$E6,Master!AB$4:AB$64,"*A*")&gt;0,"A","")&amp;" - "&amp;COUNTIFS(Master!$AQ$4:$AQ$64,$E6,Master!AB$4:AB$64,"*"))</f>
        <v/>
      </c>
      <c r="Y6" s="188" t="str">
        <f>IF(COUNTIFS(Master!$AQ$4:$AQ$64,$E6,Master!AC$4:AC$64,"*")=0,"",IF(COUNTIFS(Master!$AQ$4:$AQ$64,$E6,Master!AC$4:AC$64,"*I*")&gt;0,"I","")&amp;IF(COUNTIFS(Master!$AQ$4:$AQ$64,$E6,Master!AC$4:AC$64,"*D*")&gt;0,"D","")&amp;IF(COUNTIFS(Master!$AQ$4:$AQ$64,$E6,Master!AC$4:AC$64,"*A*")&gt;0,"A","")&amp;" - "&amp;COUNTIFS(Master!$AQ$4:$AQ$64,$E6,Master!AC$4:AC$64,"*"))</f>
        <v/>
      </c>
      <c r="Z6" s="188" t="str">
        <f>IF(COUNTIFS(Master!$AQ$4:$AQ$64,$E6,Master!AD$4:AD$64,"*")=0,"",IF(COUNTIFS(Master!$AQ$4:$AQ$64,$E6,Master!AD$4:AD$64,"*I*")&gt;0,"I","")&amp;IF(COUNTIFS(Master!$AQ$4:$AQ$64,$E6,Master!AD$4:AD$64,"*D*")&gt;0,"D","")&amp;IF(COUNTIFS(Master!$AQ$4:$AQ$64,$E6,Master!AD$4:AD$64,"*A*")&gt;0,"A","")&amp;" - "&amp;COUNTIFS(Master!$AQ$4:$AQ$64,$E6,Master!AD$4:AD$64,"*"))</f>
        <v/>
      </c>
      <c r="AA6" s="188" t="str">
        <f>IF(COUNTIFS(Master!$AQ$4:$AQ$64,$E6,Master!AE$4:AE$64,"*")=0,"",IF(COUNTIFS(Master!$AQ$4:$AQ$64,$E6,Master!AE$4:AE$64,"*I*")&gt;0,"I","")&amp;IF(COUNTIFS(Master!$AQ$4:$AQ$64,$E6,Master!AE$4:AE$64,"*D*")&gt;0,"D","")&amp;IF(COUNTIFS(Master!$AQ$4:$AQ$64,$E6,Master!AE$4:AE$64,"*A*")&gt;0,"A","")&amp;" - "&amp;COUNTIFS(Master!$AQ$4:$AQ$64,$E6,Master!AE$4:AE$64,"*"))</f>
        <v/>
      </c>
      <c r="AB6" s="188" t="str">
        <f>IF(COUNTIFS(Master!$AQ$4:$AQ$64,$E6,Master!AF$4:AF$64,"*")=0,"",IF(COUNTIFS(Master!$AQ$4:$AQ$64,$E6,Master!AF$4:AF$64,"*I*")&gt;0,"I","")&amp;IF(COUNTIFS(Master!$AQ$4:$AQ$64,$E6,Master!AF$4:AF$64,"*D*")&gt;0,"D","")&amp;IF(COUNTIFS(Master!$AQ$4:$AQ$64,$E6,Master!AF$4:AF$64,"*A*")&gt;0,"A","")&amp;" - "&amp;COUNTIFS(Master!$AQ$4:$AQ$64,$E6,Master!AF$4:AF$64,"*"))</f>
        <v/>
      </c>
      <c r="AC6" s="188" t="str">
        <f>IF(COUNTIFS(Master!$AQ$4:$AQ$64,$E6,Master!AG$4:AG$64,"*")=0,"",IF(COUNTIFS(Master!$AQ$4:$AQ$64,$E6,Master!AG$4:AG$64,"*I*")&gt;0,"I","")&amp;IF(COUNTIFS(Master!$AQ$4:$AQ$64,$E6,Master!AG$4:AG$64,"*D*")&gt;0,"D","")&amp;IF(COUNTIFS(Master!$AQ$4:$AQ$64,$E6,Master!AG$4:AG$64,"*A*")&gt;0,"A","")&amp;" - "&amp;COUNTIFS(Master!$AQ$4:$AQ$64,$E6,Master!AG$4:AG$64,"*"))</f>
        <v/>
      </c>
      <c r="AD6" s="188" t="str">
        <f>IF(COUNTIFS(Master!$AQ$4:$AQ$64,$E6,Master!AH$4:AH$64,"*")=0,"",IF(COUNTIFS(Master!$AQ$4:$AQ$64,$E6,Master!AH$4:AH$64,"*I*")&gt;0,"I","")&amp;IF(COUNTIFS(Master!$AQ$4:$AQ$64,$E6,Master!AH$4:AH$64,"*D*")&gt;0,"D","")&amp;IF(COUNTIFS(Master!$AQ$4:$AQ$64,$E6,Master!AH$4:AH$64,"*A*")&gt;0,"A","")&amp;" - "&amp;COUNTIFS(Master!$AQ$4:$AQ$64,$E6,Master!AH$4:AH$64,"*"))</f>
        <v/>
      </c>
      <c r="AE6" s="188" t="str">
        <f>IF(COUNTIFS(Master!$AQ$4:$AQ$64,$E6,Master!AI$4:AI$64,"*")=0,"",IF(COUNTIFS(Master!$AQ$4:$AQ$64,$E6,Master!AI$4:AI$64,"*I*")&gt;0,"I","")&amp;IF(COUNTIFS(Master!$AQ$4:$AQ$64,$E6,Master!AI$4:AI$64,"*D*")&gt;0,"D","")&amp;IF(COUNTIFS(Master!$AQ$4:$AQ$64,$E6,Master!AI$4:AI$64,"*A*")&gt;0,"A","")&amp;" - "&amp;COUNTIFS(Master!$AQ$4:$AQ$64,$E6,Master!AI$4:AI$64,"*"))</f>
        <v/>
      </c>
      <c r="AF6" s="188" t="str">
        <f>IF(COUNTIFS(Master!$AQ$4:$AQ$64,$E6,Master!AJ$4:AJ$64,"*")=0,"",IF(COUNTIFS(Master!$AQ$4:$AQ$64,$E6,Master!AJ$4:AJ$64,"*I*")&gt;0,"I","")&amp;IF(COUNTIFS(Master!$AQ$4:$AQ$64,$E6,Master!AJ$4:AJ$64,"*D*")&gt;0,"D","")&amp;IF(COUNTIFS(Master!$AQ$4:$AQ$64,$E6,Master!AJ$4:AJ$64,"*A*")&gt;0,"A","")&amp;" - "&amp;COUNTIFS(Master!$AQ$4:$AQ$64,$E6,Master!AJ$4:AJ$64,"*"))</f>
        <v/>
      </c>
      <c r="AG6" s="188" t="str">
        <f>IF(COUNTIFS(Master!$AQ$4:$AQ$64,$E6,Master!AK$4:AK$64,"*")=0,"",IF(COUNTIFS(Master!$AQ$4:$AQ$64,$E6,Master!AK$4:AK$64,"*I*")&gt;0,"I","")&amp;IF(COUNTIFS(Master!$AQ$4:$AQ$64,$E6,Master!AK$4:AK$64,"*D*")&gt;0,"D","")&amp;IF(COUNTIFS(Master!$AQ$4:$AQ$64,$E6,Master!AK$4:AK$64,"*A*")&gt;0,"A","")&amp;" - "&amp;COUNTIFS(Master!$AQ$4:$AQ$64,$E6,Master!AK$4:AK$64,"*"))</f>
        <v/>
      </c>
      <c r="AH6" s="188" t="str">
        <f>IF(COUNTIFS(Master!$AQ$4:$AQ$64,$E6,Master!AL$4:AL$64,"*")=0,"",IF(COUNTIFS(Master!$AQ$4:$AQ$64,$E6,Master!AL$4:AL$64,"*I*")&gt;0,"I","")&amp;IF(COUNTIFS(Master!$AQ$4:$AQ$64,$E6,Master!AL$4:AL$64,"*D*")&gt;0,"D","")&amp;IF(COUNTIFS(Master!$AQ$4:$AQ$64,$E6,Master!AL$4:AL$64,"*A*")&gt;0,"A","")&amp;" - "&amp;COUNTIFS(Master!$AQ$4:$AQ$64,$E6,Master!AL$4:AL$64,"*"))</f>
        <v/>
      </c>
      <c r="AI6" s="188" t="str">
        <f>IF(COUNTIFS(Master!$AQ$4:$AQ$64,$E6,Master!AM$4:AM$64,"*")=0,"",IF(COUNTIFS(Master!$AQ$4:$AQ$64,$E6,Master!AM$4:AM$64,"*I*")&gt;0,"I","")&amp;IF(COUNTIFS(Master!$AQ$4:$AQ$64,$E6,Master!AM$4:AM$64,"*D*")&gt;0,"D","")&amp;IF(COUNTIFS(Master!$AQ$4:$AQ$64,$E6,Master!AM$4:AM$64,"*A*")&gt;0,"A","")&amp;" - "&amp;COUNTIFS(Master!$AQ$4:$AQ$64,$E6,Master!AM$4:AM$64,"*"))</f>
        <v/>
      </c>
      <c r="AJ6" s="188" t="str">
        <f>IF(COUNTIFS(Master!$AQ$4:$AQ$64,$E6,Master!AN$4:AN$64,"*")=0,"",IF(COUNTIFS(Master!$AQ$4:$AQ$64,$E6,Master!AN$4:AN$64,"*I*")&gt;0,"I","")&amp;IF(COUNTIFS(Master!$AQ$4:$AQ$64,$E6,Master!AN$4:AN$64,"*D*")&gt;0,"D","")&amp;IF(COUNTIFS(Master!$AQ$4:$AQ$64,$E6,Master!AN$4:AN$64,"*A*")&gt;0,"A","")&amp;" - "&amp;COUNTIFS(Master!$AQ$4:$AQ$64,$E6,Master!AN$4:AN$64,"*"))</f>
        <v/>
      </c>
      <c r="AK6" s="189" t="str">
        <f>IF(COUNTIFS(Master!$AQ$4:$AQ$64,$E6,Master!AO$4:AO$64,"*")=0,"",IF(COUNTIFS(Master!$AQ$4:$AQ$64,$E6,Master!AO$4:AO$64,"*I*")&gt;0,"I","")&amp;IF(COUNTIFS(Master!$AQ$4:$AQ$64,$E6,Master!AO$4:AO$64,"*D*")&gt;0,"D","")&amp;IF(COUNTIFS(Master!$AQ$4:$AQ$64,$E6,Master!AO$4:AO$64,"*A*")&gt;0,"A","")&amp;" - "&amp;COUNTIFS(Master!$AQ$4:$AQ$64,$E6,Master!AO$4:AO$64,"*"))</f>
        <v/>
      </c>
      <c r="AO6" s="3" t="s">
        <v>735</v>
      </c>
      <c r="AP6" s="3" t="s">
        <v>736</v>
      </c>
      <c r="AR6" s="37" t="s">
        <v>584</v>
      </c>
      <c r="AS6" s="37" t="s">
        <v>585</v>
      </c>
      <c r="AT6" s="38" t="s">
        <v>32</v>
      </c>
      <c r="AU6" s="38" t="s">
        <v>68</v>
      </c>
      <c r="AV6" s="37" t="s">
        <v>28</v>
      </c>
    </row>
    <row r="7" spans="1:48" x14ac:dyDescent="0.2">
      <c r="A7" s="165" t="s">
        <v>509</v>
      </c>
      <c r="B7" s="166">
        <f>SUMIF(Master!$AR$4:$AR$64,A7,Master!$AT$4:$AT$64)</f>
        <v>0</v>
      </c>
      <c r="C7" s="167" t="str">
        <f>IF(COUNTIFS(Master!$AR$4:$AR$64,A7,Master!$AS$4:$AS$64,"*I*")&gt;0,"I","")&amp;IF(COUNTIFS(Master!$AR$4:$AR$64,A7,Master!$AS$4:$AS$64,"*D*")&gt;0,"D","")&amp;IF(COUNTIFS(Master!$AR$4:$AR$64,A7,Master!$AS$4:$AS$64,"*A*")&gt;0,"A","")</f>
        <v/>
      </c>
      <c r="E7" s="175" t="s">
        <v>480</v>
      </c>
      <c r="F7" s="188" t="str">
        <f>IF(COUNTIFS(Master!$AQ$4:$AQ$64,$E7,Master!J$4:J$64,"*")=0,"",IF(COUNTIFS(Master!$AQ$4:$AQ$64,$E7,Master!J$4:J$64,"*I*")&gt;0,"I","")&amp;IF(COUNTIFS(Master!$AQ$4:$AQ$64,$E7,Master!J$4:J$64,"*D*")&gt;0,"D","")&amp;IF(COUNTIFS(Master!$AQ$4:$AQ$64,$E7,Master!J$4:J$64,"*A*")&gt;0,"A","")&amp;" - "&amp;COUNTIFS(Master!$AQ$4:$AQ$64,$E7,Master!J$4:J$64,"*"))</f>
        <v/>
      </c>
      <c r="G7" s="188" t="str">
        <f>IF(COUNTIFS(Master!$AQ$4:$AQ$64,$E7,Master!K$4:K$64,"*")=0,"",IF(COUNTIFS(Master!$AQ$4:$AQ$64,$E7,Master!K$4:K$64,"*I*")&gt;0,"I","")&amp;IF(COUNTIFS(Master!$AQ$4:$AQ$64,$E7,Master!K$4:K$64,"*D*")&gt;0,"D","")&amp;IF(COUNTIFS(Master!$AQ$4:$AQ$64,$E7,Master!K$4:K$64,"*A*")&gt;0,"A","")&amp;" - "&amp;COUNTIFS(Master!$AQ$4:$AQ$64,$E7,Master!K$4:K$64,"*"))</f>
        <v/>
      </c>
      <c r="H7" s="188" t="str">
        <f>IF(COUNTIFS(Master!$AQ$4:$AQ$64,$E7,Master!L$4:L$64,"*")=0,"",IF(COUNTIFS(Master!$AQ$4:$AQ$64,$E7,Master!L$4:L$64,"*I*")&gt;0,"I","")&amp;IF(COUNTIFS(Master!$AQ$4:$AQ$64,$E7,Master!L$4:L$64,"*D*")&gt;0,"D","")&amp;IF(COUNTIFS(Master!$AQ$4:$AQ$64,$E7,Master!L$4:L$64,"*A*")&gt;0,"A","")&amp;" - "&amp;COUNTIFS(Master!$AQ$4:$AQ$64,$E7,Master!L$4:L$64,"*"))</f>
        <v/>
      </c>
      <c r="I7" s="188" t="str">
        <f>IF(COUNTIFS(Master!$AQ$4:$AQ$64,$E7,Master!M$4:M$64,"*")=0,"",IF(COUNTIFS(Master!$AQ$4:$AQ$64,$E7,Master!M$4:M$64,"*I*")&gt;0,"I","")&amp;IF(COUNTIFS(Master!$AQ$4:$AQ$64,$E7,Master!M$4:M$64,"*D*")&gt;0,"D","")&amp;IF(COUNTIFS(Master!$AQ$4:$AQ$64,$E7,Master!M$4:M$64,"*A*")&gt;0,"A","")&amp;" - "&amp;COUNTIFS(Master!$AQ$4:$AQ$64,$E7,Master!M$4:M$64,"*"))</f>
        <v/>
      </c>
      <c r="J7" s="188" t="str">
        <f>IF(COUNTIFS(Master!$AQ$4:$AQ$64,$E7,Master!N$4:N$64,"*")=0,"",IF(COUNTIFS(Master!$AQ$4:$AQ$64,$E7,Master!N$4:N$64,"*I*")&gt;0,"I","")&amp;IF(COUNTIFS(Master!$AQ$4:$AQ$64,$E7,Master!N$4:N$64,"*D*")&gt;0,"D","")&amp;IF(COUNTIFS(Master!$AQ$4:$AQ$64,$E7,Master!N$4:N$64,"*A*")&gt;0,"A","")&amp;" - "&amp;COUNTIFS(Master!$AQ$4:$AQ$64,$E7,Master!N$4:N$64,"*"))</f>
        <v/>
      </c>
      <c r="K7" s="188" t="str">
        <f>IF(COUNTIFS(Master!$AQ$4:$AQ$64,$E7,Master!O$4:O$64,"*")=0,"",IF(COUNTIFS(Master!$AQ$4:$AQ$64,$E7,Master!O$4:O$64,"*I*")&gt;0,"I","")&amp;IF(COUNTIFS(Master!$AQ$4:$AQ$64,$E7,Master!O$4:O$64,"*D*")&gt;0,"D","")&amp;IF(COUNTIFS(Master!$AQ$4:$AQ$64,$E7,Master!O$4:O$64,"*A*")&gt;0,"A","")&amp;" - "&amp;COUNTIFS(Master!$AQ$4:$AQ$64,$E7,Master!O$4:O$64,"*"))</f>
        <v/>
      </c>
      <c r="L7" s="188" t="str">
        <f>IF(COUNTIFS(Master!$AQ$4:$AQ$64,$E7,Master!P$4:P$64,"*")=0,"",IF(COUNTIFS(Master!$AQ$4:$AQ$64,$E7,Master!P$4:P$64,"*I*")&gt;0,"I","")&amp;IF(COUNTIFS(Master!$AQ$4:$AQ$64,$E7,Master!P$4:P$64,"*D*")&gt;0,"D","")&amp;IF(COUNTIFS(Master!$AQ$4:$AQ$64,$E7,Master!P$4:P$64,"*A*")&gt;0,"A","")&amp;" - "&amp;COUNTIFS(Master!$AQ$4:$AQ$64,$E7,Master!P$4:P$64,"*"))</f>
        <v/>
      </c>
      <c r="M7" s="188" t="str">
        <f>IF(COUNTIFS(Master!$AQ$4:$AQ$64,$E7,Master!Q$4:Q$64,"*")=0,"",IF(COUNTIFS(Master!$AQ$4:$AQ$64,$E7,Master!Q$4:Q$64,"*I*")&gt;0,"I","")&amp;IF(COUNTIFS(Master!$AQ$4:$AQ$64,$E7,Master!Q$4:Q$64,"*D*")&gt;0,"D","")&amp;IF(COUNTIFS(Master!$AQ$4:$AQ$64,$E7,Master!Q$4:Q$64,"*A*")&gt;0,"A","")&amp;" - "&amp;COUNTIFS(Master!$AQ$4:$AQ$64,$E7,Master!Q$4:Q$64,"*"))</f>
        <v/>
      </c>
      <c r="N7" s="188" t="str">
        <f>IF(COUNTIFS(Master!$AQ$4:$AQ$64,$E7,Master!R$4:R$64,"*")=0,"",IF(COUNTIFS(Master!$AQ$4:$AQ$64,$E7,Master!R$4:R$64,"*I*")&gt;0,"I","")&amp;IF(COUNTIFS(Master!$AQ$4:$AQ$64,$E7,Master!R$4:R$64,"*D*")&gt;0,"D","")&amp;IF(COUNTIFS(Master!$AQ$4:$AQ$64,$E7,Master!R$4:R$64,"*A*")&gt;0,"A","")&amp;" - "&amp;COUNTIFS(Master!$AQ$4:$AQ$64,$E7,Master!R$4:R$64,"*"))</f>
        <v/>
      </c>
      <c r="O7" s="188" t="str">
        <f>IF(COUNTIFS(Master!$AQ$4:$AQ$64,$E7,Master!S$4:S$64,"*")=0,"",IF(COUNTIFS(Master!$AQ$4:$AQ$64,$E7,Master!S$4:S$64,"*I*")&gt;0,"I","")&amp;IF(COUNTIFS(Master!$AQ$4:$AQ$64,$E7,Master!S$4:S$64,"*D*")&gt;0,"D","")&amp;IF(COUNTIFS(Master!$AQ$4:$AQ$64,$E7,Master!S$4:S$64,"*A*")&gt;0,"A","")&amp;" - "&amp;COUNTIFS(Master!$AQ$4:$AQ$64,$E7,Master!S$4:S$64,"*"))</f>
        <v/>
      </c>
      <c r="P7" s="188" t="str">
        <f>IF(COUNTIFS(Master!$AQ$4:$AQ$64,$E7,Master!T$4:T$64,"*")=0,"",IF(COUNTIFS(Master!$AQ$4:$AQ$64,$E7,Master!T$4:T$64,"*I*")&gt;0,"I","")&amp;IF(COUNTIFS(Master!$AQ$4:$AQ$64,$E7,Master!T$4:T$64,"*D*")&gt;0,"D","")&amp;IF(COUNTIFS(Master!$AQ$4:$AQ$64,$E7,Master!T$4:T$64,"*A*")&gt;0,"A","")&amp;" - "&amp;COUNTIFS(Master!$AQ$4:$AQ$64,$E7,Master!T$4:T$64,"*"))</f>
        <v/>
      </c>
      <c r="Q7" s="188" t="str">
        <f>IF(COUNTIFS(Master!$AQ$4:$AQ$64,$E7,Master!U$4:U$64,"*")=0,"",IF(COUNTIFS(Master!$AQ$4:$AQ$64,$E7,Master!U$4:U$64,"*I*")&gt;0,"I","")&amp;IF(COUNTIFS(Master!$AQ$4:$AQ$64,$E7,Master!U$4:U$64,"*D*")&gt;0,"D","")&amp;IF(COUNTIFS(Master!$AQ$4:$AQ$64,$E7,Master!U$4:U$64,"*A*")&gt;0,"A","")&amp;" - "&amp;COUNTIFS(Master!$AQ$4:$AQ$64,$E7,Master!U$4:U$64,"*"))</f>
        <v/>
      </c>
      <c r="R7" s="188" t="str">
        <f>IF(COUNTIFS(Master!$AQ$4:$AQ$64,$E7,Master!V$4:V$64,"*")=0,"",IF(COUNTIFS(Master!$AQ$4:$AQ$64,$E7,Master!V$4:V$64,"*I*")&gt;0,"I","")&amp;IF(COUNTIFS(Master!$AQ$4:$AQ$64,$E7,Master!V$4:V$64,"*D*")&gt;0,"D","")&amp;IF(COUNTIFS(Master!$AQ$4:$AQ$64,$E7,Master!V$4:V$64,"*A*")&gt;0,"A","")&amp;" - "&amp;COUNTIFS(Master!$AQ$4:$AQ$64,$E7,Master!V$4:V$64,"*"))</f>
        <v/>
      </c>
      <c r="S7" s="188" t="str">
        <f>IF(COUNTIFS(Master!$AQ$4:$AQ$64,$E7,Master!W$4:W$64,"*")=0,"",IF(COUNTIFS(Master!$AQ$4:$AQ$64,$E7,Master!W$4:W$64,"*I*")&gt;0,"I","")&amp;IF(COUNTIFS(Master!$AQ$4:$AQ$64,$E7,Master!W$4:W$64,"*D*")&gt;0,"D","")&amp;IF(COUNTIFS(Master!$AQ$4:$AQ$64,$E7,Master!W$4:W$64,"*A*")&gt;0,"A","")&amp;" - "&amp;COUNTIFS(Master!$AQ$4:$AQ$64,$E7,Master!W$4:W$64,"*"))</f>
        <v/>
      </c>
      <c r="T7" s="188" t="str">
        <f>IF(COUNTIFS(Master!$AQ$4:$AQ$64,$E7,Master!X$4:X$64,"*")=0,"",IF(COUNTIFS(Master!$AQ$4:$AQ$64,$E7,Master!X$4:X$64,"*I*")&gt;0,"I","")&amp;IF(COUNTIFS(Master!$AQ$4:$AQ$64,$E7,Master!X$4:X$64,"*D*")&gt;0,"D","")&amp;IF(COUNTIFS(Master!$AQ$4:$AQ$64,$E7,Master!X$4:X$64,"*A*")&gt;0,"A","")&amp;" - "&amp;COUNTIFS(Master!$AQ$4:$AQ$64,$E7,Master!X$4:X$64,"*"))</f>
        <v/>
      </c>
      <c r="U7" s="188" t="str">
        <f>IF(COUNTIFS(Master!$AQ$4:$AQ$64,$E7,Master!Y$4:Y$64,"*")=0,"",IF(COUNTIFS(Master!$AQ$4:$AQ$64,$E7,Master!Y$4:Y$64,"*I*")&gt;0,"I","")&amp;IF(COUNTIFS(Master!$AQ$4:$AQ$64,$E7,Master!Y$4:Y$64,"*D*")&gt;0,"D","")&amp;IF(COUNTIFS(Master!$AQ$4:$AQ$64,$E7,Master!Y$4:Y$64,"*A*")&gt;0,"A","")&amp;" - "&amp;COUNTIFS(Master!$AQ$4:$AQ$64,$E7,Master!Y$4:Y$64,"*"))</f>
        <v/>
      </c>
      <c r="V7" s="188" t="str">
        <f>IF(COUNTIFS(Master!$AQ$4:$AQ$64,$E7,Master!Z$4:Z$64,"*")=0,"",IF(COUNTIFS(Master!$AQ$4:$AQ$64,$E7,Master!Z$4:Z$64,"*I*")&gt;0,"I","")&amp;IF(COUNTIFS(Master!$AQ$4:$AQ$64,$E7,Master!Z$4:Z$64,"*D*")&gt;0,"D","")&amp;IF(COUNTIFS(Master!$AQ$4:$AQ$64,$E7,Master!Z$4:Z$64,"*A*")&gt;0,"A","")&amp;" - "&amp;COUNTIFS(Master!$AQ$4:$AQ$64,$E7,Master!Z$4:Z$64,"*"))</f>
        <v/>
      </c>
      <c r="W7" s="188" t="str">
        <f>IF(COUNTIFS(Master!$AQ$4:$AQ$64,$E7,Master!AA$4:AA$64,"*")=0,"",IF(COUNTIFS(Master!$AQ$4:$AQ$64,$E7,Master!AA$4:AA$64,"*I*")&gt;0,"I","")&amp;IF(COUNTIFS(Master!$AQ$4:$AQ$64,$E7,Master!AA$4:AA$64,"*D*")&gt;0,"D","")&amp;IF(COUNTIFS(Master!$AQ$4:$AQ$64,$E7,Master!AA$4:AA$64,"*A*")&gt;0,"A","")&amp;" - "&amp;COUNTIFS(Master!$AQ$4:$AQ$64,$E7,Master!AA$4:AA$64,"*"))</f>
        <v/>
      </c>
      <c r="X7" s="188" t="str">
        <f>IF(COUNTIFS(Master!$AQ$4:$AQ$64,$E7,Master!AB$4:AB$64,"*")=0,"",IF(COUNTIFS(Master!$AQ$4:$AQ$64,$E7,Master!AB$4:AB$64,"*I*")&gt;0,"I","")&amp;IF(COUNTIFS(Master!$AQ$4:$AQ$64,$E7,Master!AB$4:AB$64,"*D*")&gt;0,"D","")&amp;IF(COUNTIFS(Master!$AQ$4:$AQ$64,$E7,Master!AB$4:AB$64,"*A*")&gt;0,"A","")&amp;" - "&amp;COUNTIFS(Master!$AQ$4:$AQ$64,$E7,Master!AB$4:AB$64,"*"))</f>
        <v/>
      </c>
      <c r="Y7" s="188" t="str">
        <f>IF(COUNTIFS(Master!$AQ$4:$AQ$64,$E7,Master!AC$4:AC$64,"*")=0,"",IF(COUNTIFS(Master!$AQ$4:$AQ$64,$E7,Master!AC$4:AC$64,"*I*")&gt;0,"I","")&amp;IF(COUNTIFS(Master!$AQ$4:$AQ$64,$E7,Master!AC$4:AC$64,"*D*")&gt;0,"D","")&amp;IF(COUNTIFS(Master!$AQ$4:$AQ$64,$E7,Master!AC$4:AC$64,"*A*")&gt;0,"A","")&amp;" - "&amp;COUNTIFS(Master!$AQ$4:$AQ$64,$E7,Master!AC$4:AC$64,"*"))</f>
        <v/>
      </c>
      <c r="Z7" s="188" t="str">
        <f>IF(COUNTIFS(Master!$AQ$4:$AQ$64,$E7,Master!AD$4:AD$64,"*")=0,"",IF(COUNTIFS(Master!$AQ$4:$AQ$64,$E7,Master!AD$4:AD$64,"*I*")&gt;0,"I","")&amp;IF(COUNTIFS(Master!$AQ$4:$AQ$64,$E7,Master!AD$4:AD$64,"*D*")&gt;0,"D","")&amp;IF(COUNTIFS(Master!$AQ$4:$AQ$64,$E7,Master!AD$4:AD$64,"*A*")&gt;0,"A","")&amp;" - "&amp;COUNTIFS(Master!$AQ$4:$AQ$64,$E7,Master!AD$4:AD$64,"*"))</f>
        <v/>
      </c>
      <c r="AA7" s="188" t="str">
        <f>IF(COUNTIFS(Master!$AQ$4:$AQ$64,$E7,Master!AE$4:AE$64,"*")=0,"",IF(COUNTIFS(Master!$AQ$4:$AQ$64,$E7,Master!AE$4:AE$64,"*I*")&gt;0,"I","")&amp;IF(COUNTIFS(Master!$AQ$4:$AQ$64,$E7,Master!AE$4:AE$64,"*D*")&gt;0,"D","")&amp;IF(COUNTIFS(Master!$AQ$4:$AQ$64,$E7,Master!AE$4:AE$64,"*A*")&gt;0,"A","")&amp;" - "&amp;COUNTIFS(Master!$AQ$4:$AQ$64,$E7,Master!AE$4:AE$64,"*"))</f>
        <v/>
      </c>
      <c r="AB7" s="188" t="str">
        <f>IF(COUNTIFS(Master!$AQ$4:$AQ$64,$E7,Master!AF$4:AF$64,"*")=0,"",IF(COUNTIFS(Master!$AQ$4:$AQ$64,$E7,Master!AF$4:AF$64,"*I*")&gt;0,"I","")&amp;IF(COUNTIFS(Master!$AQ$4:$AQ$64,$E7,Master!AF$4:AF$64,"*D*")&gt;0,"D","")&amp;IF(COUNTIFS(Master!$AQ$4:$AQ$64,$E7,Master!AF$4:AF$64,"*A*")&gt;0,"A","")&amp;" - "&amp;COUNTIFS(Master!$AQ$4:$AQ$64,$E7,Master!AF$4:AF$64,"*"))</f>
        <v/>
      </c>
      <c r="AC7" s="188" t="str">
        <f>IF(COUNTIFS(Master!$AQ$4:$AQ$64,$E7,Master!AG$4:AG$64,"*")=0,"",IF(COUNTIFS(Master!$AQ$4:$AQ$64,$E7,Master!AG$4:AG$64,"*I*")&gt;0,"I","")&amp;IF(COUNTIFS(Master!$AQ$4:$AQ$64,$E7,Master!AG$4:AG$64,"*D*")&gt;0,"D","")&amp;IF(COUNTIFS(Master!$AQ$4:$AQ$64,$E7,Master!AG$4:AG$64,"*A*")&gt;0,"A","")&amp;" - "&amp;COUNTIFS(Master!$AQ$4:$AQ$64,$E7,Master!AG$4:AG$64,"*"))</f>
        <v/>
      </c>
      <c r="AD7" s="188" t="str">
        <f>IF(COUNTIFS(Master!$AQ$4:$AQ$64,$E7,Master!AH$4:AH$64,"*")=0,"",IF(COUNTIFS(Master!$AQ$4:$AQ$64,$E7,Master!AH$4:AH$64,"*I*")&gt;0,"I","")&amp;IF(COUNTIFS(Master!$AQ$4:$AQ$64,$E7,Master!AH$4:AH$64,"*D*")&gt;0,"D","")&amp;IF(COUNTIFS(Master!$AQ$4:$AQ$64,$E7,Master!AH$4:AH$64,"*A*")&gt;0,"A","")&amp;" - "&amp;COUNTIFS(Master!$AQ$4:$AQ$64,$E7,Master!AH$4:AH$64,"*"))</f>
        <v/>
      </c>
      <c r="AE7" s="188" t="str">
        <f>IF(COUNTIFS(Master!$AQ$4:$AQ$64,$E7,Master!AI$4:AI$64,"*")=0,"",IF(COUNTIFS(Master!$AQ$4:$AQ$64,$E7,Master!AI$4:AI$64,"*I*")&gt;0,"I","")&amp;IF(COUNTIFS(Master!$AQ$4:$AQ$64,$E7,Master!AI$4:AI$64,"*D*")&gt;0,"D","")&amp;IF(COUNTIFS(Master!$AQ$4:$AQ$64,$E7,Master!AI$4:AI$64,"*A*")&gt;0,"A","")&amp;" - "&amp;COUNTIFS(Master!$AQ$4:$AQ$64,$E7,Master!AI$4:AI$64,"*"))</f>
        <v/>
      </c>
      <c r="AF7" s="188" t="str">
        <f>IF(COUNTIFS(Master!$AQ$4:$AQ$64,$E7,Master!AJ$4:AJ$64,"*")=0,"",IF(COUNTIFS(Master!$AQ$4:$AQ$64,$E7,Master!AJ$4:AJ$64,"*I*")&gt;0,"I","")&amp;IF(COUNTIFS(Master!$AQ$4:$AQ$64,$E7,Master!AJ$4:AJ$64,"*D*")&gt;0,"D","")&amp;IF(COUNTIFS(Master!$AQ$4:$AQ$64,$E7,Master!AJ$4:AJ$64,"*A*")&gt;0,"A","")&amp;" - "&amp;COUNTIFS(Master!$AQ$4:$AQ$64,$E7,Master!AJ$4:AJ$64,"*"))</f>
        <v/>
      </c>
      <c r="AG7" s="188" t="str">
        <f>IF(COUNTIFS(Master!$AQ$4:$AQ$64,$E7,Master!AK$4:AK$64,"*")=0,"",IF(COUNTIFS(Master!$AQ$4:$AQ$64,$E7,Master!AK$4:AK$64,"*I*")&gt;0,"I","")&amp;IF(COUNTIFS(Master!$AQ$4:$AQ$64,$E7,Master!AK$4:AK$64,"*D*")&gt;0,"D","")&amp;IF(COUNTIFS(Master!$AQ$4:$AQ$64,$E7,Master!AK$4:AK$64,"*A*")&gt;0,"A","")&amp;" - "&amp;COUNTIFS(Master!$AQ$4:$AQ$64,$E7,Master!AK$4:AK$64,"*"))</f>
        <v/>
      </c>
      <c r="AH7" s="188" t="str">
        <f>IF(COUNTIFS(Master!$AQ$4:$AQ$64,$E7,Master!AL$4:AL$64,"*")=0,"",IF(COUNTIFS(Master!$AQ$4:$AQ$64,$E7,Master!AL$4:AL$64,"*I*")&gt;0,"I","")&amp;IF(COUNTIFS(Master!$AQ$4:$AQ$64,$E7,Master!AL$4:AL$64,"*D*")&gt;0,"D","")&amp;IF(COUNTIFS(Master!$AQ$4:$AQ$64,$E7,Master!AL$4:AL$64,"*A*")&gt;0,"A","")&amp;" - "&amp;COUNTIFS(Master!$AQ$4:$AQ$64,$E7,Master!AL$4:AL$64,"*"))</f>
        <v/>
      </c>
      <c r="AI7" s="188" t="str">
        <f>IF(COUNTIFS(Master!$AQ$4:$AQ$64,$E7,Master!AM$4:AM$64,"*")=0,"",IF(COUNTIFS(Master!$AQ$4:$AQ$64,$E7,Master!AM$4:AM$64,"*I*")&gt;0,"I","")&amp;IF(COUNTIFS(Master!$AQ$4:$AQ$64,$E7,Master!AM$4:AM$64,"*D*")&gt;0,"D","")&amp;IF(COUNTIFS(Master!$AQ$4:$AQ$64,$E7,Master!AM$4:AM$64,"*A*")&gt;0,"A","")&amp;" - "&amp;COUNTIFS(Master!$AQ$4:$AQ$64,$E7,Master!AM$4:AM$64,"*"))</f>
        <v/>
      </c>
      <c r="AJ7" s="188" t="str">
        <f>IF(COUNTIFS(Master!$AQ$4:$AQ$64,$E7,Master!AN$4:AN$64,"*")=0,"",IF(COUNTIFS(Master!$AQ$4:$AQ$64,$E7,Master!AN$4:AN$64,"*I*")&gt;0,"I","")&amp;IF(COUNTIFS(Master!$AQ$4:$AQ$64,$E7,Master!AN$4:AN$64,"*D*")&gt;0,"D","")&amp;IF(COUNTIFS(Master!$AQ$4:$AQ$64,$E7,Master!AN$4:AN$64,"*A*")&gt;0,"A","")&amp;" - "&amp;COUNTIFS(Master!$AQ$4:$AQ$64,$E7,Master!AN$4:AN$64,"*"))</f>
        <v/>
      </c>
      <c r="AK7" s="189" t="str">
        <f>IF(COUNTIFS(Master!$AQ$4:$AQ$64,$E7,Master!AO$4:AO$64,"*")=0,"",IF(COUNTIFS(Master!$AQ$4:$AQ$64,$E7,Master!AO$4:AO$64,"*I*")&gt;0,"I","")&amp;IF(COUNTIFS(Master!$AQ$4:$AQ$64,$E7,Master!AO$4:AO$64,"*D*")&gt;0,"D","")&amp;IF(COUNTIFS(Master!$AQ$4:$AQ$64,$E7,Master!AO$4:AO$64,"*A*")&gt;0,"A","")&amp;" - "&amp;COUNTIFS(Master!$AQ$4:$AQ$64,$E7,Master!AO$4:AO$64,"*"))</f>
        <v/>
      </c>
      <c r="AM7" s="3" t="s">
        <v>32</v>
      </c>
      <c r="AO7" s="3" t="s">
        <v>737</v>
      </c>
      <c r="AP7" s="3" t="s">
        <v>738</v>
      </c>
      <c r="AR7" s="37" t="s">
        <v>587</v>
      </c>
      <c r="AS7" s="39" t="s">
        <v>588</v>
      </c>
      <c r="AT7" s="39" t="s">
        <v>588</v>
      </c>
      <c r="AU7" s="38" t="s">
        <v>72</v>
      </c>
      <c r="AV7" s="37" t="s">
        <v>26</v>
      </c>
    </row>
    <row r="8" spans="1:48" x14ac:dyDescent="0.2">
      <c r="A8" s="165" t="s">
        <v>510</v>
      </c>
      <c r="B8" s="166">
        <f>SUMIF(Master!$AR$4:$AR$64,A8,Master!$AT$4:$AT$64)</f>
        <v>0</v>
      </c>
      <c r="C8" s="167" t="str">
        <f>IF(COUNTIFS(Master!$AR$4:$AR$64,A8,Master!$AS$4:$AS$64,"*I*")&gt;0,"I","")&amp;IF(COUNTIFS(Master!$AR$4:$AR$64,A8,Master!$AS$4:$AS$64,"*D*")&gt;0,"D","")&amp;IF(COUNTIFS(Master!$AR$4:$AR$64,A8,Master!$AS$4:$AS$64,"*A*")&gt;0,"A","")</f>
        <v/>
      </c>
      <c r="E8" s="175" t="s">
        <v>481</v>
      </c>
      <c r="F8" s="188" t="str">
        <f>IF(COUNTIFS(Master!$AQ$4:$AQ$64,$E8,Master!J$4:J$64,"*")=0,"",IF(COUNTIFS(Master!$AQ$4:$AQ$64,$E8,Master!J$4:J$64,"*I*")&gt;0,"I","")&amp;IF(COUNTIFS(Master!$AQ$4:$AQ$64,$E8,Master!J$4:J$64,"*D*")&gt;0,"D","")&amp;IF(COUNTIFS(Master!$AQ$4:$AQ$64,$E8,Master!J$4:J$64,"*A*")&gt;0,"A","")&amp;" - "&amp;COUNTIFS(Master!$AQ$4:$AQ$64,$E8,Master!J$4:J$64,"*"))</f>
        <v/>
      </c>
      <c r="G8" s="188" t="str">
        <f>IF(COUNTIFS(Master!$AQ$4:$AQ$64,$E8,Master!K$4:K$64,"*")=0,"",IF(COUNTIFS(Master!$AQ$4:$AQ$64,$E8,Master!K$4:K$64,"*I*")&gt;0,"I","")&amp;IF(COUNTIFS(Master!$AQ$4:$AQ$64,$E8,Master!K$4:K$64,"*D*")&gt;0,"D","")&amp;IF(COUNTIFS(Master!$AQ$4:$AQ$64,$E8,Master!K$4:K$64,"*A*")&gt;0,"A","")&amp;" - "&amp;COUNTIFS(Master!$AQ$4:$AQ$64,$E8,Master!K$4:K$64,"*"))</f>
        <v/>
      </c>
      <c r="H8" s="188" t="str">
        <f>IF(COUNTIFS(Master!$AQ$4:$AQ$64,$E8,Master!L$4:L$64,"*")=0,"",IF(COUNTIFS(Master!$AQ$4:$AQ$64,$E8,Master!L$4:L$64,"*I*")&gt;0,"I","")&amp;IF(COUNTIFS(Master!$AQ$4:$AQ$64,$E8,Master!L$4:L$64,"*D*")&gt;0,"D","")&amp;IF(COUNTIFS(Master!$AQ$4:$AQ$64,$E8,Master!L$4:L$64,"*A*")&gt;0,"A","")&amp;" - "&amp;COUNTIFS(Master!$AQ$4:$AQ$64,$E8,Master!L$4:L$64,"*"))</f>
        <v/>
      </c>
      <c r="I8" s="188" t="str">
        <f>IF(COUNTIFS(Master!$AQ$4:$AQ$64,$E8,Master!M$4:M$64,"*")=0,"",IF(COUNTIFS(Master!$AQ$4:$AQ$64,$E8,Master!M$4:M$64,"*I*")&gt;0,"I","")&amp;IF(COUNTIFS(Master!$AQ$4:$AQ$64,$E8,Master!M$4:M$64,"*D*")&gt;0,"D","")&amp;IF(COUNTIFS(Master!$AQ$4:$AQ$64,$E8,Master!M$4:M$64,"*A*")&gt;0,"A","")&amp;" - "&amp;COUNTIFS(Master!$AQ$4:$AQ$64,$E8,Master!M$4:M$64,"*"))</f>
        <v/>
      </c>
      <c r="J8" s="188" t="str">
        <f>IF(COUNTIFS(Master!$AQ$4:$AQ$64,$E8,Master!N$4:N$64,"*")=0,"",IF(COUNTIFS(Master!$AQ$4:$AQ$64,$E8,Master!N$4:N$64,"*I*")&gt;0,"I","")&amp;IF(COUNTIFS(Master!$AQ$4:$AQ$64,$E8,Master!N$4:N$64,"*D*")&gt;0,"D","")&amp;IF(COUNTIFS(Master!$AQ$4:$AQ$64,$E8,Master!N$4:N$64,"*A*")&gt;0,"A","")&amp;" - "&amp;COUNTIFS(Master!$AQ$4:$AQ$64,$E8,Master!N$4:N$64,"*"))</f>
        <v/>
      </c>
      <c r="K8" s="188" t="str">
        <f>IF(COUNTIFS(Master!$AQ$4:$AQ$64,$E8,Master!O$4:O$64,"*")=0,"",IF(COUNTIFS(Master!$AQ$4:$AQ$64,$E8,Master!O$4:O$64,"*I*")&gt;0,"I","")&amp;IF(COUNTIFS(Master!$AQ$4:$AQ$64,$E8,Master!O$4:O$64,"*D*")&gt;0,"D","")&amp;IF(COUNTIFS(Master!$AQ$4:$AQ$64,$E8,Master!O$4:O$64,"*A*")&gt;0,"A","")&amp;" - "&amp;COUNTIFS(Master!$AQ$4:$AQ$64,$E8,Master!O$4:O$64,"*"))</f>
        <v/>
      </c>
      <c r="L8" s="188" t="str">
        <f>IF(COUNTIFS(Master!$AQ$4:$AQ$64,$E8,Master!P$4:P$64,"*")=0,"",IF(COUNTIFS(Master!$AQ$4:$AQ$64,$E8,Master!P$4:P$64,"*I*")&gt;0,"I","")&amp;IF(COUNTIFS(Master!$AQ$4:$AQ$64,$E8,Master!P$4:P$64,"*D*")&gt;0,"D","")&amp;IF(COUNTIFS(Master!$AQ$4:$AQ$64,$E8,Master!P$4:P$64,"*A*")&gt;0,"A","")&amp;" - "&amp;COUNTIFS(Master!$AQ$4:$AQ$64,$E8,Master!P$4:P$64,"*"))</f>
        <v/>
      </c>
      <c r="M8" s="188" t="str">
        <f>IF(COUNTIFS(Master!$AQ$4:$AQ$64,$E8,Master!Q$4:Q$64,"*")=0,"",IF(COUNTIFS(Master!$AQ$4:$AQ$64,$E8,Master!Q$4:Q$64,"*I*")&gt;0,"I","")&amp;IF(COUNTIFS(Master!$AQ$4:$AQ$64,$E8,Master!Q$4:Q$64,"*D*")&gt;0,"D","")&amp;IF(COUNTIFS(Master!$AQ$4:$AQ$64,$E8,Master!Q$4:Q$64,"*A*")&gt;0,"A","")&amp;" - "&amp;COUNTIFS(Master!$AQ$4:$AQ$64,$E8,Master!Q$4:Q$64,"*"))</f>
        <v/>
      </c>
      <c r="N8" s="188" t="str">
        <f>IF(COUNTIFS(Master!$AQ$4:$AQ$64,$E8,Master!R$4:R$64,"*")=0,"",IF(COUNTIFS(Master!$AQ$4:$AQ$64,$E8,Master!R$4:R$64,"*I*")&gt;0,"I","")&amp;IF(COUNTIFS(Master!$AQ$4:$AQ$64,$E8,Master!R$4:R$64,"*D*")&gt;0,"D","")&amp;IF(COUNTIFS(Master!$AQ$4:$AQ$64,$E8,Master!R$4:R$64,"*A*")&gt;0,"A","")&amp;" - "&amp;COUNTIFS(Master!$AQ$4:$AQ$64,$E8,Master!R$4:R$64,"*"))</f>
        <v/>
      </c>
      <c r="O8" s="188" t="str">
        <f>IF(COUNTIFS(Master!$AQ$4:$AQ$64,$E8,Master!S$4:S$64,"*")=0,"",IF(COUNTIFS(Master!$AQ$4:$AQ$64,$E8,Master!S$4:S$64,"*I*")&gt;0,"I","")&amp;IF(COUNTIFS(Master!$AQ$4:$AQ$64,$E8,Master!S$4:S$64,"*D*")&gt;0,"D","")&amp;IF(COUNTIFS(Master!$AQ$4:$AQ$64,$E8,Master!S$4:S$64,"*A*")&gt;0,"A","")&amp;" - "&amp;COUNTIFS(Master!$AQ$4:$AQ$64,$E8,Master!S$4:S$64,"*"))</f>
        <v/>
      </c>
      <c r="P8" s="188" t="str">
        <f>IF(COUNTIFS(Master!$AQ$4:$AQ$64,$E8,Master!T$4:T$64,"*")=0,"",IF(COUNTIFS(Master!$AQ$4:$AQ$64,$E8,Master!T$4:T$64,"*I*")&gt;0,"I","")&amp;IF(COUNTIFS(Master!$AQ$4:$AQ$64,$E8,Master!T$4:T$64,"*D*")&gt;0,"D","")&amp;IF(COUNTIFS(Master!$AQ$4:$AQ$64,$E8,Master!T$4:T$64,"*A*")&gt;0,"A","")&amp;" - "&amp;COUNTIFS(Master!$AQ$4:$AQ$64,$E8,Master!T$4:T$64,"*"))</f>
        <v/>
      </c>
      <c r="Q8" s="188" t="str">
        <f>IF(COUNTIFS(Master!$AQ$4:$AQ$64,$E8,Master!U$4:U$64,"*")=0,"",IF(COUNTIFS(Master!$AQ$4:$AQ$64,$E8,Master!U$4:U$64,"*I*")&gt;0,"I","")&amp;IF(COUNTIFS(Master!$AQ$4:$AQ$64,$E8,Master!U$4:U$64,"*D*")&gt;0,"D","")&amp;IF(COUNTIFS(Master!$AQ$4:$AQ$64,$E8,Master!U$4:U$64,"*A*")&gt;0,"A","")&amp;" - "&amp;COUNTIFS(Master!$AQ$4:$AQ$64,$E8,Master!U$4:U$64,"*"))</f>
        <v/>
      </c>
      <c r="R8" s="188" t="str">
        <f>IF(COUNTIFS(Master!$AQ$4:$AQ$64,$E8,Master!V$4:V$64,"*")=0,"",IF(COUNTIFS(Master!$AQ$4:$AQ$64,$E8,Master!V$4:V$64,"*I*")&gt;0,"I","")&amp;IF(COUNTIFS(Master!$AQ$4:$AQ$64,$E8,Master!V$4:V$64,"*D*")&gt;0,"D","")&amp;IF(COUNTIFS(Master!$AQ$4:$AQ$64,$E8,Master!V$4:V$64,"*A*")&gt;0,"A","")&amp;" - "&amp;COUNTIFS(Master!$AQ$4:$AQ$64,$E8,Master!V$4:V$64,"*"))</f>
        <v/>
      </c>
      <c r="S8" s="188" t="str">
        <f>IF(COUNTIFS(Master!$AQ$4:$AQ$64,$E8,Master!W$4:W$64,"*")=0,"",IF(COUNTIFS(Master!$AQ$4:$AQ$64,$E8,Master!W$4:W$64,"*I*")&gt;0,"I","")&amp;IF(COUNTIFS(Master!$AQ$4:$AQ$64,$E8,Master!W$4:W$64,"*D*")&gt;0,"D","")&amp;IF(COUNTIFS(Master!$AQ$4:$AQ$64,$E8,Master!W$4:W$64,"*A*")&gt;0,"A","")&amp;" - "&amp;COUNTIFS(Master!$AQ$4:$AQ$64,$E8,Master!W$4:W$64,"*"))</f>
        <v/>
      </c>
      <c r="T8" s="188" t="str">
        <f>IF(COUNTIFS(Master!$AQ$4:$AQ$64,$E8,Master!X$4:X$64,"*")=0,"",IF(COUNTIFS(Master!$AQ$4:$AQ$64,$E8,Master!X$4:X$64,"*I*")&gt;0,"I","")&amp;IF(COUNTIFS(Master!$AQ$4:$AQ$64,$E8,Master!X$4:X$64,"*D*")&gt;0,"D","")&amp;IF(COUNTIFS(Master!$AQ$4:$AQ$64,$E8,Master!X$4:X$64,"*A*")&gt;0,"A","")&amp;" - "&amp;COUNTIFS(Master!$AQ$4:$AQ$64,$E8,Master!X$4:X$64,"*"))</f>
        <v/>
      </c>
      <c r="U8" s="188" t="str">
        <f>IF(COUNTIFS(Master!$AQ$4:$AQ$64,$E8,Master!Y$4:Y$64,"*")=0,"",IF(COUNTIFS(Master!$AQ$4:$AQ$64,$E8,Master!Y$4:Y$64,"*I*")&gt;0,"I","")&amp;IF(COUNTIFS(Master!$AQ$4:$AQ$64,$E8,Master!Y$4:Y$64,"*D*")&gt;0,"D","")&amp;IF(COUNTIFS(Master!$AQ$4:$AQ$64,$E8,Master!Y$4:Y$64,"*A*")&gt;0,"A","")&amp;" - "&amp;COUNTIFS(Master!$AQ$4:$AQ$64,$E8,Master!Y$4:Y$64,"*"))</f>
        <v/>
      </c>
      <c r="V8" s="188" t="str">
        <f>IF(COUNTIFS(Master!$AQ$4:$AQ$64,$E8,Master!Z$4:Z$64,"*")=0,"",IF(COUNTIFS(Master!$AQ$4:$AQ$64,$E8,Master!Z$4:Z$64,"*I*")&gt;0,"I","")&amp;IF(COUNTIFS(Master!$AQ$4:$AQ$64,$E8,Master!Z$4:Z$64,"*D*")&gt;0,"D","")&amp;IF(COUNTIFS(Master!$AQ$4:$AQ$64,$E8,Master!Z$4:Z$64,"*A*")&gt;0,"A","")&amp;" - "&amp;COUNTIFS(Master!$AQ$4:$AQ$64,$E8,Master!Z$4:Z$64,"*"))</f>
        <v/>
      </c>
      <c r="W8" s="188" t="str">
        <f>IF(COUNTIFS(Master!$AQ$4:$AQ$64,$E8,Master!AA$4:AA$64,"*")=0,"",IF(COUNTIFS(Master!$AQ$4:$AQ$64,$E8,Master!AA$4:AA$64,"*I*")&gt;0,"I","")&amp;IF(COUNTIFS(Master!$AQ$4:$AQ$64,$E8,Master!AA$4:AA$64,"*D*")&gt;0,"D","")&amp;IF(COUNTIFS(Master!$AQ$4:$AQ$64,$E8,Master!AA$4:AA$64,"*A*")&gt;0,"A","")&amp;" - "&amp;COUNTIFS(Master!$AQ$4:$AQ$64,$E8,Master!AA$4:AA$64,"*"))</f>
        <v/>
      </c>
      <c r="X8" s="188" t="str">
        <f>IF(COUNTIFS(Master!$AQ$4:$AQ$64,$E8,Master!AB$4:AB$64,"*")=0,"",IF(COUNTIFS(Master!$AQ$4:$AQ$64,$E8,Master!AB$4:AB$64,"*I*")&gt;0,"I","")&amp;IF(COUNTIFS(Master!$AQ$4:$AQ$64,$E8,Master!AB$4:AB$64,"*D*")&gt;0,"D","")&amp;IF(COUNTIFS(Master!$AQ$4:$AQ$64,$E8,Master!AB$4:AB$64,"*A*")&gt;0,"A","")&amp;" - "&amp;COUNTIFS(Master!$AQ$4:$AQ$64,$E8,Master!AB$4:AB$64,"*"))</f>
        <v/>
      </c>
      <c r="Y8" s="188" t="str">
        <f>IF(COUNTIFS(Master!$AQ$4:$AQ$64,$E8,Master!AC$4:AC$64,"*")=0,"",IF(COUNTIFS(Master!$AQ$4:$AQ$64,$E8,Master!AC$4:AC$64,"*I*")&gt;0,"I","")&amp;IF(COUNTIFS(Master!$AQ$4:$AQ$64,$E8,Master!AC$4:AC$64,"*D*")&gt;0,"D","")&amp;IF(COUNTIFS(Master!$AQ$4:$AQ$64,$E8,Master!AC$4:AC$64,"*A*")&gt;0,"A","")&amp;" - "&amp;COUNTIFS(Master!$AQ$4:$AQ$64,$E8,Master!AC$4:AC$64,"*"))</f>
        <v/>
      </c>
      <c r="Z8" s="188" t="str">
        <f>IF(COUNTIFS(Master!$AQ$4:$AQ$64,$E8,Master!AD$4:AD$64,"*")=0,"",IF(COUNTIFS(Master!$AQ$4:$AQ$64,$E8,Master!AD$4:AD$64,"*I*")&gt;0,"I","")&amp;IF(COUNTIFS(Master!$AQ$4:$AQ$64,$E8,Master!AD$4:AD$64,"*D*")&gt;0,"D","")&amp;IF(COUNTIFS(Master!$AQ$4:$AQ$64,$E8,Master!AD$4:AD$64,"*A*")&gt;0,"A","")&amp;" - "&amp;COUNTIFS(Master!$AQ$4:$AQ$64,$E8,Master!AD$4:AD$64,"*"))</f>
        <v/>
      </c>
      <c r="AA8" s="188" t="str">
        <f>IF(COUNTIFS(Master!$AQ$4:$AQ$64,$E8,Master!AE$4:AE$64,"*")=0,"",IF(COUNTIFS(Master!$AQ$4:$AQ$64,$E8,Master!AE$4:AE$64,"*I*")&gt;0,"I","")&amp;IF(COUNTIFS(Master!$AQ$4:$AQ$64,$E8,Master!AE$4:AE$64,"*D*")&gt;0,"D","")&amp;IF(COUNTIFS(Master!$AQ$4:$AQ$64,$E8,Master!AE$4:AE$64,"*A*")&gt;0,"A","")&amp;" - "&amp;COUNTIFS(Master!$AQ$4:$AQ$64,$E8,Master!AE$4:AE$64,"*"))</f>
        <v/>
      </c>
      <c r="AB8" s="188" t="str">
        <f>IF(COUNTIFS(Master!$AQ$4:$AQ$64,$E8,Master!AF$4:AF$64,"*")=0,"",IF(COUNTIFS(Master!$AQ$4:$AQ$64,$E8,Master!AF$4:AF$64,"*I*")&gt;0,"I","")&amp;IF(COUNTIFS(Master!$AQ$4:$AQ$64,$E8,Master!AF$4:AF$64,"*D*")&gt;0,"D","")&amp;IF(COUNTIFS(Master!$AQ$4:$AQ$64,$E8,Master!AF$4:AF$64,"*A*")&gt;0,"A","")&amp;" - "&amp;COUNTIFS(Master!$AQ$4:$AQ$64,$E8,Master!AF$4:AF$64,"*"))</f>
        <v/>
      </c>
      <c r="AC8" s="188" t="str">
        <f>IF(COUNTIFS(Master!$AQ$4:$AQ$64,$E8,Master!AG$4:AG$64,"*")=0,"",IF(COUNTIFS(Master!$AQ$4:$AQ$64,$E8,Master!AG$4:AG$64,"*I*")&gt;0,"I","")&amp;IF(COUNTIFS(Master!$AQ$4:$AQ$64,$E8,Master!AG$4:AG$64,"*D*")&gt;0,"D","")&amp;IF(COUNTIFS(Master!$AQ$4:$AQ$64,$E8,Master!AG$4:AG$64,"*A*")&gt;0,"A","")&amp;" - "&amp;COUNTIFS(Master!$AQ$4:$AQ$64,$E8,Master!AG$4:AG$64,"*"))</f>
        <v/>
      </c>
      <c r="AD8" s="188" t="str">
        <f>IF(COUNTIFS(Master!$AQ$4:$AQ$64,$E8,Master!AH$4:AH$64,"*")=0,"",IF(COUNTIFS(Master!$AQ$4:$AQ$64,$E8,Master!AH$4:AH$64,"*I*")&gt;0,"I","")&amp;IF(COUNTIFS(Master!$AQ$4:$AQ$64,$E8,Master!AH$4:AH$64,"*D*")&gt;0,"D","")&amp;IF(COUNTIFS(Master!$AQ$4:$AQ$64,$E8,Master!AH$4:AH$64,"*A*")&gt;0,"A","")&amp;" - "&amp;COUNTIFS(Master!$AQ$4:$AQ$64,$E8,Master!AH$4:AH$64,"*"))</f>
        <v/>
      </c>
      <c r="AE8" s="188" t="str">
        <f>IF(COUNTIFS(Master!$AQ$4:$AQ$64,$E8,Master!AI$4:AI$64,"*")=0,"",IF(COUNTIFS(Master!$AQ$4:$AQ$64,$E8,Master!AI$4:AI$64,"*I*")&gt;0,"I","")&amp;IF(COUNTIFS(Master!$AQ$4:$AQ$64,$E8,Master!AI$4:AI$64,"*D*")&gt;0,"D","")&amp;IF(COUNTIFS(Master!$AQ$4:$AQ$64,$E8,Master!AI$4:AI$64,"*A*")&gt;0,"A","")&amp;" - "&amp;COUNTIFS(Master!$AQ$4:$AQ$64,$E8,Master!AI$4:AI$64,"*"))</f>
        <v/>
      </c>
      <c r="AF8" s="188" t="str">
        <f>IF(COUNTIFS(Master!$AQ$4:$AQ$64,$E8,Master!AJ$4:AJ$64,"*")=0,"",IF(COUNTIFS(Master!$AQ$4:$AQ$64,$E8,Master!AJ$4:AJ$64,"*I*")&gt;0,"I","")&amp;IF(COUNTIFS(Master!$AQ$4:$AQ$64,$E8,Master!AJ$4:AJ$64,"*D*")&gt;0,"D","")&amp;IF(COUNTIFS(Master!$AQ$4:$AQ$64,$E8,Master!AJ$4:AJ$64,"*A*")&gt;0,"A","")&amp;" - "&amp;COUNTIFS(Master!$AQ$4:$AQ$64,$E8,Master!AJ$4:AJ$64,"*"))</f>
        <v/>
      </c>
      <c r="AG8" s="188" t="str">
        <f>IF(COUNTIFS(Master!$AQ$4:$AQ$64,$E8,Master!AK$4:AK$64,"*")=0,"",IF(COUNTIFS(Master!$AQ$4:$AQ$64,$E8,Master!AK$4:AK$64,"*I*")&gt;0,"I","")&amp;IF(COUNTIFS(Master!$AQ$4:$AQ$64,$E8,Master!AK$4:AK$64,"*D*")&gt;0,"D","")&amp;IF(COUNTIFS(Master!$AQ$4:$AQ$64,$E8,Master!AK$4:AK$64,"*A*")&gt;0,"A","")&amp;" - "&amp;COUNTIFS(Master!$AQ$4:$AQ$64,$E8,Master!AK$4:AK$64,"*"))</f>
        <v/>
      </c>
      <c r="AH8" s="188" t="str">
        <f>IF(COUNTIFS(Master!$AQ$4:$AQ$64,$E8,Master!AL$4:AL$64,"*")=0,"",IF(COUNTIFS(Master!$AQ$4:$AQ$64,$E8,Master!AL$4:AL$64,"*I*")&gt;0,"I","")&amp;IF(COUNTIFS(Master!$AQ$4:$AQ$64,$E8,Master!AL$4:AL$64,"*D*")&gt;0,"D","")&amp;IF(COUNTIFS(Master!$AQ$4:$AQ$64,$E8,Master!AL$4:AL$64,"*A*")&gt;0,"A","")&amp;" - "&amp;COUNTIFS(Master!$AQ$4:$AQ$64,$E8,Master!AL$4:AL$64,"*"))</f>
        <v/>
      </c>
      <c r="AI8" s="188" t="str">
        <f>IF(COUNTIFS(Master!$AQ$4:$AQ$64,$E8,Master!AM$4:AM$64,"*")=0,"",IF(COUNTIFS(Master!$AQ$4:$AQ$64,$E8,Master!AM$4:AM$64,"*I*")&gt;0,"I","")&amp;IF(COUNTIFS(Master!$AQ$4:$AQ$64,$E8,Master!AM$4:AM$64,"*D*")&gt;0,"D","")&amp;IF(COUNTIFS(Master!$AQ$4:$AQ$64,$E8,Master!AM$4:AM$64,"*A*")&gt;0,"A","")&amp;" - "&amp;COUNTIFS(Master!$AQ$4:$AQ$64,$E8,Master!AM$4:AM$64,"*"))</f>
        <v/>
      </c>
      <c r="AJ8" s="188" t="str">
        <f>IF(COUNTIFS(Master!$AQ$4:$AQ$64,$E8,Master!AN$4:AN$64,"*")=0,"",IF(COUNTIFS(Master!$AQ$4:$AQ$64,$E8,Master!AN$4:AN$64,"*I*")&gt;0,"I","")&amp;IF(COUNTIFS(Master!$AQ$4:$AQ$64,$E8,Master!AN$4:AN$64,"*D*")&gt;0,"D","")&amp;IF(COUNTIFS(Master!$AQ$4:$AQ$64,$E8,Master!AN$4:AN$64,"*A*")&gt;0,"A","")&amp;" - "&amp;COUNTIFS(Master!$AQ$4:$AQ$64,$E8,Master!AN$4:AN$64,"*"))</f>
        <v/>
      </c>
      <c r="AK8" s="189" t="str">
        <f>IF(COUNTIFS(Master!$AQ$4:$AQ$64,$E8,Master!AO$4:AO$64,"*")=0,"",IF(COUNTIFS(Master!$AQ$4:$AQ$64,$E8,Master!AO$4:AO$64,"*I*")&gt;0,"I","")&amp;IF(COUNTIFS(Master!$AQ$4:$AQ$64,$E8,Master!AO$4:AO$64,"*D*")&gt;0,"D","")&amp;IF(COUNTIFS(Master!$AQ$4:$AQ$64,$E8,Master!AO$4:AO$64,"*A*")&gt;0,"A","")&amp;" - "&amp;COUNTIFS(Master!$AQ$4:$AQ$64,$E8,Master!AO$4:AO$64,"*"))</f>
        <v/>
      </c>
      <c r="AM8" s="3" t="s">
        <v>33</v>
      </c>
      <c r="AO8" s="3" t="s">
        <v>739</v>
      </c>
      <c r="AP8" s="3" t="s">
        <v>740</v>
      </c>
      <c r="AR8" s="37" t="s">
        <v>590</v>
      </c>
      <c r="AS8" s="37" t="s">
        <v>591</v>
      </c>
      <c r="AT8" s="38" t="s">
        <v>32</v>
      </c>
      <c r="AU8" s="38" t="s">
        <v>72</v>
      </c>
      <c r="AV8" s="37" t="s">
        <v>26</v>
      </c>
    </row>
    <row r="9" spans="1:48" x14ac:dyDescent="0.2">
      <c r="A9" s="165" t="s">
        <v>512</v>
      </c>
      <c r="B9" s="166">
        <f>SUMIF(Master!$AR$4:$AR$64,A9,Master!$AT$4:$AT$64)</f>
        <v>0</v>
      </c>
      <c r="C9" s="167" t="str">
        <f>IF(COUNTIFS(Master!$AR$4:$AR$64,A9,Master!$AS$4:$AS$64,"*I*")&gt;0,"I","")&amp;IF(COUNTIFS(Master!$AR$4:$AR$64,A9,Master!$AS$4:$AS$64,"*D*")&gt;0,"D","")&amp;IF(COUNTIFS(Master!$AR$4:$AR$64,A9,Master!$AS$4:$AS$64,"*A*")&gt;0,"A","")</f>
        <v/>
      </c>
      <c r="E9" s="175" t="s">
        <v>43</v>
      </c>
      <c r="F9" s="188" t="str">
        <f>IF(COUNTIFS(Master!$AQ$4:$AQ$64,$E9,Master!J$4:J$64,"*")=0,"",IF(COUNTIFS(Master!$AQ$4:$AQ$64,$E9,Master!J$4:J$64,"*I*")&gt;0,"I","")&amp;IF(COUNTIFS(Master!$AQ$4:$AQ$64,$E9,Master!J$4:J$64,"*D*")&gt;0,"D","")&amp;IF(COUNTIFS(Master!$AQ$4:$AQ$64,$E9,Master!J$4:J$64,"*A*")&gt;0,"A","")&amp;" - "&amp;COUNTIFS(Master!$AQ$4:$AQ$64,$E9,Master!J$4:J$64,"*"))</f>
        <v/>
      </c>
      <c r="G9" s="188" t="str">
        <f>IF(COUNTIFS(Master!$AQ$4:$AQ$64,$E9,Master!K$4:K$64,"*")=0,"",IF(COUNTIFS(Master!$AQ$4:$AQ$64,$E9,Master!K$4:K$64,"*I*")&gt;0,"I","")&amp;IF(COUNTIFS(Master!$AQ$4:$AQ$64,$E9,Master!K$4:K$64,"*D*")&gt;0,"D","")&amp;IF(COUNTIFS(Master!$AQ$4:$AQ$64,$E9,Master!K$4:K$64,"*A*")&gt;0,"A","")&amp;" - "&amp;COUNTIFS(Master!$AQ$4:$AQ$64,$E9,Master!K$4:K$64,"*"))</f>
        <v/>
      </c>
      <c r="H9" s="188" t="str">
        <f>IF(COUNTIFS(Master!$AQ$4:$AQ$64,$E9,Master!L$4:L$64,"*")=0,"",IF(COUNTIFS(Master!$AQ$4:$AQ$64,$E9,Master!L$4:L$64,"*I*")&gt;0,"I","")&amp;IF(COUNTIFS(Master!$AQ$4:$AQ$64,$E9,Master!L$4:L$64,"*D*")&gt;0,"D","")&amp;IF(COUNTIFS(Master!$AQ$4:$AQ$64,$E9,Master!L$4:L$64,"*A*")&gt;0,"A","")&amp;" - "&amp;COUNTIFS(Master!$AQ$4:$AQ$64,$E9,Master!L$4:L$64,"*"))</f>
        <v/>
      </c>
      <c r="I9" s="188" t="str">
        <f>IF(COUNTIFS(Master!$AQ$4:$AQ$64,$E9,Master!M$4:M$64,"*")=0,"",IF(COUNTIFS(Master!$AQ$4:$AQ$64,$E9,Master!M$4:M$64,"*I*")&gt;0,"I","")&amp;IF(COUNTIFS(Master!$AQ$4:$AQ$64,$E9,Master!M$4:M$64,"*D*")&gt;0,"D","")&amp;IF(COUNTIFS(Master!$AQ$4:$AQ$64,$E9,Master!M$4:M$64,"*A*")&gt;0,"A","")&amp;" - "&amp;COUNTIFS(Master!$AQ$4:$AQ$64,$E9,Master!M$4:M$64,"*"))</f>
        <v/>
      </c>
      <c r="J9" s="188" t="str">
        <f>IF(COUNTIFS(Master!$AQ$4:$AQ$64,$E9,Master!N$4:N$64,"*")=0,"",IF(COUNTIFS(Master!$AQ$4:$AQ$64,$E9,Master!N$4:N$64,"*I*")&gt;0,"I","")&amp;IF(COUNTIFS(Master!$AQ$4:$AQ$64,$E9,Master!N$4:N$64,"*D*")&gt;0,"D","")&amp;IF(COUNTIFS(Master!$AQ$4:$AQ$64,$E9,Master!N$4:N$64,"*A*")&gt;0,"A","")&amp;" - "&amp;COUNTIFS(Master!$AQ$4:$AQ$64,$E9,Master!N$4:N$64,"*"))</f>
        <v/>
      </c>
      <c r="K9" s="188" t="str">
        <f>IF(COUNTIFS(Master!$AQ$4:$AQ$64,$E9,Master!O$4:O$64,"*")=0,"",IF(COUNTIFS(Master!$AQ$4:$AQ$64,$E9,Master!O$4:O$64,"*I*")&gt;0,"I","")&amp;IF(COUNTIFS(Master!$AQ$4:$AQ$64,$E9,Master!O$4:O$64,"*D*")&gt;0,"D","")&amp;IF(COUNTIFS(Master!$AQ$4:$AQ$64,$E9,Master!O$4:O$64,"*A*")&gt;0,"A","")&amp;" - "&amp;COUNTIFS(Master!$AQ$4:$AQ$64,$E9,Master!O$4:O$64,"*"))</f>
        <v/>
      </c>
      <c r="L9" s="188" t="str">
        <f>IF(COUNTIFS(Master!$AQ$4:$AQ$64,$E9,Master!P$4:P$64,"*")=0,"",IF(COUNTIFS(Master!$AQ$4:$AQ$64,$E9,Master!P$4:P$64,"*I*")&gt;0,"I","")&amp;IF(COUNTIFS(Master!$AQ$4:$AQ$64,$E9,Master!P$4:P$64,"*D*")&gt;0,"D","")&amp;IF(COUNTIFS(Master!$AQ$4:$AQ$64,$E9,Master!P$4:P$64,"*A*")&gt;0,"A","")&amp;" - "&amp;COUNTIFS(Master!$AQ$4:$AQ$64,$E9,Master!P$4:P$64,"*"))</f>
        <v/>
      </c>
      <c r="M9" s="188" t="str">
        <f>IF(COUNTIFS(Master!$AQ$4:$AQ$64,$E9,Master!Q$4:Q$64,"*")=0,"",IF(COUNTIFS(Master!$AQ$4:$AQ$64,$E9,Master!Q$4:Q$64,"*I*")&gt;0,"I","")&amp;IF(COUNTIFS(Master!$AQ$4:$AQ$64,$E9,Master!Q$4:Q$64,"*D*")&gt;0,"D","")&amp;IF(COUNTIFS(Master!$AQ$4:$AQ$64,$E9,Master!Q$4:Q$64,"*A*")&gt;0,"A","")&amp;" - "&amp;COUNTIFS(Master!$AQ$4:$AQ$64,$E9,Master!Q$4:Q$64,"*"))</f>
        <v/>
      </c>
      <c r="N9" s="188" t="str">
        <f>IF(COUNTIFS(Master!$AQ$4:$AQ$64,$E9,Master!R$4:R$64,"*")=0,"",IF(COUNTIFS(Master!$AQ$4:$AQ$64,$E9,Master!R$4:R$64,"*I*")&gt;0,"I","")&amp;IF(COUNTIFS(Master!$AQ$4:$AQ$64,$E9,Master!R$4:R$64,"*D*")&gt;0,"D","")&amp;IF(COUNTIFS(Master!$AQ$4:$AQ$64,$E9,Master!R$4:R$64,"*A*")&gt;0,"A","")&amp;" - "&amp;COUNTIFS(Master!$AQ$4:$AQ$64,$E9,Master!R$4:R$64,"*"))</f>
        <v/>
      </c>
      <c r="O9" s="188" t="str">
        <f>IF(COUNTIFS(Master!$AQ$4:$AQ$64,$E9,Master!S$4:S$64,"*")=0,"",IF(COUNTIFS(Master!$AQ$4:$AQ$64,$E9,Master!S$4:S$64,"*I*")&gt;0,"I","")&amp;IF(COUNTIFS(Master!$AQ$4:$AQ$64,$E9,Master!S$4:S$64,"*D*")&gt;0,"D","")&amp;IF(COUNTIFS(Master!$AQ$4:$AQ$64,$E9,Master!S$4:S$64,"*A*")&gt;0,"A","")&amp;" - "&amp;COUNTIFS(Master!$AQ$4:$AQ$64,$E9,Master!S$4:S$64,"*"))</f>
        <v/>
      </c>
      <c r="P9" s="188" t="str">
        <f>IF(COUNTIFS(Master!$AQ$4:$AQ$64,$E9,Master!T$4:T$64,"*")=0,"",IF(COUNTIFS(Master!$AQ$4:$AQ$64,$E9,Master!T$4:T$64,"*I*")&gt;0,"I","")&amp;IF(COUNTIFS(Master!$AQ$4:$AQ$64,$E9,Master!T$4:T$64,"*D*")&gt;0,"D","")&amp;IF(COUNTIFS(Master!$AQ$4:$AQ$64,$E9,Master!T$4:T$64,"*A*")&gt;0,"A","")&amp;" - "&amp;COUNTIFS(Master!$AQ$4:$AQ$64,$E9,Master!T$4:T$64,"*"))</f>
        <v/>
      </c>
      <c r="Q9" s="188" t="str">
        <f>IF(COUNTIFS(Master!$AQ$4:$AQ$64,$E9,Master!U$4:U$64,"*")=0,"",IF(COUNTIFS(Master!$AQ$4:$AQ$64,$E9,Master!U$4:U$64,"*I*")&gt;0,"I","")&amp;IF(COUNTIFS(Master!$AQ$4:$AQ$64,$E9,Master!U$4:U$64,"*D*")&gt;0,"D","")&amp;IF(COUNTIFS(Master!$AQ$4:$AQ$64,$E9,Master!U$4:U$64,"*A*")&gt;0,"A","")&amp;" - "&amp;COUNTIFS(Master!$AQ$4:$AQ$64,$E9,Master!U$4:U$64,"*"))</f>
        <v/>
      </c>
      <c r="R9" s="188" t="str">
        <f>IF(COUNTIFS(Master!$AQ$4:$AQ$64,$E9,Master!V$4:V$64,"*")=0,"",IF(COUNTIFS(Master!$AQ$4:$AQ$64,$E9,Master!V$4:V$64,"*I*")&gt;0,"I","")&amp;IF(COUNTIFS(Master!$AQ$4:$AQ$64,$E9,Master!V$4:V$64,"*D*")&gt;0,"D","")&amp;IF(COUNTIFS(Master!$AQ$4:$AQ$64,$E9,Master!V$4:V$64,"*A*")&gt;0,"A","")&amp;" - "&amp;COUNTIFS(Master!$AQ$4:$AQ$64,$E9,Master!V$4:V$64,"*"))</f>
        <v/>
      </c>
      <c r="S9" s="188" t="str">
        <f>IF(COUNTIFS(Master!$AQ$4:$AQ$64,$E9,Master!W$4:W$64,"*")=0,"",IF(COUNTIFS(Master!$AQ$4:$AQ$64,$E9,Master!W$4:W$64,"*I*")&gt;0,"I","")&amp;IF(COUNTIFS(Master!$AQ$4:$AQ$64,$E9,Master!W$4:W$64,"*D*")&gt;0,"D","")&amp;IF(COUNTIFS(Master!$AQ$4:$AQ$64,$E9,Master!W$4:W$64,"*A*")&gt;0,"A","")&amp;" - "&amp;COUNTIFS(Master!$AQ$4:$AQ$64,$E9,Master!W$4:W$64,"*"))</f>
        <v/>
      </c>
      <c r="T9" s="188" t="str">
        <f>IF(COUNTIFS(Master!$AQ$4:$AQ$64,$E9,Master!X$4:X$64,"*")=0,"",IF(COUNTIFS(Master!$AQ$4:$AQ$64,$E9,Master!X$4:X$64,"*I*")&gt;0,"I","")&amp;IF(COUNTIFS(Master!$AQ$4:$AQ$64,$E9,Master!X$4:X$64,"*D*")&gt;0,"D","")&amp;IF(COUNTIFS(Master!$AQ$4:$AQ$64,$E9,Master!X$4:X$64,"*A*")&gt;0,"A","")&amp;" - "&amp;COUNTIFS(Master!$AQ$4:$AQ$64,$E9,Master!X$4:X$64,"*"))</f>
        <v/>
      </c>
      <c r="U9" s="188" t="str">
        <f>IF(COUNTIFS(Master!$AQ$4:$AQ$64,$E9,Master!Y$4:Y$64,"*")=0,"",IF(COUNTIFS(Master!$AQ$4:$AQ$64,$E9,Master!Y$4:Y$64,"*I*")&gt;0,"I","")&amp;IF(COUNTIFS(Master!$AQ$4:$AQ$64,$E9,Master!Y$4:Y$64,"*D*")&gt;0,"D","")&amp;IF(COUNTIFS(Master!$AQ$4:$AQ$64,$E9,Master!Y$4:Y$64,"*A*")&gt;0,"A","")&amp;" - "&amp;COUNTIFS(Master!$AQ$4:$AQ$64,$E9,Master!Y$4:Y$64,"*"))</f>
        <v/>
      </c>
      <c r="V9" s="188" t="str">
        <f>IF(COUNTIFS(Master!$AQ$4:$AQ$64,$E9,Master!Z$4:Z$64,"*")=0,"",IF(COUNTIFS(Master!$AQ$4:$AQ$64,$E9,Master!Z$4:Z$64,"*I*")&gt;0,"I","")&amp;IF(COUNTIFS(Master!$AQ$4:$AQ$64,$E9,Master!Z$4:Z$64,"*D*")&gt;0,"D","")&amp;IF(COUNTIFS(Master!$AQ$4:$AQ$64,$E9,Master!Z$4:Z$64,"*A*")&gt;0,"A","")&amp;" - "&amp;COUNTIFS(Master!$AQ$4:$AQ$64,$E9,Master!Z$4:Z$64,"*"))</f>
        <v/>
      </c>
      <c r="W9" s="188" t="str">
        <f>IF(COUNTIFS(Master!$AQ$4:$AQ$64,$E9,Master!AA$4:AA$64,"*")=0,"",IF(COUNTIFS(Master!$AQ$4:$AQ$64,$E9,Master!AA$4:AA$64,"*I*")&gt;0,"I","")&amp;IF(COUNTIFS(Master!$AQ$4:$AQ$64,$E9,Master!AA$4:AA$64,"*D*")&gt;0,"D","")&amp;IF(COUNTIFS(Master!$AQ$4:$AQ$64,$E9,Master!AA$4:AA$64,"*A*")&gt;0,"A","")&amp;" - "&amp;COUNTIFS(Master!$AQ$4:$AQ$64,$E9,Master!AA$4:AA$64,"*"))</f>
        <v/>
      </c>
      <c r="X9" s="188" t="str">
        <f>IF(COUNTIFS(Master!$AQ$4:$AQ$64,$E9,Master!AB$4:AB$64,"*")=0,"",IF(COUNTIFS(Master!$AQ$4:$AQ$64,$E9,Master!AB$4:AB$64,"*I*")&gt;0,"I","")&amp;IF(COUNTIFS(Master!$AQ$4:$AQ$64,$E9,Master!AB$4:AB$64,"*D*")&gt;0,"D","")&amp;IF(COUNTIFS(Master!$AQ$4:$AQ$64,$E9,Master!AB$4:AB$64,"*A*")&gt;0,"A","")&amp;" - "&amp;COUNTIFS(Master!$AQ$4:$AQ$64,$E9,Master!AB$4:AB$64,"*"))</f>
        <v/>
      </c>
      <c r="Y9" s="188" t="str">
        <f>IF(COUNTIFS(Master!$AQ$4:$AQ$64,$E9,Master!AC$4:AC$64,"*")=0,"",IF(COUNTIFS(Master!$AQ$4:$AQ$64,$E9,Master!AC$4:AC$64,"*I*")&gt;0,"I","")&amp;IF(COUNTIFS(Master!$AQ$4:$AQ$64,$E9,Master!AC$4:AC$64,"*D*")&gt;0,"D","")&amp;IF(COUNTIFS(Master!$AQ$4:$AQ$64,$E9,Master!AC$4:AC$64,"*A*")&gt;0,"A","")&amp;" - "&amp;COUNTIFS(Master!$AQ$4:$AQ$64,$E9,Master!AC$4:AC$64,"*"))</f>
        <v/>
      </c>
      <c r="Z9" s="188" t="str">
        <f>IF(COUNTIFS(Master!$AQ$4:$AQ$64,$E9,Master!AD$4:AD$64,"*")=0,"",IF(COUNTIFS(Master!$AQ$4:$AQ$64,$E9,Master!AD$4:AD$64,"*I*")&gt;0,"I","")&amp;IF(COUNTIFS(Master!$AQ$4:$AQ$64,$E9,Master!AD$4:AD$64,"*D*")&gt;0,"D","")&amp;IF(COUNTIFS(Master!$AQ$4:$AQ$64,$E9,Master!AD$4:AD$64,"*A*")&gt;0,"A","")&amp;" - "&amp;COUNTIFS(Master!$AQ$4:$AQ$64,$E9,Master!AD$4:AD$64,"*"))</f>
        <v/>
      </c>
      <c r="AA9" s="188" t="str">
        <f>IF(COUNTIFS(Master!$AQ$4:$AQ$64,$E9,Master!AE$4:AE$64,"*")=0,"",IF(COUNTIFS(Master!$AQ$4:$AQ$64,$E9,Master!AE$4:AE$64,"*I*")&gt;0,"I","")&amp;IF(COUNTIFS(Master!$AQ$4:$AQ$64,$E9,Master!AE$4:AE$64,"*D*")&gt;0,"D","")&amp;IF(COUNTIFS(Master!$AQ$4:$AQ$64,$E9,Master!AE$4:AE$64,"*A*")&gt;0,"A","")&amp;" - "&amp;COUNTIFS(Master!$AQ$4:$AQ$64,$E9,Master!AE$4:AE$64,"*"))</f>
        <v/>
      </c>
      <c r="AB9" s="188" t="str">
        <f>IF(COUNTIFS(Master!$AQ$4:$AQ$64,$E9,Master!AF$4:AF$64,"*")=0,"",IF(COUNTIFS(Master!$AQ$4:$AQ$64,$E9,Master!AF$4:AF$64,"*I*")&gt;0,"I","")&amp;IF(COUNTIFS(Master!$AQ$4:$AQ$64,$E9,Master!AF$4:AF$64,"*D*")&gt;0,"D","")&amp;IF(COUNTIFS(Master!$AQ$4:$AQ$64,$E9,Master!AF$4:AF$64,"*A*")&gt;0,"A","")&amp;" - "&amp;COUNTIFS(Master!$AQ$4:$AQ$64,$E9,Master!AF$4:AF$64,"*"))</f>
        <v/>
      </c>
      <c r="AC9" s="188" t="str">
        <f>IF(COUNTIFS(Master!$AQ$4:$AQ$64,$E9,Master!AG$4:AG$64,"*")=0,"",IF(COUNTIFS(Master!$AQ$4:$AQ$64,$E9,Master!AG$4:AG$64,"*I*")&gt;0,"I","")&amp;IF(COUNTIFS(Master!$AQ$4:$AQ$64,$E9,Master!AG$4:AG$64,"*D*")&gt;0,"D","")&amp;IF(COUNTIFS(Master!$AQ$4:$AQ$64,$E9,Master!AG$4:AG$64,"*A*")&gt;0,"A","")&amp;" - "&amp;COUNTIFS(Master!$AQ$4:$AQ$64,$E9,Master!AG$4:AG$64,"*"))</f>
        <v/>
      </c>
      <c r="AD9" s="188" t="str">
        <f>IF(COUNTIFS(Master!$AQ$4:$AQ$64,$E9,Master!AH$4:AH$64,"*")=0,"",IF(COUNTIFS(Master!$AQ$4:$AQ$64,$E9,Master!AH$4:AH$64,"*I*")&gt;0,"I","")&amp;IF(COUNTIFS(Master!$AQ$4:$AQ$64,$E9,Master!AH$4:AH$64,"*D*")&gt;0,"D","")&amp;IF(COUNTIFS(Master!$AQ$4:$AQ$64,$E9,Master!AH$4:AH$64,"*A*")&gt;0,"A","")&amp;" - "&amp;COUNTIFS(Master!$AQ$4:$AQ$64,$E9,Master!AH$4:AH$64,"*"))</f>
        <v/>
      </c>
      <c r="AE9" s="188" t="str">
        <f>IF(COUNTIFS(Master!$AQ$4:$AQ$64,$E9,Master!AI$4:AI$64,"*")=0,"",IF(COUNTIFS(Master!$AQ$4:$AQ$64,$E9,Master!AI$4:AI$64,"*I*")&gt;0,"I","")&amp;IF(COUNTIFS(Master!$AQ$4:$AQ$64,$E9,Master!AI$4:AI$64,"*D*")&gt;0,"D","")&amp;IF(COUNTIFS(Master!$AQ$4:$AQ$64,$E9,Master!AI$4:AI$64,"*A*")&gt;0,"A","")&amp;" - "&amp;COUNTIFS(Master!$AQ$4:$AQ$64,$E9,Master!AI$4:AI$64,"*"))</f>
        <v/>
      </c>
      <c r="AF9" s="188" t="str">
        <f>IF(COUNTIFS(Master!$AQ$4:$AQ$64,$E9,Master!AJ$4:AJ$64,"*")=0,"",IF(COUNTIFS(Master!$AQ$4:$AQ$64,$E9,Master!AJ$4:AJ$64,"*I*")&gt;0,"I","")&amp;IF(COUNTIFS(Master!$AQ$4:$AQ$64,$E9,Master!AJ$4:AJ$64,"*D*")&gt;0,"D","")&amp;IF(COUNTIFS(Master!$AQ$4:$AQ$64,$E9,Master!AJ$4:AJ$64,"*A*")&gt;0,"A","")&amp;" - "&amp;COUNTIFS(Master!$AQ$4:$AQ$64,$E9,Master!AJ$4:AJ$64,"*"))</f>
        <v/>
      </c>
      <c r="AG9" s="188" t="str">
        <f>IF(COUNTIFS(Master!$AQ$4:$AQ$64,$E9,Master!AK$4:AK$64,"*")=0,"",IF(COUNTIFS(Master!$AQ$4:$AQ$64,$E9,Master!AK$4:AK$64,"*I*")&gt;0,"I","")&amp;IF(COUNTIFS(Master!$AQ$4:$AQ$64,$E9,Master!AK$4:AK$64,"*D*")&gt;0,"D","")&amp;IF(COUNTIFS(Master!$AQ$4:$AQ$64,$E9,Master!AK$4:AK$64,"*A*")&gt;0,"A","")&amp;" - "&amp;COUNTIFS(Master!$AQ$4:$AQ$64,$E9,Master!AK$4:AK$64,"*"))</f>
        <v/>
      </c>
      <c r="AH9" s="188" t="str">
        <f>IF(COUNTIFS(Master!$AQ$4:$AQ$64,$E9,Master!AL$4:AL$64,"*")=0,"",IF(COUNTIFS(Master!$AQ$4:$AQ$64,$E9,Master!AL$4:AL$64,"*I*")&gt;0,"I","")&amp;IF(COUNTIFS(Master!$AQ$4:$AQ$64,$E9,Master!AL$4:AL$64,"*D*")&gt;0,"D","")&amp;IF(COUNTIFS(Master!$AQ$4:$AQ$64,$E9,Master!AL$4:AL$64,"*A*")&gt;0,"A","")&amp;" - "&amp;COUNTIFS(Master!$AQ$4:$AQ$64,$E9,Master!AL$4:AL$64,"*"))</f>
        <v/>
      </c>
      <c r="AI9" s="188" t="str">
        <f>IF(COUNTIFS(Master!$AQ$4:$AQ$64,$E9,Master!AM$4:AM$64,"*")=0,"",IF(COUNTIFS(Master!$AQ$4:$AQ$64,$E9,Master!AM$4:AM$64,"*I*")&gt;0,"I","")&amp;IF(COUNTIFS(Master!$AQ$4:$AQ$64,$E9,Master!AM$4:AM$64,"*D*")&gt;0,"D","")&amp;IF(COUNTIFS(Master!$AQ$4:$AQ$64,$E9,Master!AM$4:AM$64,"*A*")&gt;0,"A","")&amp;" - "&amp;COUNTIFS(Master!$AQ$4:$AQ$64,$E9,Master!AM$4:AM$64,"*"))</f>
        <v/>
      </c>
      <c r="AJ9" s="188" t="str">
        <f>IF(COUNTIFS(Master!$AQ$4:$AQ$64,$E9,Master!AN$4:AN$64,"*")=0,"",IF(COUNTIFS(Master!$AQ$4:$AQ$64,$E9,Master!AN$4:AN$64,"*I*")&gt;0,"I","")&amp;IF(COUNTIFS(Master!$AQ$4:$AQ$64,$E9,Master!AN$4:AN$64,"*D*")&gt;0,"D","")&amp;IF(COUNTIFS(Master!$AQ$4:$AQ$64,$E9,Master!AN$4:AN$64,"*A*")&gt;0,"A","")&amp;" - "&amp;COUNTIFS(Master!$AQ$4:$AQ$64,$E9,Master!AN$4:AN$64,"*"))</f>
        <v/>
      </c>
      <c r="AK9" s="189" t="str">
        <f>IF(COUNTIFS(Master!$AQ$4:$AQ$64,$E9,Master!AO$4:AO$64,"*")=0,"",IF(COUNTIFS(Master!$AQ$4:$AQ$64,$E9,Master!AO$4:AO$64,"*I*")&gt;0,"I","")&amp;IF(COUNTIFS(Master!$AQ$4:$AQ$64,$E9,Master!AO$4:AO$64,"*D*")&gt;0,"D","")&amp;IF(COUNTIFS(Master!$AQ$4:$AQ$64,$E9,Master!AO$4:AO$64,"*A*")&gt;0,"A","")&amp;" - "&amp;COUNTIFS(Master!$AQ$4:$AQ$64,$E9,Master!AO$4:AO$64,"*"))</f>
        <v/>
      </c>
      <c r="AM9" s="3" t="s">
        <v>34</v>
      </c>
      <c r="AO9" s="3" t="s">
        <v>741</v>
      </c>
      <c r="AP9" s="3" t="s">
        <v>742</v>
      </c>
      <c r="AR9" s="37" t="s">
        <v>70</v>
      </c>
      <c r="AS9" s="37" t="s">
        <v>594</v>
      </c>
      <c r="AT9" s="38" t="s">
        <v>32</v>
      </c>
      <c r="AU9" s="38" t="s">
        <v>72</v>
      </c>
      <c r="AV9" s="37" t="s">
        <v>26</v>
      </c>
    </row>
    <row r="10" spans="1:48" x14ac:dyDescent="0.2">
      <c r="A10" s="165" t="s">
        <v>513</v>
      </c>
      <c r="B10" s="166">
        <f>SUMIF(Master!$AR$4:$AR$64,A10,Master!$AT$4:$AT$64)</f>
        <v>0</v>
      </c>
      <c r="C10" s="167" t="str">
        <f>IF(COUNTIFS(Master!$AR$4:$AR$64,A10,Master!$AS$4:$AS$64,"*I*")&gt;0,"I","")&amp;IF(COUNTIFS(Master!$AR$4:$AR$64,A10,Master!$AS$4:$AS$64,"*D*")&gt;0,"D","")&amp;IF(COUNTIFS(Master!$AR$4:$AR$64,A10,Master!$AS$4:$AS$64,"*A*")&gt;0,"A","")</f>
        <v/>
      </c>
      <c r="E10" s="175" t="s">
        <v>979</v>
      </c>
      <c r="F10" s="188" t="str">
        <f>IF(COUNTIFS(Master!$AQ$4:$AQ$64,$E10,Master!J$4:J$64,"*")=0,"",IF(COUNTIFS(Master!$AQ$4:$AQ$64,$E10,Master!J$4:J$64,"*I*")&gt;0,"I","")&amp;IF(COUNTIFS(Master!$AQ$4:$AQ$64,$E10,Master!J$4:J$64,"*D*")&gt;0,"D","")&amp;IF(COUNTIFS(Master!$AQ$4:$AQ$64,$E10,Master!J$4:J$64,"*A*")&gt;0,"A","")&amp;" - "&amp;COUNTIFS(Master!$AQ$4:$AQ$64,$E10,Master!J$4:J$64,"*"))</f>
        <v/>
      </c>
      <c r="G10" s="188" t="str">
        <f>IF(COUNTIFS(Master!$AQ$4:$AQ$64,$E10,Master!K$4:K$64,"*")=0,"",IF(COUNTIFS(Master!$AQ$4:$AQ$64,$E10,Master!K$4:K$64,"*I*")&gt;0,"I","")&amp;IF(COUNTIFS(Master!$AQ$4:$AQ$64,$E10,Master!K$4:K$64,"*D*")&gt;0,"D","")&amp;IF(COUNTIFS(Master!$AQ$4:$AQ$64,$E10,Master!K$4:K$64,"*A*")&gt;0,"A","")&amp;" - "&amp;COUNTIFS(Master!$AQ$4:$AQ$64,$E10,Master!K$4:K$64,"*"))</f>
        <v/>
      </c>
      <c r="H10" s="188" t="str">
        <f>IF(COUNTIFS(Master!$AQ$4:$AQ$64,$E10,Master!L$4:L$64,"*")=0,"",IF(COUNTIFS(Master!$AQ$4:$AQ$64,$E10,Master!L$4:L$64,"*I*")&gt;0,"I","")&amp;IF(COUNTIFS(Master!$AQ$4:$AQ$64,$E10,Master!L$4:L$64,"*D*")&gt;0,"D","")&amp;IF(COUNTIFS(Master!$AQ$4:$AQ$64,$E10,Master!L$4:L$64,"*A*")&gt;0,"A","")&amp;" - "&amp;COUNTIFS(Master!$AQ$4:$AQ$64,$E10,Master!L$4:L$64,"*"))</f>
        <v/>
      </c>
      <c r="I10" s="188" t="str">
        <f>IF(COUNTIFS(Master!$AQ$4:$AQ$64,$E10,Master!M$4:M$64,"*")=0,"",IF(COUNTIFS(Master!$AQ$4:$AQ$64,$E10,Master!M$4:M$64,"*I*")&gt;0,"I","")&amp;IF(COUNTIFS(Master!$AQ$4:$AQ$64,$E10,Master!M$4:M$64,"*D*")&gt;0,"D","")&amp;IF(COUNTIFS(Master!$AQ$4:$AQ$64,$E10,Master!M$4:M$64,"*A*")&gt;0,"A","")&amp;" - "&amp;COUNTIFS(Master!$AQ$4:$AQ$64,$E10,Master!M$4:M$64,"*"))</f>
        <v/>
      </c>
      <c r="J10" s="188" t="str">
        <f>IF(COUNTIFS(Master!$AQ$4:$AQ$64,$E10,Master!N$4:N$64,"*")=0,"",IF(COUNTIFS(Master!$AQ$4:$AQ$64,$E10,Master!N$4:N$64,"*I*")&gt;0,"I","")&amp;IF(COUNTIFS(Master!$AQ$4:$AQ$64,$E10,Master!N$4:N$64,"*D*")&gt;0,"D","")&amp;IF(COUNTIFS(Master!$AQ$4:$AQ$64,$E10,Master!N$4:N$64,"*A*")&gt;0,"A","")&amp;" - "&amp;COUNTIFS(Master!$AQ$4:$AQ$64,$E10,Master!N$4:N$64,"*"))</f>
        <v/>
      </c>
      <c r="K10" s="188" t="str">
        <f>IF(COUNTIFS(Master!$AQ$4:$AQ$64,$E10,Master!O$4:O$64,"*")=0,"",IF(COUNTIFS(Master!$AQ$4:$AQ$64,$E10,Master!O$4:O$64,"*I*")&gt;0,"I","")&amp;IF(COUNTIFS(Master!$AQ$4:$AQ$64,$E10,Master!O$4:O$64,"*D*")&gt;0,"D","")&amp;IF(COUNTIFS(Master!$AQ$4:$AQ$64,$E10,Master!O$4:O$64,"*A*")&gt;0,"A","")&amp;" - "&amp;COUNTIFS(Master!$AQ$4:$AQ$64,$E10,Master!O$4:O$64,"*"))</f>
        <v/>
      </c>
      <c r="L10" s="188" t="str">
        <f>IF(COUNTIFS(Master!$AQ$4:$AQ$64,$E10,Master!P$4:P$64,"*")=0,"",IF(COUNTIFS(Master!$AQ$4:$AQ$64,$E10,Master!P$4:P$64,"*I*")&gt;0,"I","")&amp;IF(COUNTIFS(Master!$AQ$4:$AQ$64,$E10,Master!P$4:P$64,"*D*")&gt;0,"D","")&amp;IF(COUNTIFS(Master!$AQ$4:$AQ$64,$E10,Master!P$4:P$64,"*A*")&gt;0,"A","")&amp;" - "&amp;COUNTIFS(Master!$AQ$4:$AQ$64,$E10,Master!P$4:P$64,"*"))</f>
        <v/>
      </c>
      <c r="M10" s="188" t="str">
        <f>IF(COUNTIFS(Master!$AQ$4:$AQ$64,$E10,Master!Q$4:Q$64,"*")=0,"",IF(COUNTIFS(Master!$AQ$4:$AQ$64,$E10,Master!Q$4:Q$64,"*I*")&gt;0,"I","")&amp;IF(COUNTIFS(Master!$AQ$4:$AQ$64,$E10,Master!Q$4:Q$64,"*D*")&gt;0,"D","")&amp;IF(COUNTIFS(Master!$AQ$4:$AQ$64,$E10,Master!Q$4:Q$64,"*A*")&gt;0,"A","")&amp;" - "&amp;COUNTIFS(Master!$AQ$4:$AQ$64,$E10,Master!Q$4:Q$64,"*"))</f>
        <v/>
      </c>
      <c r="N10" s="188" t="str">
        <f>IF(COUNTIFS(Master!$AQ$4:$AQ$64,$E10,Master!R$4:R$64,"*")=0,"",IF(COUNTIFS(Master!$AQ$4:$AQ$64,$E10,Master!R$4:R$64,"*I*")&gt;0,"I","")&amp;IF(COUNTIFS(Master!$AQ$4:$AQ$64,$E10,Master!R$4:R$64,"*D*")&gt;0,"D","")&amp;IF(COUNTIFS(Master!$AQ$4:$AQ$64,$E10,Master!R$4:R$64,"*A*")&gt;0,"A","")&amp;" - "&amp;COUNTIFS(Master!$AQ$4:$AQ$64,$E10,Master!R$4:R$64,"*"))</f>
        <v/>
      </c>
      <c r="O10" s="188" t="str">
        <f>IF(COUNTIFS(Master!$AQ$4:$AQ$64,$E10,Master!S$4:S$64,"*")=0,"",IF(COUNTIFS(Master!$AQ$4:$AQ$64,$E10,Master!S$4:S$64,"*I*")&gt;0,"I","")&amp;IF(COUNTIFS(Master!$AQ$4:$AQ$64,$E10,Master!S$4:S$64,"*D*")&gt;0,"D","")&amp;IF(COUNTIFS(Master!$AQ$4:$AQ$64,$E10,Master!S$4:S$64,"*A*")&gt;0,"A","")&amp;" - "&amp;COUNTIFS(Master!$AQ$4:$AQ$64,$E10,Master!S$4:S$64,"*"))</f>
        <v/>
      </c>
      <c r="P10" s="188" t="str">
        <f>IF(COUNTIFS(Master!$AQ$4:$AQ$64,$E10,Master!T$4:T$64,"*")=0,"",IF(COUNTIFS(Master!$AQ$4:$AQ$64,$E10,Master!T$4:T$64,"*I*")&gt;0,"I","")&amp;IF(COUNTIFS(Master!$AQ$4:$AQ$64,$E10,Master!T$4:T$64,"*D*")&gt;0,"D","")&amp;IF(COUNTIFS(Master!$AQ$4:$AQ$64,$E10,Master!T$4:T$64,"*A*")&gt;0,"A","")&amp;" - "&amp;COUNTIFS(Master!$AQ$4:$AQ$64,$E10,Master!T$4:T$64,"*"))</f>
        <v/>
      </c>
      <c r="Q10" s="188" t="str">
        <f>IF(COUNTIFS(Master!$AQ$4:$AQ$64,$E10,Master!U$4:U$64,"*")=0,"",IF(COUNTIFS(Master!$AQ$4:$AQ$64,$E10,Master!U$4:U$64,"*I*")&gt;0,"I","")&amp;IF(COUNTIFS(Master!$AQ$4:$AQ$64,$E10,Master!U$4:U$64,"*D*")&gt;0,"D","")&amp;IF(COUNTIFS(Master!$AQ$4:$AQ$64,$E10,Master!U$4:U$64,"*A*")&gt;0,"A","")&amp;" - "&amp;COUNTIFS(Master!$AQ$4:$AQ$64,$E10,Master!U$4:U$64,"*"))</f>
        <v/>
      </c>
      <c r="R10" s="188" t="str">
        <f>IF(COUNTIFS(Master!$AQ$4:$AQ$64,$E10,Master!V$4:V$64,"*")=0,"",IF(COUNTIFS(Master!$AQ$4:$AQ$64,$E10,Master!V$4:V$64,"*I*")&gt;0,"I","")&amp;IF(COUNTIFS(Master!$AQ$4:$AQ$64,$E10,Master!V$4:V$64,"*D*")&gt;0,"D","")&amp;IF(COUNTIFS(Master!$AQ$4:$AQ$64,$E10,Master!V$4:V$64,"*A*")&gt;0,"A","")&amp;" - "&amp;COUNTIFS(Master!$AQ$4:$AQ$64,$E10,Master!V$4:V$64,"*"))</f>
        <v/>
      </c>
      <c r="S10" s="188" t="str">
        <f>IF(COUNTIFS(Master!$AQ$4:$AQ$64,$E10,Master!W$4:W$64,"*")=0,"",IF(COUNTIFS(Master!$AQ$4:$AQ$64,$E10,Master!W$4:W$64,"*I*")&gt;0,"I","")&amp;IF(COUNTIFS(Master!$AQ$4:$AQ$64,$E10,Master!W$4:W$64,"*D*")&gt;0,"D","")&amp;IF(COUNTIFS(Master!$AQ$4:$AQ$64,$E10,Master!W$4:W$64,"*A*")&gt;0,"A","")&amp;" - "&amp;COUNTIFS(Master!$AQ$4:$AQ$64,$E10,Master!W$4:W$64,"*"))</f>
        <v/>
      </c>
      <c r="T10" s="188" t="str">
        <f>IF(COUNTIFS(Master!$AQ$4:$AQ$64,$E10,Master!X$4:X$64,"*")=0,"",IF(COUNTIFS(Master!$AQ$4:$AQ$64,$E10,Master!X$4:X$64,"*I*")&gt;0,"I","")&amp;IF(COUNTIFS(Master!$AQ$4:$AQ$64,$E10,Master!X$4:X$64,"*D*")&gt;0,"D","")&amp;IF(COUNTIFS(Master!$AQ$4:$AQ$64,$E10,Master!X$4:X$64,"*A*")&gt;0,"A","")&amp;" - "&amp;COUNTIFS(Master!$AQ$4:$AQ$64,$E10,Master!X$4:X$64,"*"))</f>
        <v/>
      </c>
      <c r="U10" s="188" t="str">
        <f>IF(COUNTIFS(Master!$AQ$4:$AQ$64,$E10,Master!Y$4:Y$64,"*")=0,"",IF(COUNTIFS(Master!$AQ$4:$AQ$64,$E10,Master!Y$4:Y$64,"*I*")&gt;0,"I","")&amp;IF(COUNTIFS(Master!$AQ$4:$AQ$64,$E10,Master!Y$4:Y$64,"*D*")&gt;0,"D","")&amp;IF(COUNTIFS(Master!$AQ$4:$AQ$64,$E10,Master!Y$4:Y$64,"*A*")&gt;0,"A","")&amp;" - "&amp;COUNTIFS(Master!$AQ$4:$AQ$64,$E10,Master!Y$4:Y$64,"*"))</f>
        <v/>
      </c>
      <c r="V10" s="188" t="str">
        <f>IF(COUNTIFS(Master!$AQ$4:$AQ$64,$E10,Master!Z$4:Z$64,"*")=0,"",IF(COUNTIFS(Master!$AQ$4:$AQ$64,$E10,Master!Z$4:Z$64,"*I*")&gt;0,"I","")&amp;IF(COUNTIFS(Master!$AQ$4:$AQ$64,$E10,Master!Z$4:Z$64,"*D*")&gt;0,"D","")&amp;IF(COUNTIFS(Master!$AQ$4:$AQ$64,$E10,Master!Z$4:Z$64,"*A*")&gt;0,"A","")&amp;" - "&amp;COUNTIFS(Master!$AQ$4:$AQ$64,$E10,Master!Z$4:Z$64,"*"))</f>
        <v/>
      </c>
      <c r="W10" s="188" t="str">
        <f>IF(COUNTIFS(Master!$AQ$4:$AQ$64,$E10,Master!AA$4:AA$64,"*")=0,"",IF(COUNTIFS(Master!$AQ$4:$AQ$64,$E10,Master!AA$4:AA$64,"*I*")&gt;0,"I","")&amp;IF(COUNTIFS(Master!$AQ$4:$AQ$64,$E10,Master!AA$4:AA$64,"*D*")&gt;0,"D","")&amp;IF(COUNTIFS(Master!$AQ$4:$AQ$64,$E10,Master!AA$4:AA$64,"*A*")&gt;0,"A","")&amp;" - "&amp;COUNTIFS(Master!$AQ$4:$AQ$64,$E10,Master!AA$4:AA$64,"*"))</f>
        <v/>
      </c>
      <c r="X10" s="188" t="str">
        <f>IF(COUNTIFS(Master!$AQ$4:$AQ$64,$E10,Master!AB$4:AB$64,"*")=0,"",IF(COUNTIFS(Master!$AQ$4:$AQ$64,$E10,Master!AB$4:AB$64,"*I*")&gt;0,"I","")&amp;IF(COUNTIFS(Master!$AQ$4:$AQ$64,$E10,Master!AB$4:AB$64,"*D*")&gt;0,"D","")&amp;IF(COUNTIFS(Master!$AQ$4:$AQ$64,$E10,Master!AB$4:AB$64,"*A*")&gt;0,"A","")&amp;" - "&amp;COUNTIFS(Master!$AQ$4:$AQ$64,$E10,Master!AB$4:AB$64,"*"))</f>
        <v/>
      </c>
      <c r="Y10" s="188" t="str">
        <f>IF(COUNTIFS(Master!$AQ$4:$AQ$64,$E10,Master!AC$4:AC$64,"*")=0,"",IF(COUNTIFS(Master!$AQ$4:$AQ$64,$E10,Master!AC$4:AC$64,"*I*")&gt;0,"I","")&amp;IF(COUNTIFS(Master!$AQ$4:$AQ$64,$E10,Master!AC$4:AC$64,"*D*")&gt;0,"D","")&amp;IF(COUNTIFS(Master!$AQ$4:$AQ$64,$E10,Master!AC$4:AC$64,"*A*")&gt;0,"A","")&amp;" - "&amp;COUNTIFS(Master!$AQ$4:$AQ$64,$E10,Master!AC$4:AC$64,"*"))</f>
        <v/>
      </c>
      <c r="Z10" s="188" t="str">
        <f>IF(COUNTIFS(Master!$AQ$4:$AQ$64,$E10,Master!AD$4:AD$64,"*")=0,"",IF(COUNTIFS(Master!$AQ$4:$AQ$64,$E10,Master!AD$4:AD$64,"*I*")&gt;0,"I","")&amp;IF(COUNTIFS(Master!$AQ$4:$AQ$64,$E10,Master!AD$4:AD$64,"*D*")&gt;0,"D","")&amp;IF(COUNTIFS(Master!$AQ$4:$AQ$64,$E10,Master!AD$4:AD$64,"*A*")&gt;0,"A","")&amp;" - "&amp;COUNTIFS(Master!$AQ$4:$AQ$64,$E10,Master!AD$4:AD$64,"*"))</f>
        <v/>
      </c>
      <c r="AA10" s="188" t="str">
        <f>IF(COUNTIFS(Master!$AQ$4:$AQ$64,$E10,Master!AE$4:AE$64,"*")=0,"",IF(COUNTIFS(Master!$AQ$4:$AQ$64,$E10,Master!AE$4:AE$64,"*I*")&gt;0,"I","")&amp;IF(COUNTIFS(Master!$AQ$4:$AQ$64,$E10,Master!AE$4:AE$64,"*D*")&gt;0,"D","")&amp;IF(COUNTIFS(Master!$AQ$4:$AQ$64,$E10,Master!AE$4:AE$64,"*A*")&gt;0,"A","")&amp;" - "&amp;COUNTIFS(Master!$AQ$4:$AQ$64,$E10,Master!AE$4:AE$64,"*"))</f>
        <v/>
      </c>
      <c r="AB10" s="188" t="str">
        <f>IF(COUNTIFS(Master!$AQ$4:$AQ$64,$E10,Master!AF$4:AF$64,"*")=0,"",IF(COUNTIFS(Master!$AQ$4:$AQ$64,$E10,Master!AF$4:AF$64,"*I*")&gt;0,"I","")&amp;IF(COUNTIFS(Master!$AQ$4:$AQ$64,$E10,Master!AF$4:AF$64,"*D*")&gt;0,"D","")&amp;IF(COUNTIFS(Master!$AQ$4:$AQ$64,$E10,Master!AF$4:AF$64,"*A*")&gt;0,"A","")&amp;" - "&amp;COUNTIFS(Master!$AQ$4:$AQ$64,$E10,Master!AF$4:AF$64,"*"))</f>
        <v/>
      </c>
      <c r="AC10" s="188" t="str">
        <f>IF(COUNTIFS(Master!$AQ$4:$AQ$64,$E10,Master!AG$4:AG$64,"*")=0,"",IF(COUNTIFS(Master!$AQ$4:$AQ$64,$E10,Master!AG$4:AG$64,"*I*")&gt;0,"I","")&amp;IF(COUNTIFS(Master!$AQ$4:$AQ$64,$E10,Master!AG$4:AG$64,"*D*")&gt;0,"D","")&amp;IF(COUNTIFS(Master!$AQ$4:$AQ$64,$E10,Master!AG$4:AG$64,"*A*")&gt;0,"A","")&amp;" - "&amp;COUNTIFS(Master!$AQ$4:$AQ$64,$E10,Master!AG$4:AG$64,"*"))</f>
        <v/>
      </c>
      <c r="AD10" s="188" t="str">
        <f>IF(COUNTIFS(Master!$AQ$4:$AQ$64,$E10,Master!AH$4:AH$64,"*")=0,"",IF(COUNTIFS(Master!$AQ$4:$AQ$64,$E10,Master!AH$4:AH$64,"*I*")&gt;0,"I","")&amp;IF(COUNTIFS(Master!$AQ$4:$AQ$64,$E10,Master!AH$4:AH$64,"*D*")&gt;0,"D","")&amp;IF(COUNTIFS(Master!$AQ$4:$AQ$64,$E10,Master!AH$4:AH$64,"*A*")&gt;0,"A","")&amp;" - "&amp;COUNTIFS(Master!$AQ$4:$AQ$64,$E10,Master!AH$4:AH$64,"*"))</f>
        <v/>
      </c>
      <c r="AE10" s="188" t="str">
        <f>IF(COUNTIFS(Master!$AQ$4:$AQ$64,$E10,Master!AI$4:AI$64,"*")=0,"",IF(COUNTIFS(Master!$AQ$4:$AQ$64,$E10,Master!AI$4:AI$64,"*I*")&gt;0,"I","")&amp;IF(COUNTIFS(Master!$AQ$4:$AQ$64,$E10,Master!AI$4:AI$64,"*D*")&gt;0,"D","")&amp;IF(COUNTIFS(Master!$AQ$4:$AQ$64,$E10,Master!AI$4:AI$64,"*A*")&gt;0,"A","")&amp;" - "&amp;COUNTIFS(Master!$AQ$4:$AQ$64,$E10,Master!AI$4:AI$64,"*"))</f>
        <v/>
      </c>
      <c r="AF10" s="188" t="str">
        <f>IF(COUNTIFS(Master!$AQ$4:$AQ$64,$E10,Master!AJ$4:AJ$64,"*")=0,"",IF(COUNTIFS(Master!$AQ$4:$AQ$64,$E10,Master!AJ$4:AJ$64,"*I*")&gt;0,"I","")&amp;IF(COUNTIFS(Master!$AQ$4:$AQ$64,$E10,Master!AJ$4:AJ$64,"*D*")&gt;0,"D","")&amp;IF(COUNTIFS(Master!$AQ$4:$AQ$64,$E10,Master!AJ$4:AJ$64,"*A*")&gt;0,"A","")&amp;" - "&amp;COUNTIFS(Master!$AQ$4:$AQ$64,$E10,Master!AJ$4:AJ$64,"*"))</f>
        <v/>
      </c>
      <c r="AG10" s="188" t="str">
        <f>IF(COUNTIFS(Master!$AQ$4:$AQ$64,$E10,Master!AK$4:AK$64,"*")=0,"",IF(COUNTIFS(Master!$AQ$4:$AQ$64,$E10,Master!AK$4:AK$64,"*I*")&gt;0,"I","")&amp;IF(COUNTIFS(Master!$AQ$4:$AQ$64,$E10,Master!AK$4:AK$64,"*D*")&gt;0,"D","")&amp;IF(COUNTIFS(Master!$AQ$4:$AQ$64,$E10,Master!AK$4:AK$64,"*A*")&gt;0,"A","")&amp;" - "&amp;COUNTIFS(Master!$AQ$4:$AQ$64,$E10,Master!AK$4:AK$64,"*"))</f>
        <v/>
      </c>
      <c r="AH10" s="188" t="str">
        <f>IF(COUNTIFS(Master!$AQ$4:$AQ$64,$E10,Master!AL$4:AL$64,"*")=0,"",IF(COUNTIFS(Master!$AQ$4:$AQ$64,$E10,Master!AL$4:AL$64,"*I*")&gt;0,"I","")&amp;IF(COUNTIFS(Master!$AQ$4:$AQ$64,$E10,Master!AL$4:AL$64,"*D*")&gt;0,"D","")&amp;IF(COUNTIFS(Master!$AQ$4:$AQ$64,$E10,Master!AL$4:AL$64,"*A*")&gt;0,"A","")&amp;" - "&amp;COUNTIFS(Master!$AQ$4:$AQ$64,$E10,Master!AL$4:AL$64,"*"))</f>
        <v/>
      </c>
      <c r="AI10" s="188" t="str">
        <f>IF(COUNTIFS(Master!$AQ$4:$AQ$64,$E10,Master!AM$4:AM$64,"*")=0,"",IF(COUNTIFS(Master!$AQ$4:$AQ$64,$E10,Master!AM$4:AM$64,"*I*")&gt;0,"I","")&amp;IF(COUNTIFS(Master!$AQ$4:$AQ$64,$E10,Master!AM$4:AM$64,"*D*")&gt;0,"D","")&amp;IF(COUNTIFS(Master!$AQ$4:$AQ$64,$E10,Master!AM$4:AM$64,"*A*")&gt;0,"A","")&amp;" - "&amp;COUNTIFS(Master!$AQ$4:$AQ$64,$E10,Master!AM$4:AM$64,"*"))</f>
        <v/>
      </c>
      <c r="AJ10" s="188" t="str">
        <f>IF(COUNTIFS(Master!$AQ$4:$AQ$64,$E10,Master!AN$4:AN$64,"*")=0,"",IF(COUNTIFS(Master!$AQ$4:$AQ$64,$E10,Master!AN$4:AN$64,"*I*")&gt;0,"I","")&amp;IF(COUNTIFS(Master!$AQ$4:$AQ$64,$E10,Master!AN$4:AN$64,"*D*")&gt;0,"D","")&amp;IF(COUNTIFS(Master!$AQ$4:$AQ$64,$E10,Master!AN$4:AN$64,"*A*")&gt;0,"A","")&amp;" - "&amp;COUNTIFS(Master!$AQ$4:$AQ$64,$E10,Master!AN$4:AN$64,"*"))</f>
        <v/>
      </c>
      <c r="AK10" s="189" t="str">
        <f>IF(COUNTIFS(Master!$AQ$4:$AQ$64,$E10,Master!AO$4:AO$64,"*")=0,"",IF(COUNTIFS(Master!$AQ$4:$AQ$64,$E10,Master!AO$4:AO$64,"*I*")&gt;0,"I","")&amp;IF(COUNTIFS(Master!$AQ$4:$AQ$64,$E10,Master!AO$4:AO$64,"*D*")&gt;0,"D","")&amp;IF(COUNTIFS(Master!$AQ$4:$AQ$64,$E10,Master!AO$4:AO$64,"*A*")&gt;0,"A","")&amp;" - "&amp;COUNTIFS(Master!$AQ$4:$AQ$64,$E10,Master!AO$4:AO$64,"*"))</f>
        <v/>
      </c>
      <c r="AO10" s="3" t="s">
        <v>743</v>
      </c>
      <c r="AP10" s="3" t="s">
        <v>744</v>
      </c>
      <c r="AR10" s="37" t="s">
        <v>133</v>
      </c>
      <c r="AS10" s="37" t="s">
        <v>596</v>
      </c>
      <c r="AT10" s="38" t="s">
        <v>32</v>
      </c>
      <c r="AU10" s="38" t="s">
        <v>72</v>
      </c>
      <c r="AV10" s="37" t="s">
        <v>26</v>
      </c>
    </row>
    <row r="11" spans="1:48" x14ac:dyDescent="0.2">
      <c r="A11" s="165" t="s">
        <v>514</v>
      </c>
      <c r="B11" s="166">
        <f>SUMIF(Master!$AR$4:$AR$64,A11,Master!$AT$4:$AT$64)</f>
        <v>0</v>
      </c>
      <c r="C11" s="167" t="str">
        <f>IF(COUNTIFS(Master!$AR$4:$AR$64,A11,Master!$AS$4:$AS$64,"*I*")&gt;0,"I","")&amp;IF(COUNTIFS(Master!$AR$4:$AR$64,A11,Master!$AS$4:$AS$64,"*D*")&gt;0,"D","")&amp;IF(COUNTIFS(Master!$AR$4:$AR$64,A11,Master!$AS$4:$AS$64,"*A*")&gt;0,"A","")</f>
        <v/>
      </c>
      <c r="E11" s="175" t="s">
        <v>483</v>
      </c>
      <c r="F11" s="188" t="str">
        <f>IF(COUNTIFS(Master!$AQ$4:$AQ$64,$E11,Master!J$4:J$64,"*")=0,"",IF(COUNTIFS(Master!$AQ$4:$AQ$64,$E11,Master!J$4:J$64,"*I*")&gt;0,"I","")&amp;IF(COUNTIFS(Master!$AQ$4:$AQ$64,$E11,Master!J$4:J$64,"*D*")&gt;0,"D","")&amp;IF(COUNTIFS(Master!$AQ$4:$AQ$64,$E11,Master!J$4:J$64,"*A*")&gt;0,"A","")&amp;" - "&amp;COUNTIFS(Master!$AQ$4:$AQ$64,$E11,Master!J$4:J$64,"*"))</f>
        <v/>
      </c>
      <c r="G11" s="188" t="str">
        <f>IF(COUNTIFS(Master!$AQ$4:$AQ$64,$E11,Master!K$4:K$64,"*")=0,"",IF(COUNTIFS(Master!$AQ$4:$AQ$64,$E11,Master!K$4:K$64,"*I*")&gt;0,"I","")&amp;IF(COUNTIFS(Master!$AQ$4:$AQ$64,$E11,Master!K$4:K$64,"*D*")&gt;0,"D","")&amp;IF(COUNTIFS(Master!$AQ$4:$AQ$64,$E11,Master!K$4:K$64,"*A*")&gt;0,"A","")&amp;" - "&amp;COUNTIFS(Master!$AQ$4:$AQ$64,$E11,Master!K$4:K$64,"*"))</f>
        <v/>
      </c>
      <c r="H11" s="188" t="str">
        <f>IF(COUNTIFS(Master!$AQ$4:$AQ$64,$E11,Master!L$4:L$64,"*")=0,"",IF(COUNTIFS(Master!$AQ$4:$AQ$64,$E11,Master!L$4:L$64,"*I*")&gt;0,"I","")&amp;IF(COUNTIFS(Master!$AQ$4:$AQ$64,$E11,Master!L$4:L$64,"*D*")&gt;0,"D","")&amp;IF(COUNTIFS(Master!$AQ$4:$AQ$64,$E11,Master!L$4:L$64,"*A*")&gt;0,"A","")&amp;" - "&amp;COUNTIFS(Master!$AQ$4:$AQ$64,$E11,Master!L$4:L$64,"*"))</f>
        <v/>
      </c>
      <c r="I11" s="188" t="str">
        <f>IF(COUNTIFS(Master!$AQ$4:$AQ$64,$E11,Master!M$4:M$64,"*")=0,"",IF(COUNTIFS(Master!$AQ$4:$AQ$64,$E11,Master!M$4:M$64,"*I*")&gt;0,"I","")&amp;IF(COUNTIFS(Master!$AQ$4:$AQ$64,$E11,Master!M$4:M$64,"*D*")&gt;0,"D","")&amp;IF(COUNTIFS(Master!$AQ$4:$AQ$64,$E11,Master!M$4:M$64,"*A*")&gt;0,"A","")&amp;" - "&amp;COUNTIFS(Master!$AQ$4:$AQ$64,$E11,Master!M$4:M$64,"*"))</f>
        <v/>
      </c>
      <c r="J11" s="188" t="str">
        <f>IF(COUNTIFS(Master!$AQ$4:$AQ$64,$E11,Master!N$4:N$64,"*")=0,"",IF(COUNTIFS(Master!$AQ$4:$AQ$64,$E11,Master!N$4:N$64,"*I*")&gt;0,"I","")&amp;IF(COUNTIFS(Master!$AQ$4:$AQ$64,$E11,Master!N$4:N$64,"*D*")&gt;0,"D","")&amp;IF(COUNTIFS(Master!$AQ$4:$AQ$64,$E11,Master!N$4:N$64,"*A*")&gt;0,"A","")&amp;" - "&amp;COUNTIFS(Master!$AQ$4:$AQ$64,$E11,Master!N$4:N$64,"*"))</f>
        <v/>
      </c>
      <c r="K11" s="188" t="str">
        <f>IF(COUNTIFS(Master!$AQ$4:$AQ$64,$E11,Master!O$4:O$64,"*")=0,"",IF(COUNTIFS(Master!$AQ$4:$AQ$64,$E11,Master!O$4:O$64,"*I*")&gt;0,"I","")&amp;IF(COUNTIFS(Master!$AQ$4:$AQ$64,$E11,Master!O$4:O$64,"*D*")&gt;0,"D","")&amp;IF(COUNTIFS(Master!$AQ$4:$AQ$64,$E11,Master!O$4:O$64,"*A*")&gt;0,"A","")&amp;" - "&amp;COUNTIFS(Master!$AQ$4:$AQ$64,$E11,Master!O$4:O$64,"*"))</f>
        <v/>
      </c>
      <c r="L11" s="188" t="str">
        <f>IF(COUNTIFS(Master!$AQ$4:$AQ$64,$E11,Master!P$4:P$64,"*")=0,"",IF(COUNTIFS(Master!$AQ$4:$AQ$64,$E11,Master!P$4:P$64,"*I*")&gt;0,"I","")&amp;IF(COUNTIFS(Master!$AQ$4:$AQ$64,$E11,Master!P$4:P$64,"*D*")&gt;0,"D","")&amp;IF(COUNTIFS(Master!$AQ$4:$AQ$64,$E11,Master!P$4:P$64,"*A*")&gt;0,"A","")&amp;" - "&amp;COUNTIFS(Master!$AQ$4:$AQ$64,$E11,Master!P$4:P$64,"*"))</f>
        <v/>
      </c>
      <c r="M11" s="188" t="str">
        <f>IF(COUNTIFS(Master!$AQ$4:$AQ$64,$E11,Master!Q$4:Q$64,"*")=0,"",IF(COUNTIFS(Master!$AQ$4:$AQ$64,$E11,Master!Q$4:Q$64,"*I*")&gt;0,"I","")&amp;IF(COUNTIFS(Master!$AQ$4:$AQ$64,$E11,Master!Q$4:Q$64,"*D*")&gt;0,"D","")&amp;IF(COUNTIFS(Master!$AQ$4:$AQ$64,$E11,Master!Q$4:Q$64,"*A*")&gt;0,"A","")&amp;" - "&amp;COUNTIFS(Master!$AQ$4:$AQ$64,$E11,Master!Q$4:Q$64,"*"))</f>
        <v/>
      </c>
      <c r="N11" s="188" t="str">
        <f>IF(COUNTIFS(Master!$AQ$4:$AQ$64,$E11,Master!R$4:R$64,"*")=0,"",IF(COUNTIFS(Master!$AQ$4:$AQ$64,$E11,Master!R$4:R$64,"*I*")&gt;0,"I","")&amp;IF(COUNTIFS(Master!$AQ$4:$AQ$64,$E11,Master!R$4:R$64,"*D*")&gt;0,"D","")&amp;IF(COUNTIFS(Master!$AQ$4:$AQ$64,$E11,Master!R$4:R$64,"*A*")&gt;0,"A","")&amp;" - "&amp;COUNTIFS(Master!$AQ$4:$AQ$64,$E11,Master!R$4:R$64,"*"))</f>
        <v/>
      </c>
      <c r="O11" s="188" t="str">
        <f>IF(COUNTIFS(Master!$AQ$4:$AQ$64,$E11,Master!S$4:S$64,"*")=0,"",IF(COUNTIFS(Master!$AQ$4:$AQ$64,$E11,Master!S$4:S$64,"*I*")&gt;0,"I","")&amp;IF(COUNTIFS(Master!$AQ$4:$AQ$64,$E11,Master!S$4:S$64,"*D*")&gt;0,"D","")&amp;IF(COUNTIFS(Master!$AQ$4:$AQ$64,$E11,Master!S$4:S$64,"*A*")&gt;0,"A","")&amp;" - "&amp;COUNTIFS(Master!$AQ$4:$AQ$64,$E11,Master!S$4:S$64,"*"))</f>
        <v/>
      </c>
      <c r="P11" s="188" t="str">
        <f>IF(COUNTIFS(Master!$AQ$4:$AQ$64,$E11,Master!T$4:T$64,"*")=0,"",IF(COUNTIFS(Master!$AQ$4:$AQ$64,$E11,Master!T$4:T$64,"*I*")&gt;0,"I","")&amp;IF(COUNTIFS(Master!$AQ$4:$AQ$64,$E11,Master!T$4:T$64,"*D*")&gt;0,"D","")&amp;IF(COUNTIFS(Master!$AQ$4:$AQ$64,$E11,Master!T$4:T$64,"*A*")&gt;0,"A","")&amp;" - "&amp;COUNTIFS(Master!$AQ$4:$AQ$64,$E11,Master!T$4:T$64,"*"))</f>
        <v/>
      </c>
      <c r="Q11" s="188" t="str">
        <f>IF(COUNTIFS(Master!$AQ$4:$AQ$64,$E11,Master!U$4:U$64,"*")=0,"",IF(COUNTIFS(Master!$AQ$4:$AQ$64,$E11,Master!U$4:U$64,"*I*")&gt;0,"I","")&amp;IF(COUNTIFS(Master!$AQ$4:$AQ$64,$E11,Master!U$4:U$64,"*D*")&gt;0,"D","")&amp;IF(COUNTIFS(Master!$AQ$4:$AQ$64,$E11,Master!U$4:U$64,"*A*")&gt;0,"A","")&amp;" - "&amp;COUNTIFS(Master!$AQ$4:$AQ$64,$E11,Master!U$4:U$64,"*"))</f>
        <v/>
      </c>
      <c r="R11" s="188" t="str">
        <f>IF(COUNTIFS(Master!$AQ$4:$AQ$64,$E11,Master!V$4:V$64,"*")=0,"",IF(COUNTIFS(Master!$AQ$4:$AQ$64,$E11,Master!V$4:V$64,"*I*")&gt;0,"I","")&amp;IF(COUNTIFS(Master!$AQ$4:$AQ$64,$E11,Master!V$4:V$64,"*D*")&gt;0,"D","")&amp;IF(COUNTIFS(Master!$AQ$4:$AQ$64,$E11,Master!V$4:V$64,"*A*")&gt;0,"A","")&amp;" - "&amp;COUNTIFS(Master!$AQ$4:$AQ$64,$E11,Master!V$4:V$64,"*"))</f>
        <v/>
      </c>
      <c r="S11" s="188" t="str">
        <f>IF(COUNTIFS(Master!$AQ$4:$AQ$64,$E11,Master!W$4:W$64,"*")=0,"",IF(COUNTIFS(Master!$AQ$4:$AQ$64,$E11,Master!W$4:W$64,"*I*")&gt;0,"I","")&amp;IF(COUNTIFS(Master!$AQ$4:$AQ$64,$E11,Master!W$4:W$64,"*D*")&gt;0,"D","")&amp;IF(COUNTIFS(Master!$AQ$4:$AQ$64,$E11,Master!W$4:W$64,"*A*")&gt;0,"A","")&amp;" - "&amp;COUNTIFS(Master!$AQ$4:$AQ$64,$E11,Master!W$4:W$64,"*"))</f>
        <v/>
      </c>
      <c r="T11" s="188" t="str">
        <f>IF(COUNTIFS(Master!$AQ$4:$AQ$64,$E11,Master!X$4:X$64,"*")=0,"",IF(COUNTIFS(Master!$AQ$4:$AQ$64,$E11,Master!X$4:X$64,"*I*")&gt;0,"I","")&amp;IF(COUNTIFS(Master!$AQ$4:$AQ$64,$E11,Master!X$4:X$64,"*D*")&gt;0,"D","")&amp;IF(COUNTIFS(Master!$AQ$4:$AQ$64,$E11,Master!X$4:X$64,"*A*")&gt;0,"A","")&amp;" - "&amp;COUNTIFS(Master!$AQ$4:$AQ$64,$E11,Master!X$4:X$64,"*"))</f>
        <v/>
      </c>
      <c r="U11" s="188" t="str">
        <f>IF(COUNTIFS(Master!$AQ$4:$AQ$64,$E11,Master!Y$4:Y$64,"*")=0,"",IF(COUNTIFS(Master!$AQ$4:$AQ$64,$E11,Master!Y$4:Y$64,"*I*")&gt;0,"I","")&amp;IF(COUNTIFS(Master!$AQ$4:$AQ$64,$E11,Master!Y$4:Y$64,"*D*")&gt;0,"D","")&amp;IF(COUNTIFS(Master!$AQ$4:$AQ$64,$E11,Master!Y$4:Y$64,"*A*")&gt;0,"A","")&amp;" - "&amp;COUNTIFS(Master!$AQ$4:$AQ$64,$E11,Master!Y$4:Y$64,"*"))</f>
        <v/>
      </c>
      <c r="V11" s="188" t="str">
        <f>IF(COUNTIFS(Master!$AQ$4:$AQ$64,$E11,Master!Z$4:Z$64,"*")=0,"",IF(COUNTIFS(Master!$AQ$4:$AQ$64,$E11,Master!Z$4:Z$64,"*I*")&gt;0,"I","")&amp;IF(COUNTIFS(Master!$AQ$4:$AQ$64,$E11,Master!Z$4:Z$64,"*D*")&gt;0,"D","")&amp;IF(COUNTIFS(Master!$AQ$4:$AQ$64,$E11,Master!Z$4:Z$64,"*A*")&gt;0,"A","")&amp;" - "&amp;COUNTIFS(Master!$AQ$4:$AQ$64,$E11,Master!Z$4:Z$64,"*"))</f>
        <v/>
      </c>
      <c r="W11" s="188" t="str">
        <f>IF(COUNTIFS(Master!$AQ$4:$AQ$64,$E11,Master!AA$4:AA$64,"*")=0,"",IF(COUNTIFS(Master!$AQ$4:$AQ$64,$E11,Master!AA$4:AA$64,"*I*")&gt;0,"I","")&amp;IF(COUNTIFS(Master!$AQ$4:$AQ$64,$E11,Master!AA$4:AA$64,"*D*")&gt;0,"D","")&amp;IF(COUNTIFS(Master!$AQ$4:$AQ$64,$E11,Master!AA$4:AA$64,"*A*")&gt;0,"A","")&amp;" - "&amp;COUNTIFS(Master!$AQ$4:$AQ$64,$E11,Master!AA$4:AA$64,"*"))</f>
        <v/>
      </c>
      <c r="X11" s="188" t="str">
        <f>IF(COUNTIFS(Master!$AQ$4:$AQ$64,$E11,Master!AB$4:AB$64,"*")=0,"",IF(COUNTIFS(Master!$AQ$4:$AQ$64,$E11,Master!AB$4:AB$64,"*I*")&gt;0,"I","")&amp;IF(COUNTIFS(Master!$AQ$4:$AQ$64,$E11,Master!AB$4:AB$64,"*D*")&gt;0,"D","")&amp;IF(COUNTIFS(Master!$AQ$4:$AQ$64,$E11,Master!AB$4:AB$64,"*A*")&gt;0,"A","")&amp;" - "&amp;COUNTIFS(Master!$AQ$4:$AQ$64,$E11,Master!AB$4:AB$64,"*"))</f>
        <v/>
      </c>
      <c r="Y11" s="188" t="str">
        <f>IF(COUNTIFS(Master!$AQ$4:$AQ$64,$E11,Master!AC$4:AC$64,"*")=0,"",IF(COUNTIFS(Master!$AQ$4:$AQ$64,$E11,Master!AC$4:AC$64,"*I*")&gt;0,"I","")&amp;IF(COUNTIFS(Master!$AQ$4:$AQ$64,$E11,Master!AC$4:AC$64,"*D*")&gt;0,"D","")&amp;IF(COUNTIFS(Master!$AQ$4:$AQ$64,$E11,Master!AC$4:AC$64,"*A*")&gt;0,"A","")&amp;" - "&amp;COUNTIFS(Master!$AQ$4:$AQ$64,$E11,Master!AC$4:AC$64,"*"))</f>
        <v/>
      </c>
      <c r="Z11" s="188" t="str">
        <f>IF(COUNTIFS(Master!$AQ$4:$AQ$64,$E11,Master!AD$4:AD$64,"*")=0,"",IF(COUNTIFS(Master!$AQ$4:$AQ$64,$E11,Master!AD$4:AD$64,"*I*")&gt;0,"I","")&amp;IF(COUNTIFS(Master!$AQ$4:$AQ$64,$E11,Master!AD$4:AD$64,"*D*")&gt;0,"D","")&amp;IF(COUNTIFS(Master!$AQ$4:$AQ$64,$E11,Master!AD$4:AD$64,"*A*")&gt;0,"A","")&amp;" - "&amp;COUNTIFS(Master!$AQ$4:$AQ$64,$E11,Master!AD$4:AD$64,"*"))</f>
        <v/>
      </c>
      <c r="AA11" s="188" t="str">
        <f>IF(COUNTIFS(Master!$AQ$4:$AQ$64,$E11,Master!AE$4:AE$64,"*")=0,"",IF(COUNTIFS(Master!$AQ$4:$AQ$64,$E11,Master!AE$4:AE$64,"*I*")&gt;0,"I","")&amp;IF(COUNTIFS(Master!$AQ$4:$AQ$64,$E11,Master!AE$4:AE$64,"*D*")&gt;0,"D","")&amp;IF(COUNTIFS(Master!$AQ$4:$AQ$64,$E11,Master!AE$4:AE$64,"*A*")&gt;0,"A","")&amp;" - "&amp;COUNTIFS(Master!$AQ$4:$AQ$64,$E11,Master!AE$4:AE$64,"*"))</f>
        <v/>
      </c>
      <c r="AB11" s="188" t="str">
        <f>IF(COUNTIFS(Master!$AQ$4:$AQ$64,$E11,Master!AF$4:AF$64,"*")=0,"",IF(COUNTIFS(Master!$AQ$4:$AQ$64,$E11,Master!AF$4:AF$64,"*I*")&gt;0,"I","")&amp;IF(COUNTIFS(Master!$AQ$4:$AQ$64,$E11,Master!AF$4:AF$64,"*D*")&gt;0,"D","")&amp;IF(COUNTIFS(Master!$AQ$4:$AQ$64,$E11,Master!AF$4:AF$64,"*A*")&gt;0,"A","")&amp;" - "&amp;COUNTIFS(Master!$AQ$4:$AQ$64,$E11,Master!AF$4:AF$64,"*"))</f>
        <v/>
      </c>
      <c r="AC11" s="188" t="str">
        <f>IF(COUNTIFS(Master!$AQ$4:$AQ$64,$E11,Master!AG$4:AG$64,"*")=0,"",IF(COUNTIFS(Master!$AQ$4:$AQ$64,$E11,Master!AG$4:AG$64,"*I*")&gt;0,"I","")&amp;IF(COUNTIFS(Master!$AQ$4:$AQ$64,$E11,Master!AG$4:AG$64,"*D*")&gt;0,"D","")&amp;IF(COUNTIFS(Master!$AQ$4:$AQ$64,$E11,Master!AG$4:AG$64,"*A*")&gt;0,"A","")&amp;" - "&amp;COUNTIFS(Master!$AQ$4:$AQ$64,$E11,Master!AG$4:AG$64,"*"))</f>
        <v/>
      </c>
      <c r="AD11" s="188" t="str">
        <f>IF(COUNTIFS(Master!$AQ$4:$AQ$64,$E11,Master!AH$4:AH$64,"*")=0,"",IF(COUNTIFS(Master!$AQ$4:$AQ$64,$E11,Master!AH$4:AH$64,"*I*")&gt;0,"I","")&amp;IF(COUNTIFS(Master!$AQ$4:$AQ$64,$E11,Master!AH$4:AH$64,"*D*")&gt;0,"D","")&amp;IF(COUNTIFS(Master!$AQ$4:$AQ$64,$E11,Master!AH$4:AH$64,"*A*")&gt;0,"A","")&amp;" - "&amp;COUNTIFS(Master!$AQ$4:$AQ$64,$E11,Master!AH$4:AH$64,"*"))</f>
        <v/>
      </c>
      <c r="AE11" s="188" t="str">
        <f>IF(COUNTIFS(Master!$AQ$4:$AQ$64,$E11,Master!AI$4:AI$64,"*")=0,"",IF(COUNTIFS(Master!$AQ$4:$AQ$64,$E11,Master!AI$4:AI$64,"*I*")&gt;0,"I","")&amp;IF(COUNTIFS(Master!$AQ$4:$AQ$64,$E11,Master!AI$4:AI$64,"*D*")&gt;0,"D","")&amp;IF(COUNTIFS(Master!$AQ$4:$AQ$64,$E11,Master!AI$4:AI$64,"*A*")&gt;0,"A","")&amp;" - "&amp;COUNTIFS(Master!$AQ$4:$AQ$64,$E11,Master!AI$4:AI$64,"*"))</f>
        <v/>
      </c>
      <c r="AF11" s="188" t="str">
        <f>IF(COUNTIFS(Master!$AQ$4:$AQ$64,$E11,Master!AJ$4:AJ$64,"*")=0,"",IF(COUNTIFS(Master!$AQ$4:$AQ$64,$E11,Master!AJ$4:AJ$64,"*I*")&gt;0,"I","")&amp;IF(COUNTIFS(Master!$AQ$4:$AQ$64,$E11,Master!AJ$4:AJ$64,"*D*")&gt;0,"D","")&amp;IF(COUNTIFS(Master!$AQ$4:$AQ$64,$E11,Master!AJ$4:AJ$64,"*A*")&gt;0,"A","")&amp;" - "&amp;COUNTIFS(Master!$AQ$4:$AQ$64,$E11,Master!AJ$4:AJ$64,"*"))</f>
        <v/>
      </c>
      <c r="AG11" s="188" t="str">
        <f>IF(COUNTIFS(Master!$AQ$4:$AQ$64,$E11,Master!AK$4:AK$64,"*")=0,"",IF(COUNTIFS(Master!$AQ$4:$AQ$64,$E11,Master!AK$4:AK$64,"*I*")&gt;0,"I","")&amp;IF(COUNTIFS(Master!$AQ$4:$AQ$64,$E11,Master!AK$4:AK$64,"*D*")&gt;0,"D","")&amp;IF(COUNTIFS(Master!$AQ$4:$AQ$64,$E11,Master!AK$4:AK$64,"*A*")&gt;0,"A","")&amp;" - "&amp;COUNTIFS(Master!$AQ$4:$AQ$64,$E11,Master!AK$4:AK$64,"*"))</f>
        <v/>
      </c>
      <c r="AH11" s="188" t="str">
        <f>IF(COUNTIFS(Master!$AQ$4:$AQ$64,$E11,Master!AL$4:AL$64,"*")=0,"",IF(COUNTIFS(Master!$AQ$4:$AQ$64,$E11,Master!AL$4:AL$64,"*I*")&gt;0,"I","")&amp;IF(COUNTIFS(Master!$AQ$4:$AQ$64,$E11,Master!AL$4:AL$64,"*D*")&gt;0,"D","")&amp;IF(COUNTIFS(Master!$AQ$4:$AQ$64,$E11,Master!AL$4:AL$64,"*A*")&gt;0,"A","")&amp;" - "&amp;COUNTIFS(Master!$AQ$4:$AQ$64,$E11,Master!AL$4:AL$64,"*"))</f>
        <v/>
      </c>
      <c r="AI11" s="188" t="str">
        <f>IF(COUNTIFS(Master!$AQ$4:$AQ$64,$E11,Master!AM$4:AM$64,"*")=0,"",IF(COUNTIFS(Master!$AQ$4:$AQ$64,$E11,Master!AM$4:AM$64,"*I*")&gt;0,"I","")&amp;IF(COUNTIFS(Master!$AQ$4:$AQ$64,$E11,Master!AM$4:AM$64,"*D*")&gt;0,"D","")&amp;IF(COUNTIFS(Master!$AQ$4:$AQ$64,$E11,Master!AM$4:AM$64,"*A*")&gt;0,"A","")&amp;" - "&amp;COUNTIFS(Master!$AQ$4:$AQ$64,$E11,Master!AM$4:AM$64,"*"))</f>
        <v/>
      </c>
      <c r="AJ11" s="188" t="str">
        <f>IF(COUNTIFS(Master!$AQ$4:$AQ$64,$E11,Master!AN$4:AN$64,"*")=0,"",IF(COUNTIFS(Master!$AQ$4:$AQ$64,$E11,Master!AN$4:AN$64,"*I*")&gt;0,"I","")&amp;IF(COUNTIFS(Master!$AQ$4:$AQ$64,$E11,Master!AN$4:AN$64,"*D*")&gt;0,"D","")&amp;IF(COUNTIFS(Master!$AQ$4:$AQ$64,$E11,Master!AN$4:AN$64,"*A*")&gt;0,"A","")&amp;" - "&amp;COUNTIFS(Master!$AQ$4:$AQ$64,$E11,Master!AN$4:AN$64,"*"))</f>
        <v/>
      </c>
      <c r="AK11" s="189" t="str">
        <f>IF(COUNTIFS(Master!$AQ$4:$AQ$64,$E11,Master!AO$4:AO$64,"*")=0,"",IF(COUNTIFS(Master!$AQ$4:$AQ$64,$E11,Master!AO$4:AO$64,"*I*")&gt;0,"I","")&amp;IF(COUNTIFS(Master!$AQ$4:$AQ$64,$E11,Master!AO$4:AO$64,"*D*")&gt;0,"D","")&amp;IF(COUNTIFS(Master!$AQ$4:$AQ$64,$E11,Master!AO$4:AO$64,"*A*")&gt;0,"A","")&amp;" - "&amp;COUNTIFS(Master!$AQ$4:$AQ$64,$E11,Master!AO$4:AO$64,"*"))</f>
        <v/>
      </c>
      <c r="AO11" s="3" t="s">
        <v>745</v>
      </c>
      <c r="AP11" s="3" t="s">
        <v>746</v>
      </c>
      <c r="AR11" s="37" t="s">
        <v>162</v>
      </c>
      <c r="AS11" s="37" t="s">
        <v>599</v>
      </c>
      <c r="AT11" s="38" t="s">
        <v>32</v>
      </c>
      <c r="AU11" s="38" t="s">
        <v>72</v>
      </c>
      <c r="AV11" s="37" t="s">
        <v>26</v>
      </c>
    </row>
    <row r="12" spans="1:48" x14ac:dyDescent="0.2">
      <c r="A12" s="165" t="s">
        <v>515</v>
      </c>
      <c r="B12" s="166">
        <f>SUMIF(Master!$AR$4:$AR$64,A12,Master!$AT$4:$AT$64)</f>
        <v>0</v>
      </c>
      <c r="C12" s="167" t="str">
        <f>IF(COUNTIFS(Master!$AR$4:$AR$64,A12,Master!$AS$4:$AS$64,"*I*")&gt;0,"I","")&amp;IF(COUNTIFS(Master!$AR$4:$AR$64,A12,Master!$AS$4:$AS$64,"*D*")&gt;0,"D","")&amp;IF(COUNTIFS(Master!$AR$4:$AR$64,A12,Master!$AS$4:$AS$64,"*A*")&gt;0,"A","")</f>
        <v/>
      </c>
      <c r="E12" s="175" t="s">
        <v>484</v>
      </c>
      <c r="F12" s="188" t="str">
        <f>IF(COUNTIFS(Master!$AQ$4:$AQ$64,$E12,Master!J$4:J$64,"*")=0,"",IF(COUNTIFS(Master!$AQ$4:$AQ$64,$E12,Master!J$4:J$64,"*I*")&gt;0,"I","")&amp;IF(COUNTIFS(Master!$AQ$4:$AQ$64,$E12,Master!J$4:J$64,"*D*")&gt;0,"D","")&amp;IF(COUNTIFS(Master!$AQ$4:$AQ$64,$E12,Master!J$4:J$64,"*A*")&gt;0,"A","")&amp;" - "&amp;COUNTIFS(Master!$AQ$4:$AQ$64,$E12,Master!J$4:J$64,"*"))</f>
        <v/>
      </c>
      <c r="G12" s="188" t="str">
        <f>IF(COUNTIFS(Master!$AQ$4:$AQ$64,$E12,Master!K$4:K$64,"*")=0,"",IF(COUNTIFS(Master!$AQ$4:$AQ$64,$E12,Master!K$4:K$64,"*I*")&gt;0,"I","")&amp;IF(COUNTIFS(Master!$AQ$4:$AQ$64,$E12,Master!K$4:K$64,"*D*")&gt;0,"D","")&amp;IF(COUNTIFS(Master!$AQ$4:$AQ$64,$E12,Master!K$4:K$64,"*A*")&gt;0,"A","")&amp;" - "&amp;COUNTIFS(Master!$AQ$4:$AQ$64,$E12,Master!K$4:K$64,"*"))</f>
        <v/>
      </c>
      <c r="H12" s="188" t="str">
        <f>IF(COUNTIFS(Master!$AQ$4:$AQ$64,$E12,Master!L$4:L$64,"*")=0,"",IF(COUNTIFS(Master!$AQ$4:$AQ$64,$E12,Master!L$4:L$64,"*I*")&gt;0,"I","")&amp;IF(COUNTIFS(Master!$AQ$4:$AQ$64,$E12,Master!L$4:L$64,"*D*")&gt;0,"D","")&amp;IF(COUNTIFS(Master!$AQ$4:$AQ$64,$E12,Master!L$4:L$64,"*A*")&gt;0,"A","")&amp;" - "&amp;COUNTIFS(Master!$AQ$4:$AQ$64,$E12,Master!L$4:L$64,"*"))</f>
        <v/>
      </c>
      <c r="I12" s="188" t="str">
        <f>IF(COUNTIFS(Master!$AQ$4:$AQ$64,$E12,Master!M$4:M$64,"*")=0,"",IF(COUNTIFS(Master!$AQ$4:$AQ$64,$E12,Master!M$4:M$64,"*I*")&gt;0,"I","")&amp;IF(COUNTIFS(Master!$AQ$4:$AQ$64,$E12,Master!M$4:M$64,"*D*")&gt;0,"D","")&amp;IF(COUNTIFS(Master!$AQ$4:$AQ$64,$E12,Master!M$4:M$64,"*A*")&gt;0,"A","")&amp;" - "&amp;COUNTIFS(Master!$AQ$4:$AQ$64,$E12,Master!M$4:M$64,"*"))</f>
        <v/>
      </c>
      <c r="J12" s="188" t="str">
        <f>IF(COUNTIFS(Master!$AQ$4:$AQ$64,$E12,Master!N$4:N$64,"*")=0,"",IF(COUNTIFS(Master!$AQ$4:$AQ$64,$E12,Master!N$4:N$64,"*I*")&gt;0,"I","")&amp;IF(COUNTIFS(Master!$AQ$4:$AQ$64,$E12,Master!N$4:N$64,"*D*")&gt;0,"D","")&amp;IF(COUNTIFS(Master!$AQ$4:$AQ$64,$E12,Master!N$4:N$64,"*A*")&gt;0,"A","")&amp;" - "&amp;COUNTIFS(Master!$AQ$4:$AQ$64,$E12,Master!N$4:N$64,"*"))</f>
        <v/>
      </c>
      <c r="K12" s="188" t="str">
        <f>IF(COUNTIFS(Master!$AQ$4:$AQ$64,$E12,Master!O$4:O$64,"*")=0,"",IF(COUNTIFS(Master!$AQ$4:$AQ$64,$E12,Master!O$4:O$64,"*I*")&gt;0,"I","")&amp;IF(COUNTIFS(Master!$AQ$4:$AQ$64,$E12,Master!O$4:O$64,"*D*")&gt;0,"D","")&amp;IF(COUNTIFS(Master!$AQ$4:$AQ$64,$E12,Master!O$4:O$64,"*A*")&gt;0,"A","")&amp;" - "&amp;COUNTIFS(Master!$AQ$4:$AQ$64,$E12,Master!O$4:O$64,"*"))</f>
        <v/>
      </c>
      <c r="L12" s="188" t="str">
        <f>IF(COUNTIFS(Master!$AQ$4:$AQ$64,$E12,Master!P$4:P$64,"*")=0,"",IF(COUNTIFS(Master!$AQ$4:$AQ$64,$E12,Master!P$4:P$64,"*I*")&gt;0,"I","")&amp;IF(COUNTIFS(Master!$AQ$4:$AQ$64,$E12,Master!P$4:P$64,"*D*")&gt;0,"D","")&amp;IF(COUNTIFS(Master!$AQ$4:$AQ$64,$E12,Master!P$4:P$64,"*A*")&gt;0,"A","")&amp;" - "&amp;COUNTIFS(Master!$AQ$4:$AQ$64,$E12,Master!P$4:P$64,"*"))</f>
        <v/>
      </c>
      <c r="M12" s="188" t="str">
        <f>IF(COUNTIFS(Master!$AQ$4:$AQ$64,$E12,Master!Q$4:Q$64,"*")=0,"",IF(COUNTIFS(Master!$AQ$4:$AQ$64,$E12,Master!Q$4:Q$64,"*I*")&gt;0,"I","")&amp;IF(COUNTIFS(Master!$AQ$4:$AQ$64,$E12,Master!Q$4:Q$64,"*D*")&gt;0,"D","")&amp;IF(COUNTIFS(Master!$AQ$4:$AQ$64,$E12,Master!Q$4:Q$64,"*A*")&gt;0,"A","")&amp;" - "&amp;COUNTIFS(Master!$AQ$4:$AQ$64,$E12,Master!Q$4:Q$64,"*"))</f>
        <v/>
      </c>
      <c r="N12" s="188" t="str">
        <f>IF(COUNTIFS(Master!$AQ$4:$AQ$64,$E12,Master!R$4:R$64,"*")=0,"",IF(COUNTIFS(Master!$AQ$4:$AQ$64,$E12,Master!R$4:R$64,"*I*")&gt;0,"I","")&amp;IF(COUNTIFS(Master!$AQ$4:$AQ$64,$E12,Master!R$4:R$64,"*D*")&gt;0,"D","")&amp;IF(COUNTIFS(Master!$AQ$4:$AQ$64,$E12,Master!R$4:R$64,"*A*")&gt;0,"A","")&amp;" - "&amp;COUNTIFS(Master!$AQ$4:$AQ$64,$E12,Master!R$4:R$64,"*"))</f>
        <v/>
      </c>
      <c r="O12" s="188" t="str">
        <f>IF(COUNTIFS(Master!$AQ$4:$AQ$64,$E12,Master!S$4:S$64,"*")=0,"",IF(COUNTIFS(Master!$AQ$4:$AQ$64,$E12,Master!S$4:S$64,"*I*")&gt;0,"I","")&amp;IF(COUNTIFS(Master!$AQ$4:$AQ$64,$E12,Master!S$4:S$64,"*D*")&gt;0,"D","")&amp;IF(COUNTIFS(Master!$AQ$4:$AQ$64,$E12,Master!S$4:S$64,"*A*")&gt;0,"A","")&amp;" - "&amp;COUNTIFS(Master!$AQ$4:$AQ$64,$E12,Master!S$4:S$64,"*"))</f>
        <v/>
      </c>
      <c r="P12" s="188" t="str">
        <f>IF(COUNTIFS(Master!$AQ$4:$AQ$64,$E12,Master!T$4:T$64,"*")=0,"",IF(COUNTIFS(Master!$AQ$4:$AQ$64,$E12,Master!T$4:T$64,"*I*")&gt;0,"I","")&amp;IF(COUNTIFS(Master!$AQ$4:$AQ$64,$E12,Master!T$4:T$64,"*D*")&gt;0,"D","")&amp;IF(COUNTIFS(Master!$AQ$4:$AQ$64,$E12,Master!T$4:T$64,"*A*")&gt;0,"A","")&amp;" - "&amp;COUNTIFS(Master!$AQ$4:$AQ$64,$E12,Master!T$4:T$64,"*"))</f>
        <v/>
      </c>
      <c r="Q12" s="188" t="str">
        <f>IF(COUNTIFS(Master!$AQ$4:$AQ$64,$E12,Master!U$4:U$64,"*")=0,"",IF(COUNTIFS(Master!$AQ$4:$AQ$64,$E12,Master!U$4:U$64,"*I*")&gt;0,"I","")&amp;IF(COUNTIFS(Master!$AQ$4:$AQ$64,$E12,Master!U$4:U$64,"*D*")&gt;0,"D","")&amp;IF(COUNTIFS(Master!$AQ$4:$AQ$64,$E12,Master!U$4:U$64,"*A*")&gt;0,"A","")&amp;" - "&amp;COUNTIFS(Master!$AQ$4:$AQ$64,$E12,Master!U$4:U$64,"*"))</f>
        <v/>
      </c>
      <c r="R12" s="188" t="str">
        <f>IF(COUNTIFS(Master!$AQ$4:$AQ$64,$E12,Master!V$4:V$64,"*")=0,"",IF(COUNTIFS(Master!$AQ$4:$AQ$64,$E12,Master!V$4:V$64,"*I*")&gt;0,"I","")&amp;IF(COUNTIFS(Master!$AQ$4:$AQ$64,$E12,Master!V$4:V$64,"*D*")&gt;0,"D","")&amp;IF(COUNTIFS(Master!$AQ$4:$AQ$64,$E12,Master!V$4:V$64,"*A*")&gt;0,"A","")&amp;" - "&amp;COUNTIFS(Master!$AQ$4:$AQ$64,$E12,Master!V$4:V$64,"*"))</f>
        <v/>
      </c>
      <c r="S12" s="188" t="str">
        <f>IF(COUNTIFS(Master!$AQ$4:$AQ$64,$E12,Master!W$4:W$64,"*")=0,"",IF(COUNTIFS(Master!$AQ$4:$AQ$64,$E12,Master!W$4:W$64,"*I*")&gt;0,"I","")&amp;IF(COUNTIFS(Master!$AQ$4:$AQ$64,$E12,Master!W$4:W$64,"*D*")&gt;0,"D","")&amp;IF(COUNTIFS(Master!$AQ$4:$AQ$64,$E12,Master!W$4:W$64,"*A*")&gt;0,"A","")&amp;" - "&amp;COUNTIFS(Master!$AQ$4:$AQ$64,$E12,Master!W$4:W$64,"*"))</f>
        <v/>
      </c>
      <c r="T12" s="188" t="str">
        <f>IF(COUNTIFS(Master!$AQ$4:$AQ$64,$E12,Master!X$4:X$64,"*")=0,"",IF(COUNTIFS(Master!$AQ$4:$AQ$64,$E12,Master!X$4:X$64,"*I*")&gt;0,"I","")&amp;IF(COUNTIFS(Master!$AQ$4:$AQ$64,$E12,Master!X$4:X$64,"*D*")&gt;0,"D","")&amp;IF(COUNTIFS(Master!$AQ$4:$AQ$64,$E12,Master!X$4:X$64,"*A*")&gt;0,"A","")&amp;" - "&amp;COUNTIFS(Master!$AQ$4:$AQ$64,$E12,Master!X$4:X$64,"*"))</f>
        <v/>
      </c>
      <c r="U12" s="188" t="str">
        <f>IF(COUNTIFS(Master!$AQ$4:$AQ$64,$E12,Master!Y$4:Y$64,"*")=0,"",IF(COUNTIFS(Master!$AQ$4:$AQ$64,$E12,Master!Y$4:Y$64,"*I*")&gt;0,"I","")&amp;IF(COUNTIFS(Master!$AQ$4:$AQ$64,$E12,Master!Y$4:Y$64,"*D*")&gt;0,"D","")&amp;IF(COUNTIFS(Master!$AQ$4:$AQ$64,$E12,Master!Y$4:Y$64,"*A*")&gt;0,"A","")&amp;" - "&amp;COUNTIFS(Master!$AQ$4:$AQ$64,$E12,Master!Y$4:Y$64,"*"))</f>
        <v/>
      </c>
      <c r="V12" s="188" t="str">
        <f>IF(COUNTIFS(Master!$AQ$4:$AQ$64,$E12,Master!Z$4:Z$64,"*")=0,"",IF(COUNTIFS(Master!$AQ$4:$AQ$64,$E12,Master!Z$4:Z$64,"*I*")&gt;0,"I","")&amp;IF(COUNTIFS(Master!$AQ$4:$AQ$64,$E12,Master!Z$4:Z$64,"*D*")&gt;0,"D","")&amp;IF(COUNTIFS(Master!$AQ$4:$AQ$64,$E12,Master!Z$4:Z$64,"*A*")&gt;0,"A","")&amp;" - "&amp;COUNTIFS(Master!$AQ$4:$AQ$64,$E12,Master!Z$4:Z$64,"*"))</f>
        <v/>
      </c>
      <c r="W12" s="188" t="str">
        <f>IF(COUNTIFS(Master!$AQ$4:$AQ$64,$E12,Master!AA$4:AA$64,"*")=0,"",IF(COUNTIFS(Master!$AQ$4:$AQ$64,$E12,Master!AA$4:AA$64,"*I*")&gt;0,"I","")&amp;IF(COUNTIFS(Master!$AQ$4:$AQ$64,$E12,Master!AA$4:AA$64,"*D*")&gt;0,"D","")&amp;IF(COUNTIFS(Master!$AQ$4:$AQ$64,$E12,Master!AA$4:AA$64,"*A*")&gt;0,"A","")&amp;" - "&amp;COUNTIFS(Master!$AQ$4:$AQ$64,$E12,Master!AA$4:AA$64,"*"))</f>
        <v/>
      </c>
      <c r="X12" s="188" t="str">
        <f>IF(COUNTIFS(Master!$AQ$4:$AQ$64,$E12,Master!AB$4:AB$64,"*")=0,"",IF(COUNTIFS(Master!$AQ$4:$AQ$64,$E12,Master!AB$4:AB$64,"*I*")&gt;0,"I","")&amp;IF(COUNTIFS(Master!$AQ$4:$AQ$64,$E12,Master!AB$4:AB$64,"*D*")&gt;0,"D","")&amp;IF(COUNTIFS(Master!$AQ$4:$AQ$64,$E12,Master!AB$4:AB$64,"*A*")&gt;0,"A","")&amp;" - "&amp;COUNTIFS(Master!$AQ$4:$AQ$64,$E12,Master!AB$4:AB$64,"*"))</f>
        <v/>
      </c>
      <c r="Y12" s="188" t="str">
        <f>IF(COUNTIFS(Master!$AQ$4:$AQ$64,$E12,Master!AC$4:AC$64,"*")=0,"",IF(COUNTIFS(Master!$AQ$4:$AQ$64,$E12,Master!AC$4:AC$64,"*I*")&gt;0,"I","")&amp;IF(COUNTIFS(Master!$AQ$4:$AQ$64,$E12,Master!AC$4:AC$64,"*D*")&gt;0,"D","")&amp;IF(COUNTIFS(Master!$AQ$4:$AQ$64,$E12,Master!AC$4:AC$64,"*A*")&gt;0,"A","")&amp;" - "&amp;COUNTIFS(Master!$AQ$4:$AQ$64,$E12,Master!AC$4:AC$64,"*"))</f>
        <v/>
      </c>
      <c r="Z12" s="188" t="str">
        <f>IF(COUNTIFS(Master!$AQ$4:$AQ$64,$E12,Master!AD$4:AD$64,"*")=0,"",IF(COUNTIFS(Master!$AQ$4:$AQ$64,$E12,Master!AD$4:AD$64,"*I*")&gt;0,"I","")&amp;IF(COUNTIFS(Master!$AQ$4:$AQ$64,$E12,Master!AD$4:AD$64,"*D*")&gt;0,"D","")&amp;IF(COUNTIFS(Master!$AQ$4:$AQ$64,$E12,Master!AD$4:AD$64,"*A*")&gt;0,"A","")&amp;" - "&amp;COUNTIFS(Master!$AQ$4:$AQ$64,$E12,Master!AD$4:AD$64,"*"))</f>
        <v/>
      </c>
      <c r="AA12" s="188" t="str">
        <f>IF(COUNTIFS(Master!$AQ$4:$AQ$64,$E12,Master!AE$4:AE$64,"*")=0,"",IF(COUNTIFS(Master!$AQ$4:$AQ$64,$E12,Master!AE$4:AE$64,"*I*")&gt;0,"I","")&amp;IF(COUNTIFS(Master!$AQ$4:$AQ$64,$E12,Master!AE$4:AE$64,"*D*")&gt;0,"D","")&amp;IF(COUNTIFS(Master!$AQ$4:$AQ$64,$E12,Master!AE$4:AE$64,"*A*")&gt;0,"A","")&amp;" - "&amp;COUNTIFS(Master!$AQ$4:$AQ$64,$E12,Master!AE$4:AE$64,"*"))</f>
        <v/>
      </c>
      <c r="AB12" s="188" t="str">
        <f>IF(COUNTIFS(Master!$AQ$4:$AQ$64,$E12,Master!AF$4:AF$64,"*")=0,"",IF(COUNTIFS(Master!$AQ$4:$AQ$64,$E12,Master!AF$4:AF$64,"*I*")&gt;0,"I","")&amp;IF(COUNTIFS(Master!$AQ$4:$AQ$64,$E12,Master!AF$4:AF$64,"*D*")&gt;0,"D","")&amp;IF(COUNTIFS(Master!$AQ$4:$AQ$64,$E12,Master!AF$4:AF$64,"*A*")&gt;0,"A","")&amp;" - "&amp;COUNTIFS(Master!$AQ$4:$AQ$64,$E12,Master!AF$4:AF$64,"*"))</f>
        <v/>
      </c>
      <c r="AC12" s="188" t="str">
        <f>IF(COUNTIFS(Master!$AQ$4:$AQ$64,$E12,Master!AG$4:AG$64,"*")=0,"",IF(COUNTIFS(Master!$AQ$4:$AQ$64,$E12,Master!AG$4:AG$64,"*I*")&gt;0,"I","")&amp;IF(COUNTIFS(Master!$AQ$4:$AQ$64,$E12,Master!AG$4:AG$64,"*D*")&gt;0,"D","")&amp;IF(COUNTIFS(Master!$AQ$4:$AQ$64,$E12,Master!AG$4:AG$64,"*A*")&gt;0,"A","")&amp;" - "&amp;COUNTIFS(Master!$AQ$4:$AQ$64,$E12,Master!AG$4:AG$64,"*"))</f>
        <v/>
      </c>
      <c r="AD12" s="188" t="str">
        <f>IF(COUNTIFS(Master!$AQ$4:$AQ$64,$E12,Master!AH$4:AH$64,"*")=0,"",IF(COUNTIFS(Master!$AQ$4:$AQ$64,$E12,Master!AH$4:AH$64,"*I*")&gt;0,"I","")&amp;IF(COUNTIFS(Master!$AQ$4:$AQ$64,$E12,Master!AH$4:AH$64,"*D*")&gt;0,"D","")&amp;IF(COUNTIFS(Master!$AQ$4:$AQ$64,$E12,Master!AH$4:AH$64,"*A*")&gt;0,"A","")&amp;" - "&amp;COUNTIFS(Master!$AQ$4:$AQ$64,$E12,Master!AH$4:AH$64,"*"))</f>
        <v/>
      </c>
      <c r="AE12" s="188" t="str">
        <f>IF(COUNTIFS(Master!$AQ$4:$AQ$64,$E12,Master!AI$4:AI$64,"*")=0,"",IF(COUNTIFS(Master!$AQ$4:$AQ$64,$E12,Master!AI$4:AI$64,"*I*")&gt;0,"I","")&amp;IF(COUNTIFS(Master!$AQ$4:$AQ$64,$E12,Master!AI$4:AI$64,"*D*")&gt;0,"D","")&amp;IF(COUNTIFS(Master!$AQ$4:$AQ$64,$E12,Master!AI$4:AI$64,"*A*")&gt;0,"A","")&amp;" - "&amp;COUNTIFS(Master!$AQ$4:$AQ$64,$E12,Master!AI$4:AI$64,"*"))</f>
        <v/>
      </c>
      <c r="AF12" s="188" t="str">
        <f>IF(COUNTIFS(Master!$AQ$4:$AQ$64,$E12,Master!AJ$4:AJ$64,"*")=0,"",IF(COUNTIFS(Master!$AQ$4:$AQ$64,$E12,Master!AJ$4:AJ$64,"*I*")&gt;0,"I","")&amp;IF(COUNTIFS(Master!$AQ$4:$AQ$64,$E12,Master!AJ$4:AJ$64,"*D*")&gt;0,"D","")&amp;IF(COUNTIFS(Master!$AQ$4:$AQ$64,$E12,Master!AJ$4:AJ$64,"*A*")&gt;0,"A","")&amp;" - "&amp;COUNTIFS(Master!$AQ$4:$AQ$64,$E12,Master!AJ$4:AJ$64,"*"))</f>
        <v/>
      </c>
      <c r="AG12" s="188" t="str">
        <f>IF(COUNTIFS(Master!$AQ$4:$AQ$64,$E12,Master!AK$4:AK$64,"*")=0,"",IF(COUNTIFS(Master!$AQ$4:$AQ$64,$E12,Master!AK$4:AK$64,"*I*")&gt;0,"I","")&amp;IF(COUNTIFS(Master!$AQ$4:$AQ$64,$E12,Master!AK$4:AK$64,"*D*")&gt;0,"D","")&amp;IF(COUNTIFS(Master!$AQ$4:$AQ$64,$E12,Master!AK$4:AK$64,"*A*")&gt;0,"A","")&amp;" - "&amp;COUNTIFS(Master!$AQ$4:$AQ$64,$E12,Master!AK$4:AK$64,"*"))</f>
        <v/>
      </c>
      <c r="AH12" s="188" t="str">
        <f>IF(COUNTIFS(Master!$AQ$4:$AQ$64,$E12,Master!AL$4:AL$64,"*")=0,"",IF(COUNTIFS(Master!$AQ$4:$AQ$64,$E12,Master!AL$4:AL$64,"*I*")&gt;0,"I","")&amp;IF(COUNTIFS(Master!$AQ$4:$AQ$64,$E12,Master!AL$4:AL$64,"*D*")&gt;0,"D","")&amp;IF(COUNTIFS(Master!$AQ$4:$AQ$64,$E12,Master!AL$4:AL$64,"*A*")&gt;0,"A","")&amp;" - "&amp;COUNTIFS(Master!$AQ$4:$AQ$64,$E12,Master!AL$4:AL$64,"*"))</f>
        <v/>
      </c>
      <c r="AI12" s="188" t="str">
        <f>IF(COUNTIFS(Master!$AQ$4:$AQ$64,$E12,Master!AM$4:AM$64,"*")=0,"",IF(COUNTIFS(Master!$AQ$4:$AQ$64,$E12,Master!AM$4:AM$64,"*I*")&gt;0,"I","")&amp;IF(COUNTIFS(Master!$AQ$4:$AQ$64,$E12,Master!AM$4:AM$64,"*D*")&gt;0,"D","")&amp;IF(COUNTIFS(Master!$AQ$4:$AQ$64,$E12,Master!AM$4:AM$64,"*A*")&gt;0,"A","")&amp;" - "&amp;COUNTIFS(Master!$AQ$4:$AQ$64,$E12,Master!AM$4:AM$64,"*"))</f>
        <v/>
      </c>
      <c r="AJ12" s="188" t="str">
        <f>IF(COUNTIFS(Master!$AQ$4:$AQ$64,$E12,Master!AN$4:AN$64,"*")=0,"",IF(COUNTIFS(Master!$AQ$4:$AQ$64,$E12,Master!AN$4:AN$64,"*I*")&gt;0,"I","")&amp;IF(COUNTIFS(Master!$AQ$4:$AQ$64,$E12,Master!AN$4:AN$64,"*D*")&gt;0,"D","")&amp;IF(COUNTIFS(Master!$AQ$4:$AQ$64,$E12,Master!AN$4:AN$64,"*A*")&gt;0,"A","")&amp;" - "&amp;COUNTIFS(Master!$AQ$4:$AQ$64,$E12,Master!AN$4:AN$64,"*"))</f>
        <v/>
      </c>
      <c r="AK12" s="189" t="str">
        <f>IF(COUNTIFS(Master!$AQ$4:$AQ$64,$E12,Master!AO$4:AO$64,"*")=0,"",IF(COUNTIFS(Master!$AQ$4:$AQ$64,$E12,Master!AO$4:AO$64,"*I*")&gt;0,"I","")&amp;IF(COUNTIFS(Master!$AQ$4:$AQ$64,$E12,Master!AO$4:AO$64,"*D*")&gt;0,"D","")&amp;IF(COUNTIFS(Master!$AQ$4:$AQ$64,$E12,Master!AO$4:AO$64,"*A*")&gt;0,"A","")&amp;" - "&amp;COUNTIFS(Master!$AQ$4:$AQ$64,$E12,Master!AO$4:AO$64,"*"))</f>
        <v/>
      </c>
      <c r="AM12" s="9" t="s">
        <v>969</v>
      </c>
      <c r="AO12" s="3" t="s">
        <v>747</v>
      </c>
      <c r="AP12" s="3" t="s">
        <v>748</v>
      </c>
      <c r="AR12" s="37" t="s">
        <v>242</v>
      </c>
      <c r="AS12" s="37" t="s">
        <v>601</v>
      </c>
      <c r="AT12" s="38" t="s">
        <v>32</v>
      </c>
      <c r="AU12" s="38" t="s">
        <v>72</v>
      </c>
      <c r="AV12" s="37" t="s">
        <v>26</v>
      </c>
    </row>
    <row r="13" spans="1:48" ht="16" thickBot="1" x14ac:dyDescent="0.25">
      <c r="A13" s="165" t="s">
        <v>516</v>
      </c>
      <c r="B13" s="166">
        <f>SUMIF(Master!$AR$4:$AR$64,A13,Master!$AT$4:$AT$64)</f>
        <v>0</v>
      </c>
      <c r="C13" s="167" t="str">
        <f>IF(COUNTIFS(Master!$AR$4:$AR$64,A13,Master!$AS$4:$AS$64,"*I*")&gt;0,"I","")&amp;IF(COUNTIFS(Master!$AR$4:$AR$64,A13,Master!$AS$4:$AS$64,"*D*")&gt;0,"D","")&amp;IF(COUNTIFS(Master!$AR$4:$AR$64,A13,Master!$AS$4:$AS$64,"*A*")&gt;0,"A","")</f>
        <v/>
      </c>
      <c r="E13" s="176" t="s">
        <v>554</v>
      </c>
      <c r="F13" s="190" t="str">
        <f>IF(COUNTIFS(Master!$AQ$4:$AQ$64,$E13,Master!J$4:J$64,"*")=0,"",IF(COUNTIFS(Master!$AQ$4:$AQ$64,$E13,Master!J$4:J$64,"*I*")&gt;0,"I","")&amp;IF(COUNTIFS(Master!$AQ$4:$AQ$64,$E13,Master!J$4:J$64,"*D*")&gt;0,"D","")&amp;IF(COUNTIFS(Master!$AQ$4:$AQ$64,$E13,Master!J$4:J$64,"*A*")&gt;0,"A","")&amp;" - "&amp;COUNTIFS(Master!$AQ$4:$AQ$64,$E13,Master!J$4:J$64,"*"))</f>
        <v/>
      </c>
      <c r="G13" s="190" t="str">
        <f>IF(COUNTIFS(Master!$AQ$4:$AQ$64,$E13,Master!K$4:K$64,"*")=0,"",IF(COUNTIFS(Master!$AQ$4:$AQ$64,$E13,Master!K$4:K$64,"*I*")&gt;0,"I","")&amp;IF(COUNTIFS(Master!$AQ$4:$AQ$64,$E13,Master!K$4:K$64,"*D*")&gt;0,"D","")&amp;IF(COUNTIFS(Master!$AQ$4:$AQ$64,$E13,Master!K$4:K$64,"*A*")&gt;0,"A","")&amp;" - "&amp;COUNTIFS(Master!$AQ$4:$AQ$64,$E13,Master!K$4:K$64,"*"))</f>
        <v/>
      </c>
      <c r="H13" s="190" t="str">
        <f>IF(COUNTIFS(Master!$AQ$4:$AQ$64,$E13,Master!L$4:L$64,"*")=0,"",IF(COUNTIFS(Master!$AQ$4:$AQ$64,$E13,Master!L$4:L$64,"*I*")&gt;0,"I","")&amp;IF(COUNTIFS(Master!$AQ$4:$AQ$64,$E13,Master!L$4:L$64,"*D*")&gt;0,"D","")&amp;IF(COUNTIFS(Master!$AQ$4:$AQ$64,$E13,Master!L$4:L$64,"*A*")&gt;0,"A","")&amp;" - "&amp;COUNTIFS(Master!$AQ$4:$AQ$64,$E13,Master!L$4:L$64,"*"))</f>
        <v/>
      </c>
      <c r="I13" s="190" t="str">
        <f>IF(COUNTIFS(Master!$AQ$4:$AQ$64,$E13,Master!M$4:M$64,"*")=0,"",IF(COUNTIFS(Master!$AQ$4:$AQ$64,$E13,Master!M$4:M$64,"*I*")&gt;0,"I","")&amp;IF(COUNTIFS(Master!$AQ$4:$AQ$64,$E13,Master!M$4:M$64,"*D*")&gt;0,"D","")&amp;IF(COUNTIFS(Master!$AQ$4:$AQ$64,$E13,Master!M$4:M$64,"*A*")&gt;0,"A","")&amp;" - "&amp;COUNTIFS(Master!$AQ$4:$AQ$64,$E13,Master!M$4:M$64,"*"))</f>
        <v/>
      </c>
      <c r="J13" s="190" t="str">
        <f>IF(COUNTIFS(Master!$AQ$4:$AQ$64,$E13,Master!N$4:N$64,"*")=0,"",IF(COUNTIFS(Master!$AQ$4:$AQ$64,$E13,Master!N$4:N$64,"*I*")&gt;0,"I","")&amp;IF(COUNTIFS(Master!$AQ$4:$AQ$64,$E13,Master!N$4:N$64,"*D*")&gt;0,"D","")&amp;IF(COUNTIFS(Master!$AQ$4:$AQ$64,$E13,Master!N$4:N$64,"*A*")&gt;0,"A","")&amp;" - "&amp;COUNTIFS(Master!$AQ$4:$AQ$64,$E13,Master!N$4:N$64,"*"))</f>
        <v/>
      </c>
      <c r="K13" s="190" t="str">
        <f>IF(COUNTIFS(Master!$AQ$4:$AQ$64,$E13,Master!O$4:O$64,"*")=0,"",IF(COUNTIFS(Master!$AQ$4:$AQ$64,$E13,Master!O$4:O$64,"*I*")&gt;0,"I","")&amp;IF(COUNTIFS(Master!$AQ$4:$AQ$64,$E13,Master!O$4:O$64,"*D*")&gt;0,"D","")&amp;IF(COUNTIFS(Master!$AQ$4:$AQ$64,$E13,Master!O$4:O$64,"*A*")&gt;0,"A","")&amp;" - "&amp;COUNTIFS(Master!$AQ$4:$AQ$64,$E13,Master!O$4:O$64,"*"))</f>
        <v/>
      </c>
      <c r="L13" s="190" t="str">
        <f>IF(COUNTIFS(Master!$AQ$4:$AQ$64,$E13,Master!P$4:P$64,"*")=0,"",IF(COUNTIFS(Master!$AQ$4:$AQ$64,$E13,Master!P$4:P$64,"*I*")&gt;0,"I","")&amp;IF(COUNTIFS(Master!$AQ$4:$AQ$64,$E13,Master!P$4:P$64,"*D*")&gt;0,"D","")&amp;IF(COUNTIFS(Master!$AQ$4:$AQ$64,$E13,Master!P$4:P$64,"*A*")&gt;0,"A","")&amp;" - "&amp;COUNTIFS(Master!$AQ$4:$AQ$64,$E13,Master!P$4:P$64,"*"))</f>
        <v/>
      </c>
      <c r="M13" s="190" t="str">
        <f>IF(COUNTIFS(Master!$AQ$4:$AQ$64,$E13,Master!Q$4:Q$64,"*")=0,"",IF(COUNTIFS(Master!$AQ$4:$AQ$64,$E13,Master!Q$4:Q$64,"*I*")&gt;0,"I","")&amp;IF(COUNTIFS(Master!$AQ$4:$AQ$64,$E13,Master!Q$4:Q$64,"*D*")&gt;0,"D","")&amp;IF(COUNTIFS(Master!$AQ$4:$AQ$64,$E13,Master!Q$4:Q$64,"*A*")&gt;0,"A","")&amp;" - "&amp;COUNTIFS(Master!$AQ$4:$AQ$64,$E13,Master!Q$4:Q$64,"*"))</f>
        <v/>
      </c>
      <c r="N13" s="190" t="str">
        <f>IF(COUNTIFS(Master!$AQ$4:$AQ$64,$E13,Master!R$4:R$64,"*")=0,"",IF(COUNTIFS(Master!$AQ$4:$AQ$64,$E13,Master!R$4:R$64,"*I*")&gt;0,"I","")&amp;IF(COUNTIFS(Master!$AQ$4:$AQ$64,$E13,Master!R$4:R$64,"*D*")&gt;0,"D","")&amp;IF(COUNTIFS(Master!$AQ$4:$AQ$64,$E13,Master!R$4:R$64,"*A*")&gt;0,"A","")&amp;" - "&amp;COUNTIFS(Master!$AQ$4:$AQ$64,$E13,Master!R$4:R$64,"*"))</f>
        <v/>
      </c>
      <c r="O13" s="190" t="str">
        <f>IF(COUNTIFS(Master!$AQ$4:$AQ$64,$E13,Master!S$4:S$64,"*")=0,"",IF(COUNTIFS(Master!$AQ$4:$AQ$64,$E13,Master!S$4:S$64,"*I*")&gt;0,"I","")&amp;IF(COUNTIFS(Master!$AQ$4:$AQ$64,$E13,Master!S$4:S$64,"*D*")&gt;0,"D","")&amp;IF(COUNTIFS(Master!$AQ$4:$AQ$64,$E13,Master!S$4:S$64,"*A*")&gt;0,"A","")&amp;" - "&amp;COUNTIFS(Master!$AQ$4:$AQ$64,$E13,Master!S$4:S$64,"*"))</f>
        <v/>
      </c>
      <c r="P13" s="190" t="str">
        <f>IF(COUNTIFS(Master!$AQ$4:$AQ$64,$E13,Master!T$4:T$64,"*")=0,"",IF(COUNTIFS(Master!$AQ$4:$AQ$64,$E13,Master!T$4:T$64,"*I*")&gt;0,"I","")&amp;IF(COUNTIFS(Master!$AQ$4:$AQ$64,$E13,Master!T$4:T$64,"*D*")&gt;0,"D","")&amp;IF(COUNTIFS(Master!$AQ$4:$AQ$64,$E13,Master!T$4:T$64,"*A*")&gt;0,"A","")&amp;" - "&amp;COUNTIFS(Master!$AQ$4:$AQ$64,$E13,Master!T$4:T$64,"*"))</f>
        <v/>
      </c>
      <c r="Q13" s="190" t="str">
        <f>IF(COUNTIFS(Master!$AQ$4:$AQ$64,$E13,Master!U$4:U$64,"*")=0,"",IF(COUNTIFS(Master!$AQ$4:$AQ$64,$E13,Master!U$4:U$64,"*I*")&gt;0,"I","")&amp;IF(COUNTIFS(Master!$AQ$4:$AQ$64,$E13,Master!U$4:U$64,"*D*")&gt;0,"D","")&amp;IF(COUNTIFS(Master!$AQ$4:$AQ$64,$E13,Master!U$4:U$64,"*A*")&gt;0,"A","")&amp;" - "&amp;COUNTIFS(Master!$AQ$4:$AQ$64,$E13,Master!U$4:U$64,"*"))</f>
        <v/>
      </c>
      <c r="R13" s="190" t="str">
        <f>IF(COUNTIFS(Master!$AQ$4:$AQ$64,$E13,Master!V$4:V$64,"*")=0,"",IF(COUNTIFS(Master!$AQ$4:$AQ$64,$E13,Master!V$4:V$64,"*I*")&gt;0,"I","")&amp;IF(COUNTIFS(Master!$AQ$4:$AQ$64,$E13,Master!V$4:V$64,"*D*")&gt;0,"D","")&amp;IF(COUNTIFS(Master!$AQ$4:$AQ$64,$E13,Master!V$4:V$64,"*A*")&gt;0,"A","")&amp;" - "&amp;COUNTIFS(Master!$AQ$4:$AQ$64,$E13,Master!V$4:V$64,"*"))</f>
        <v/>
      </c>
      <c r="S13" s="190" t="str">
        <f>IF(COUNTIFS(Master!$AQ$4:$AQ$64,$E13,Master!W$4:W$64,"*")=0,"",IF(COUNTIFS(Master!$AQ$4:$AQ$64,$E13,Master!W$4:W$64,"*I*")&gt;0,"I","")&amp;IF(COUNTIFS(Master!$AQ$4:$AQ$64,$E13,Master!W$4:W$64,"*D*")&gt;0,"D","")&amp;IF(COUNTIFS(Master!$AQ$4:$AQ$64,$E13,Master!W$4:W$64,"*A*")&gt;0,"A","")&amp;" - "&amp;COUNTIFS(Master!$AQ$4:$AQ$64,$E13,Master!W$4:W$64,"*"))</f>
        <v/>
      </c>
      <c r="T13" s="190" t="str">
        <f>IF(COUNTIFS(Master!$AQ$4:$AQ$64,$E13,Master!X$4:X$64,"*")=0,"",IF(COUNTIFS(Master!$AQ$4:$AQ$64,$E13,Master!X$4:X$64,"*I*")&gt;0,"I","")&amp;IF(COUNTIFS(Master!$AQ$4:$AQ$64,$E13,Master!X$4:X$64,"*D*")&gt;0,"D","")&amp;IF(COUNTIFS(Master!$AQ$4:$AQ$64,$E13,Master!X$4:X$64,"*A*")&gt;0,"A","")&amp;" - "&amp;COUNTIFS(Master!$AQ$4:$AQ$64,$E13,Master!X$4:X$64,"*"))</f>
        <v/>
      </c>
      <c r="U13" s="190" t="str">
        <f>IF(COUNTIFS(Master!$AQ$4:$AQ$64,$E13,Master!Y$4:Y$64,"*")=0,"",IF(COUNTIFS(Master!$AQ$4:$AQ$64,$E13,Master!Y$4:Y$64,"*I*")&gt;0,"I","")&amp;IF(COUNTIFS(Master!$AQ$4:$AQ$64,$E13,Master!Y$4:Y$64,"*D*")&gt;0,"D","")&amp;IF(COUNTIFS(Master!$AQ$4:$AQ$64,$E13,Master!Y$4:Y$64,"*A*")&gt;0,"A","")&amp;" - "&amp;COUNTIFS(Master!$AQ$4:$AQ$64,$E13,Master!Y$4:Y$64,"*"))</f>
        <v/>
      </c>
      <c r="V13" s="190" t="str">
        <f>IF(COUNTIFS(Master!$AQ$4:$AQ$64,$E13,Master!Z$4:Z$64,"*")=0,"",IF(COUNTIFS(Master!$AQ$4:$AQ$64,$E13,Master!Z$4:Z$64,"*I*")&gt;0,"I","")&amp;IF(COUNTIFS(Master!$AQ$4:$AQ$64,$E13,Master!Z$4:Z$64,"*D*")&gt;0,"D","")&amp;IF(COUNTIFS(Master!$AQ$4:$AQ$64,$E13,Master!Z$4:Z$64,"*A*")&gt;0,"A","")&amp;" - "&amp;COUNTIFS(Master!$AQ$4:$AQ$64,$E13,Master!Z$4:Z$64,"*"))</f>
        <v/>
      </c>
      <c r="W13" s="190" t="str">
        <f>IF(COUNTIFS(Master!$AQ$4:$AQ$64,$E13,Master!AA$4:AA$64,"*")=0,"",IF(COUNTIFS(Master!$AQ$4:$AQ$64,$E13,Master!AA$4:AA$64,"*I*")&gt;0,"I","")&amp;IF(COUNTIFS(Master!$AQ$4:$AQ$64,$E13,Master!AA$4:AA$64,"*D*")&gt;0,"D","")&amp;IF(COUNTIFS(Master!$AQ$4:$AQ$64,$E13,Master!AA$4:AA$64,"*A*")&gt;0,"A","")&amp;" - "&amp;COUNTIFS(Master!$AQ$4:$AQ$64,$E13,Master!AA$4:AA$64,"*"))</f>
        <v/>
      </c>
      <c r="X13" s="190" t="str">
        <f>IF(COUNTIFS(Master!$AQ$4:$AQ$64,$E13,Master!AB$4:AB$64,"*")=0,"",IF(COUNTIFS(Master!$AQ$4:$AQ$64,$E13,Master!AB$4:AB$64,"*I*")&gt;0,"I","")&amp;IF(COUNTIFS(Master!$AQ$4:$AQ$64,$E13,Master!AB$4:AB$64,"*D*")&gt;0,"D","")&amp;IF(COUNTIFS(Master!$AQ$4:$AQ$64,$E13,Master!AB$4:AB$64,"*A*")&gt;0,"A","")&amp;" - "&amp;COUNTIFS(Master!$AQ$4:$AQ$64,$E13,Master!AB$4:AB$64,"*"))</f>
        <v/>
      </c>
      <c r="Y13" s="190" t="str">
        <f>IF(COUNTIFS(Master!$AQ$4:$AQ$64,$E13,Master!AC$4:AC$64,"*")=0,"",IF(COUNTIFS(Master!$AQ$4:$AQ$64,$E13,Master!AC$4:AC$64,"*I*")&gt;0,"I","")&amp;IF(COUNTIFS(Master!$AQ$4:$AQ$64,$E13,Master!AC$4:AC$64,"*D*")&gt;0,"D","")&amp;IF(COUNTIFS(Master!$AQ$4:$AQ$64,$E13,Master!AC$4:AC$64,"*A*")&gt;0,"A","")&amp;" - "&amp;COUNTIFS(Master!$AQ$4:$AQ$64,$E13,Master!AC$4:AC$64,"*"))</f>
        <v/>
      </c>
      <c r="Z13" s="190" t="str">
        <f>IF(COUNTIFS(Master!$AQ$4:$AQ$64,$E13,Master!AD$4:AD$64,"*")=0,"",IF(COUNTIFS(Master!$AQ$4:$AQ$64,$E13,Master!AD$4:AD$64,"*I*")&gt;0,"I","")&amp;IF(COUNTIFS(Master!$AQ$4:$AQ$64,$E13,Master!AD$4:AD$64,"*D*")&gt;0,"D","")&amp;IF(COUNTIFS(Master!$AQ$4:$AQ$64,$E13,Master!AD$4:AD$64,"*A*")&gt;0,"A","")&amp;" - "&amp;COUNTIFS(Master!$AQ$4:$AQ$64,$E13,Master!AD$4:AD$64,"*"))</f>
        <v/>
      </c>
      <c r="AA13" s="190" t="str">
        <f>IF(COUNTIFS(Master!$AQ$4:$AQ$64,$E13,Master!AE$4:AE$64,"*")=0,"",IF(COUNTIFS(Master!$AQ$4:$AQ$64,$E13,Master!AE$4:AE$64,"*I*")&gt;0,"I","")&amp;IF(COUNTIFS(Master!$AQ$4:$AQ$64,$E13,Master!AE$4:AE$64,"*D*")&gt;0,"D","")&amp;IF(COUNTIFS(Master!$AQ$4:$AQ$64,$E13,Master!AE$4:AE$64,"*A*")&gt;0,"A","")&amp;" - "&amp;COUNTIFS(Master!$AQ$4:$AQ$64,$E13,Master!AE$4:AE$64,"*"))</f>
        <v/>
      </c>
      <c r="AB13" s="190" t="str">
        <f>IF(COUNTIFS(Master!$AQ$4:$AQ$64,$E13,Master!AF$4:AF$64,"*")=0,"",IF(COUNTIFS(Master!$AQ$4:$AQ$64,$E13,Master!AF$4:AF$64,"*I*")&gt;0,"I","")&amp;IF(COUNTIFS(Master!$AQ$4:$AQ$64,$E13,Master!AF$4:AF$64,"*D*")&gt;0,"D","")&amp;IF(COUNTIFS(Master!$AQ$4:$AQ$64,$E13,Master!AF$4:AF$64,"*A*")&gt;0,"A","")&amp;" - "&amp;COUNTIFS(Master!$AQ$4:$AQ$64,$E13,Master!AF$4:AF$64,"*"))</f>
        <v/>
      </c>
      <c r="AC13" s="190" t="str">
        <f>IF(COUNTIFS(Master!$AQ$4:$AQ$64,$E13,Master!AG$4:AG$64,"*")=0,"",IF(COUNTIFS(Master!$AQ$4:$AQ$64,$E13,Master!AG$4:AG$64,"*I*")&gt;0,"I","")&amp;IF(COUNTIFS(Master!$AQ$4:$AQ$64,$E13,Master!AG$4:AG$64,"*D*")&gt;0,"D","")&amp;IF(COUNTIFS(Master!$AQ$4:$AQ$64,$E13,Master!AG$4:AG$64,"*A*")&gt;0,"A","")&amp;" - "&amp;COUNTIFS(Master!$AQ$4:$AQ$64,$E13,Master!AG$4:AG$64,"*"))</f>
        <v/>
      </c>
      <c r="AD13" s="190" t="str">
        <f>IF(COUNTIFS(Master!$AQ$4:$AQ$64,$E13,Master!AH$4:AH$64,"*")=0,"",IF(COUNTIFS(Master!$AQ$4:$AQ$64,$E13,Master!AH$4:AH$64,"*I*")&gt;0,"I","")&amp;IF(COUNTIFS(Master!$AQ$4:$AQ$64,$E13,Master!AH$4:AH$64,"*D*")&gt;0,"D","")&amp;IF(COUNTIFS(Master!$AQ$4:$AQ$64,$E13,Master!AH$4:AH$64,"*A*")&gt;0,"A","")&amp;" - "&amp;COUNTIFS(Master!$AQ$4:$AQ$64,$E13,Master!AH$4:AH$64,"*"))</f>
        <v/>
      </c>
      <c r="AE13" s="190" t="str">
        <f>IF(COUNTIFS(Master!$AQ$4:$AQ$64,$E13,Master!AI$4:AI$64,"*")=0,"",IF(COUNTIFS(Master!$AQ$4:$AQ$64,$E13,Master!AI$4:AI$64,"*I*")&gt;0,"I","")&amp;IF(COUNTIFS(Master!$AQ$4:$AQ$64,$E13,Master!AI$4:AI$64,"*D*")&gt;0,"D","")&amp;IF(COUNTIFS(Master!$AQ$4:$AQ$64,$E13,Master!AI$4:AI$64,"*A*")&gt;0,"A","")&amp;" - "&amp;COUNTIFS(Master!$AQ$4:$AQ$64,$E13,Master!AI$4:AI$64,"*"))</f>
        <v/>
      </c>
      <c r="AF13" s="190" t="str">
        <f>IF(COUNTIFS(Master!$AQ$4:$AQ$64,$E13,Master!AJ$4:AJ$64,"*")=0,"",IF(COUNTIFS(Master!$AQ$4:$AQ$64,$E13,Master!AJ$4:AJ$64,"*I*")&gt;0,"I","")&amp;IF(COUNTIFS(Master!$AQ$4:$AQ$64,$E13,Master!AJ$4:AJ$64,"*D*")&gt;0,"D","")&amp;IF(COUNTIFS(Master!$AQ$4:$AQ$64,$E13,Master!AJ$4:AJ$64,"*A*")&gt;0,"A","")&amp;" - "&amp;COUNTIFS(Master!$AQ$4:$AQ$64,$E13,Master!AJ$4:AJ$64,"*"))</f>
        <v/>
      </c>
      <c r="AG13" s="190" t="str">
        <f>IF(COUNTIFS(Master!$AQ$4:$AQ$64,$E13,Master!AK$4:AK$64,"*")=0,"",IF(COUNTIFS(Master!$AQ$4:$AQ$64,$E13,Master!AK$4:AK$64,"*I*")&gt;0,"I","")&amp;IF(COUNTIFS(Master!$AQ$4:$AQ$64,$E13,Master!AK$4:AK$64,"*D*")&gt;0,"D","")&amp;IF(COUNTIFS(Master!$AQ$4:$AQ$64,$E13,Master!AK$4:AK$64,"*A*")&gt;0,"A","")&amp;" - "&amp;COUNTIFS(Master!$AQ$4:$AQ$64,$E13,Master!AK$4:AK$64,"*"))</f>
        <v/>
      </c>
      <c r="AH13" s="190" t="str">
        <f>IF(COUNTIFS(Master!$AQ$4:$AQ$64,$E13,Master!AL$4:AL$64,"*")=0,"",IF(COUNTIFS(Master!$AQ$4:$AQ$64,$E13,Master!AL$4:AL$64,"*I*")&gt;0,"I","")&amp;IF(COUNTIFS(Master!$AQ$4:$AQ$64,$E13,Master!AL$4:AL$64,"*D*")&gt;0,"D","")&amp;IF(COUNTIFS(Master!$AQ$4:$AQ$64,$E13,Master!AL$4:AL$64,"*A*")&gt;0,"A","")&amp;" - "&amp;COUNTIFS(Master!$AQ$4:$AQ$64,$E13,Master!AL$4:AL$64,"*"))</f>
        <v/>
      </c>
      <c r="AI13" s="190" t="str">
        <f>IF(COUNTIFS(Master!$AQ$4:$AQ$64,$E13,Master!AM$4:AM$64,"*")=0,"",IF(COUNTIFS(Master!$AQ$4:$AQ$64,$E13,Master!AM$4:AM$64,"*I*")&gt;0,"I","")&amp;IF(COUNTIFS(Master!$AQ$4:$AQ$64,$E13,Master!AM$4:AM$64,"*D*")&gt;0,"D","")&amp;IF(COUNTIFS(Master!$AQ$4:$AQ$64,$E13,Master!AM$4:AM$64,"*A*")&gt;0,"A","")&amp;" - "&amp;COUNTIFS(Master!$AQ$4:$AQ$64,$E13,Master!AM$4:AM$64,"*"))</f>
        <v/>
      </c>
      <c r="AJ13" s="190" t="str">
        <f>IF(COUNTIFS(Master!$AQ$4:$AQ$64,$E13,Master!AN$4:AN$64,"*")=0,"",IF(COUNTIFS(Master!$AQ$4:$AQ$64,$E13,Master!AN$4:AN$64,"*I*")&gt;0,"I","")&amp;IF(COUNTIFS(Master!$AQ$4:$AQ$64,$E13,Master!AN$4:AN$64,"*D*")&gt;0,"D","")&amp;IF(COUNTIFS(Master!$AQ$4:$AQ$64,$E13,Master!AN$4:AN$64,"*A*")&gt;0,"A","")&amp;" - "&amp;COUNTIFS(Master!$AQ$4:$AQ$64,$E13,Master!AN$4:AN$64,"*"))</f>
        <v/>
      </c>
      <c r="AK13" s="191" t="str">
        <f>IF(COUNTIFS(Master!$AQ$4:$AQ$64,$E13,Master!AO$4:AO$64,"*")=0,"",IF(COUNTIFS(Master!$AQ$4:$AQ$64,$E13,Master!AO$4:AO$64,"*I*")&gt;0,"I","")&amp;IF(COUNTIFS(Master!$AQ$4:$AQ$64,$E13,Master!AO$4:AO$64,"*D*")&gt;0,"D","")&amp;IF(COUNTIFS(Master!$AQ$4:$AQ$64,$E13,Master!AO$4:AO$64,"*A*")&gt;0,"A","")&amp;" - "&amp;COUNTIFS(Master!$AQ$4:$AQ$64,$E13,Master!AO$4:AO$64,"*"))</f>
        <v/>
      </c>
      <c r="AM13" s="9" t="s">
        <v>970</v>
      </c>
      <c r="AO13" s="21" t="s">
        <v>749</v>
      </c>
      <c r="AP13" s="21" t="s">
        <v>750</v>
      </c>
      <c r="AR13" s="37" t="s">
        <v>337</v>
      </c>
      <c r="AS13" s="37" t="s">
        <v>604</v>
      </c>
      <c r="AT13" s="38" t="s">
        <v>32</v>
      </c>
      <c r="AU13" s="38" t="s">
        <v>72</v>
      </c>
      <c r="AV13" s="37" t="s">
        <v>26</v>
      </c>
    </row>
    <row r="14" spans="1:48" x14ac:dyDescent="0.2">
      <c r="A14" s="165" t="s">
        <v>517</v>
      </c>
      <c r="B14" s="166">
        <f>SUMIF(Master!$AR$4:$AR$64,A14,Master!$AT$4:$AT$64)</f>
        <v>0</v>
      </c>
      <c r="C14" s="167" t="str">
        <f>IF(COUNTIFS(Master!$AR$4:$AR$64,A14,Master!$AS$4:$AS$64,"*I*")&gt;0,"I","")&amp;IF(COUNTIFS(Master!$AR$4:$AR$64,A14,Master!$AS$4:$AS$64,"*D*")&gt;0,"D","")&amp;IF(COUNTIFS(Master!$AR$4:$AR$64,A14,Master!$AS$4:$AS$64,"*A*")&gt;0,"A","")</f>
        <v/>
      </c>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M14" s="9" t="s">
        <v>971</v>
      </c>
      <c r="AO14" s="3" t="s">
        <v>751</v>
      </c>
      <c r="AP14" s="3" t="s">
        <v>752</v>
      </c>
      <c r="AR14" s="37" t="s">
        <v>607</v>
      </c>
      <c r="AS14" s="39" t="s">
        <v>588</v>
      </c>
      <c r="AT14" s="39" t="s">
        <v>588</v>
      </c>
      <c r="AU14" s="38" t="s">
        <v>38</v>
      </c>
      <c r="AV14" s="37" t="s">
        <v>858</v>
      </c>
    </row>
    <row r="15" spans="1:48" ht="17" thickBot="1" x14ac:dyDescent="0.25">
      <c r="A15" s="165" t="s">
        <v>518</v>
      </c>
      <c r="B15" s="166">
        <f>SUMIF(Master!$AR$4:$AR$64,A15,Master!$AT$4:$AT$64)</f>
        <v>0</v>
      </c>
      <c r="C15" s="167" t="str">
        <f>IF(COUNTIFS(Master!$AR$4:$AR$64,A15,Master!$AS$4:$AS$64,"*I*")&gt;0,"I","")&amp;IF(COUNTIFS(Master!$AR$4:$AR$64,A15,Master!$AS$4:$AS$64,"*D*")&gt;0,"D","")&amp;IF(COUNTIFS(Master!$AR$4:$AR$64,A15,Master!$AS$4:$AS$64,"*A*")&gt;0,"A","")</f>
        <v/>
      </c>
      <c r="E15" s="3"/>
      <c r="F15" s="155" t="s">
        <v>1004</v>
      </c>
      <c r="G15" s="3"/>
      <c r="H15" s="3"/>
      <c r="I15" s="3"/>
      <c r="J15" s="3"/>
      <c r="K15" s="3"/>
      <c r="L15" s="3"/>
      <c r="AM15" s="177" t="s">
        <v>972</v>
      </c>
      <c r="AO15" s="21" t="s">
        <v>753</v>
      </c>
      <c r="AP15" s="21" t="s">
        <v>754</v>
      </c>
      <c r="AR15" s="37" t="s">
        <v>211</v>
      </c>
      <c r="AS15" s="37" t="s">
        <v>610</v>
      </c>
      <c r="AT15" s="38" t="s">
        <v>32</v>
      </c>
      <c r="AU15" s="38" t="s">
        <v>38</v>
      </c>
      <c r="AV15" s="37" t="s">
        <v>858</v>
      </c>
    </row>
    <row r="16" spans="1:48" ht="16" thickBot="1" x14ac:dyDescent="0.25">
      <c r="A16" s="165" t="s">
        <v>520</v>
      </c>
      <c r="B16" s="166">
        <f>SUMIF(Master!$AR$4:$AR$64,A16,Master!$AT$4:$AT$64)</f>
        <v>0</v>
      </c>
      <c r="C16" s="167" t="str">
        <f>IF(COUNTIFS(Master!$AR$4:$AR$64,A16,Master!$AS$4:$AS$64,"*I*")&gt;0,"I","")&amp;IF(COUNTIFS(Master!$AR$4:$AR$64,A16,Master!$AS$4:$AS$64,"*D*")&gt;0,"D","")&amp;IF(COUNTIFS(Master!$AR$4:$AR$64,A16,Master!$AS$4:$AS$64,"*A*")&gt;0,"A","")</f>
        <v/>
      </c>
      <c r="E16" s="150" t="s">
        <v>980</v>
      </c>
      <c r="F16" s="151" t="s">
        <v>969</v>
      </c>
      <c r="G16" s="152" t="s">
        <v>970</v>
      </c>
      <c r="H16" s="152" t="s">
        <v>971</v>
      </c>
      <c r="I16" s="152" t="s">
        <v>972</v>
      </c>
      <c r="J16" s="152" t="s">
        <v>973</v>
      </c>
      <c r="K16" s="153" t="s">
        <v>974</v>
      </c>
      <c r="L16" s="154" t="s">
        <v>975</v>
      </c>
      <c r="M16" s="154" t="s">
        <v>1007</v>
      </c>
      <c r="AM16" s="177" t="s">
        <v>973</v>
      </c>
      <c r="AO16" s="3" t="s">
        <v>755</v>
      </c>
      <c r="AP16" s="3" t="s">
        <v>756</v>
      </c>
      <c r="AR16" s="37" t="s">
        <v>613</v>
      </c>
      <c r="AS16" s="37" t="s">
        <v>614</v>
      </c>
      <c r="AT16" s="38" t="s">
        <v>32</v>
      </c>
      <c r="AU16" s="38" t="s">
        <v>38</v>
      </c>
      <c r="AV16" s="37" t="s">
        <v>858</v>
      </c>
    </row>
    <row r="17" spans="1:48" x14ac:dyDescent="0.2">
      <c r="A17" s="165" t="s">
        <v>524</v>
      </c>
      <c r="B17" s="166">
        <f>SUMIF(Master!$AR$4:$AR$64,A17,Master!$AT$4:$AT$64)</f>
        <v>0</v>
      </c>
      <c r="C17" s="167" t="str">
        <f>IF(COUNTIFS(Master!$AR$4:$AR$64,A17,Master!$AS$4:$AS$64,"*I*")&gt;0,"I","")&amp;IF(COUNTIFS(Master!$AR$4:$AR$64,A17,Master!$AS$4:$AS$64,"*D*")&gt;0,"D","")&amp;IF(COUNTIFS(Master!$AR$4:$AR$64,A17,Master!$AS$4:$AS$64,"*A*")&gt;0,"A","")</f>
        <v/>
      </c>
      <c r="E17" s="147" t="s">
        <v>478</v>
      </c>
      <c r="F17" s="196">
        <f>SUMIFS(Master!AX$3:AX$64,Master!$AQ$3:$AQ$64,$E17)</f>
        <v>6</v>
      </c>
      <c r="G17" s="197">
        <f>SUMIFS(Master!AY$3:AY$64,Master!$AQ$3:$AQ$64,$E17)</f>
        <v>2</v>
      </c>
      <c r="H17" s="197">
        <f>SUMIFS(Master!AZ$3:AZ$64,Master!$AQ$3:$AQ$64,$E17)</f>
        <v>1</v>
      </c>
      <c r="I17" s="197">
        <f>SUMIFS(Master!BA$3:BA$64,Master!$AQ$3:$AQ$64,$E17)</f>
        <v>0</v>
      </c>
      <c r="J17" s="197">
        <f>SUMIFS(Master!BB$3:BB$64,Master!$AQ$3:$AQ$64,$E17)</f>
        <v>0</v>
      </c>
      <c r="K17" s="197">
        <f>SUMIFS(Master!BC$3:BC$64,Master!$AQ$3:$AQ$64,$E17)</f>
        <v>1</v>
      </c>
      <c r="L17" s="198">
        <f>SUMIFS(Master!BD$3:BD$64,Master!$AQ$3:$AQ$64,$E17)</f>
        <v>0</v>
      </c>
      <c r="M17" s="198">
        <f>SUM(F17:L17)</f>
        <v>10</v>
      </c>
      <c r="AM17" s="177" t="s">
        <v>974</v>
      </c>
      <c r="AO17" s="3" t="s">
        <v>757</v>
      </c>
      <c r="AP17" s="3" t="s">
        <v>758</v>
      </c>
      <c r="AR17" s="37" t="s">
        <v>617</v>
      </c>
      <c r="AS17" s="37" t="s">
        <v>618</v>
      </c>
      <c r="AT17" s="38" t="s">
        <v>32</v>
      </c>
      <c r="AU17" s="38" t="s">
        <v>38</v>
      </c>
      <c r="AV17" s="37" t="s">
        <v>858</v>
      </c>
    </row>
    <row r="18" spans="1:48" x14ac:dyDescent="0.2">
      <c r="A18" s="165" t="s">
        <v>526</v>
      </c>
      <c r="B18" s="166">
        <f>SUMIF(Master!$AR$4:$AR$64,A18,Master!$AT$4:$AT$64)</f>
        <v>0</v>
      </c>
      <c r="C18" s="167" t="str">
        <f>IF(COUNTIFS(Master!$AR$4:$AR$64,A18,Master!$AS$4:$AS$64,"*I*")&gt;0,"I","")&amp;IF(COUNTIFS(Master!$AR$4:$AR$64,A18,Master!$AS$4:$AS$64,"*D*")&gt;0,"D","")&amp;IF(COUNTIFS(Master!$AR$4:$AR$64,A18,Master!$AS$4:$AS$64,"*A*")&gt;0,"A","")</f>
        <v/>
      </c>
      <c r="E18" s="148" t="s">
        <v>40</v>
      </c>
      <c r="F18" s="199">
        <f>SUMIFS(Master!AX$3:AX$64,Master!$AQ$3:$AQ$64,$E18)</f>
        <v>2</v>
      </c>
      <c r="G18" s="200">
        <f>SUMIFS(Master!AY$3:AY$64,Master!$AQ$3:$AQ$64,$E18)</f>
        <v>1</v>
      </c>
      <c r="H18" s="200">
        <f>SUMIFS(Master!AZ$3:AZ$64,Master!$AQ$3:$AQ$64,$E18)</f>
        <v>1</v>
      </c>
      <c r="I18" s="200">
        <f>SUMIFS(Master!BA$3:BA$64,Master!$AQ$3:$AQ$64,$E18)</f>
        <v>0</v>
      </c>
      <c r="J18" s="200">
        <f>SUMIFS(Master!BB$3:BB$64,Master!$AQ$3:$AQ$64,$E18)</f>
        <v>0</v>
      </c>
      <c r="K18" s="200">
        <f>SUMIFS(Master!BC$3:BC$64,Master!$AQ$3:$AQ$64,$E18)</f>
        <v>0</v>
      </c>
      <c r="L18" s="201">
        <f>SUMIFS(Master!BD$3:BD$64,Master!$AQ$3:$AQ$64,$E18)</f>
        <v>0</v>
      </c>
      <c r="M18" s="201">
        <f t="shared" ref="M18:M28" si="0">SUM(F18:L18)</f>
        <v>4</v>
      </c>
      <c r="AM18" s="177" t="s">
        <v>975</v>
      </c>
      <c r="AO18" s="3" t="s">
        <v>759</v>
      </c>
      <c r="AP18" s="3" t="s">
        <v>760</v>
      </c>
      <c r="AR18" s="37" t="s">
        <v>165</v>
      </c>
      <c r="AS18" s="37" t="s">
        <v>621</v>
      </c>
      <c r="AT18" s="38" t="s">
        <v>32</v>
      </c>
      <c r="AU18" s="38" t="s">
        <v>38</v>
      </c>
      <c r="AV18" s="37" t="s">
        <v>858</v>
      </c>
    </row>
    <row r="19" spans="1:48" x14ac:dyDescent="0.2">
      <c r="A19" s="165" t="s">
        <v>527</v>
      </c>
      <c r="B19" s="166">
        <f>SUMIF(Master!$AR$4:$AR$64,A19,Master!$AT$4:$AT$64)</f>
        <v>0</v>
      </c>
      <c r="C19" s="167" t="str">
        <f>IF(COUNTIFS(Master!$AR$4:$AR$64,A19,Master!$AS$4:$AS$64,"*I*")&gt;0,"I","")&amp;IF(COUNTIFS(Master!$AR$4:$AR$64,A19,Master!$AS$4:$AS$64,"*D*")&gt;0,"D","")&amp;IF(COUNTIFS(Master!$AR$4:$AR$64,A19,Master!$AS$4:$AS$64,"*A*")&gt;0,"A","")</f>
        <v/>
      </c>
      <c r="E19" s="148" t="s">
        <v>41</v>
      </c>
      <c r="F19" s="199">
        <f>SUMIFS(Master!AX$3:AX$64,Master!$AQ$3:$AQ$64,$E19)</f>
        <v>0</v>
      </c>
      <c r="G19" s="200">
        <f>SUMIFS(Master!AY$3:AY$64,Master!$AQ$3:$AQ$64,$E19)</f>
        <v>0</v>
      </c>
      <c r="H19" s="200">
        <f>SUMIFS(Master!AZ$3:AZ$64,Master!$AQ$3:$AQ$64,$E19)</f>
        <v>0</v>
      </c>
      <c r="I19" s="200">
        <f>SUMIFS(Master!BA$3:BA$64,Master!$AQ$3:$AQ$64,$E19)</f>
        <v>0</v>
      </c>
      <c r="J19" s="200">
        <f>SUMIFS(Master!BB$3:BB$64,Master!$AQ$3:$AQ$64,$E19)</f>
        <v>0</v>
      </c>
      <c r="K19" s="200">
        <f>SUMIFS(Master!BC$3:BC$64,Master!$AQ$3:$AQ$64,$E19)</f>
        <v>0</v>
      </c>
      <c r="L19" s="201">
        <f>SUMIFS(Master!BD$3:BD$64,Master!$AQ$3:$AQ$64,$E19)</f>
        <v>0</v>
      </c>
      <c r="M19" s="201">
        <f t="shared" si="0"/>
        <v>0</v>
      </c>
      <c r="AO19" s="21" t="s">
        <v>761</v>
      </c>
      <c r="AP19" s="3" t="s">
        <v>762</v>
      </c>
      <c r="AR19" s="37" t="s">
        <v>166</v>
      </c>
      <c r="AS19" s="37" t="s">
        <v>624</v>
      </c>
      <c r="AT19" s="38" t="s">
        <v>32</v>
      </c>
      <c r="AU19" s="38" t="s">
        <v>38</v>
      </c>
      <c r="AV19" s="37" t="s">
        <v>858</v>
      </c>
    </row>
    <row r="20" spans="1:48" x14ac:dyDescent="0.2">
      <c r="A20" s="165" t="s">
        <v>530</v>
      </c>
      <c r="B20" s="166">
        <f>SUMIF(Master!$AR$4:$AR$64,A20,Master!$AT$4:$AT$64)</f>
        <v>0</v>
      </c>
      <c r="C20" s="167" t="str">
        <f>IF(COUNTIFS(Master!$AR$4:$AR$64,A20,Master!$AS$4:$AS$64,"*I*")&gt;0,"I","")&amp;IF(COUNTIFS(Master!$AR$4:$AR$64,A20,Master!$AS$4:$AS$64,"*D*")&gt;0,"D","")&amp;IF(COUNTIFS(Master!$AR$4:$AR$64,A20,Master!$AS$4:$AS$64,"*A*")&gt;0,"A","")</f>
        <v/>
      </c>
      <c r="E20" s="148" t="s">
        <v>42</v>
      </c>
      <c r="F20" s="199">
        <f>SUMIFS(Master!AX$3:AX$64,Master!$AQ$3:$AQ$64,$E20)</f>
        <v>0</v>
      </c>
      <c r="G20" s="200">
        <f>SUMIFS(Master!AY$3:AY$64,Master!$AQ$3:$AQ$64,$E20)</f>
        <v>0</v>
      </c>
      <c r="H20" s="200">
        <f>SUMIFS(Master!AZ$3:AZ$64,Master!$AQ$3:$AQ$64,$E20)</f>
        <v>0</v>
      </c>
      <c r="I20" s="200">
        <f>SUMIFS(Master!BA$3:BA$64,Master!$AQ$3:$AQ$64,$E20)</f>
        <v>0</v>
      </c>
      <c r="J20" s="200">
        <f>SUMIFS(Master!BB$3:BB$64,Master!$AQ$3:$AQ$64,$E20)</f>
        <v>0</v>
      </c>
      <c r="K20" s="200">
        <f>SUMIFS(Master!BC$3:BC$64,Master!$AQ$3:$AQ$64,$E20)</f>
        <v>0</v>
      </c>
      <c r="L20" s="201">
        <f>SUMIFS(Master!BD$3:BD$64,Master!$AQ$3:$AQ$64,$E20)</f>
        <v>0</v>
      </c>
      <c r="M20" s="201">
        <f t="shared" si="0"/>
        <v>0</v>
      </c>
      <c r="AO20" s="3" t="s">
        <v>763</v>
      </c>
      <c r="AP20" s="3" t="s">
        <v>764</v>
      </c>
      <c r="AR20" s="37" t="s">
        <v>627</v>
      </c>
      <c r="AS20" s="39" t="s">
        <v>588</v>
      </c>
      <c r="AT20" s="39" t="s">
        <v>588</v>
      </c>
      <c r="AU20" s="38" t="s">
        <v>75</v>
      </c>
      <c r="AV20" s="37" t="s">
        <v>857</v>
      </c>
    </row>
    <row r="21" spans="1:48" x14ac:dyDescent="0.2">
      <c r="A21" s="165" t="s">
        <v>528</v>
      </c>
      <c r="B21" s="166">
        <f>SUMIF(Master!$AR$4:$AR$64,A21,Master!$AT$4:$AT$64)</f>
        <v>0</v>
      </c>
      <c r="C21" s="167" t="str">
        <f>IF(COUNTIFS(Master!$AR$4:$AR$64,A21,Master!$AS$4:$AS$64,"*I*")&gt;0,"I","")&amp;IF(COUNTIFS(Master!$AR$4:$AR$64,A21,Master!$AS$4:$AS$64,"*D*")&gt;0,"D","")&amp;IF(COUNTIFS(Master!$AR$4:$AR$64,A21,Master!$AS$4:$AS$64,"*A*")&gt;0,"A","")</f>
        <v/>
      </c>
      <c r="E21" s="148" t="s">
        <v>479</v>
      </c>
      <c r="F21" s="199">
        <f>SUMIFS(Master!AX$3:AX$64,Master!$AQ$3:$AQ$64,$E21)</f>
        <v>0</v>
      </c>
      <c r="G21" s="200">
        <f>SUMIFS(Master!AY$3:AY$64,Master!$AQ$3:$AQ$64,$E21)</f>
        <v>0</v>
      </c>
      <c r="H21" s="200">
        <f>SUMIFS(Master!AZ$3:AZ$64,Master!$AQ$3:$AQ$64,$E21)</f>
        <v>0</v>
      </c>
      <c r="I21" s="200">
        <f>SUMIFS(Master!BA$3:BA$64,Master!$AQ$3:$AQ$64,$E21)</f>
        <v>0</v>
      </c>
      <c r="J21" s="200">
        <f>SUMIFS(Master!BB$3:BB$64,Master!$AQ$3:$AQ$64,$E21)</f>
        <v>0</v>
      </c>
      <c r="K21" s="200">
        <f>SUMIFS(Master!BC$3:BC$64,Master!$AQ$3:$AQ$64,$E21)</f>
        <v>0</v>
      </c>
      <c r="L21" s="201">
        <f>SUMIFS(Master!BD$3:BD$64,Master!$AQ$3:$AQ$64,$E21)</f>
        <v>0</v>
      </c>
      <c r="M21" s="201">
        <f t="shared" si="0"/>
        <v>0</v>
      </c>
      <c r="AO21" s="3" t="s">
        <v>765</v>
      </c>
      <c r="AP21" s="3" t="s">
        <v>766</v>
      </c>
      <c r="AR21" s="37" t="s">
        <v>73</v>
      </c>
      <c r="AS21" s="37" t="s">
        <v>630</v>
      </c>
      <c r="AT21" s="38" t="s">
        <v>32</v>
      </c>
      <c r="AU21" s="38" t="s">
        <v>75</v>
      </c>
      <c r="AV21" s="37" t="s">
        <v>857</v>
      </c>
    </row>
    <row r="22" spans="1:48" x14ac:dyDescent="0.2">
      <c r="A22" s="165" t="s">
        <v>542</v>
      </c>
      <c r="B22" s="166">
        <f>SUMIF(Master!$AR$4:$AR$64,A22,Master!$AT$4:$AT$64)</f>
        <v>0</v>
      </c>
      <c r="C22" s="167" t="str">
        <f>IF(COUNTIFS(Master!$AR$4:$AR$64,A22,Master!$AS$4:$AS$64,"*I*")&gt;0,"I","")&amp;IF(COUNTIFS(Master!$AR$4:$AR$64,A22,Master!$AS$4:$AS$64,"*D*")&gt;0,"D","")&amp;IF(COUNTIFS(Master!$AR$4:$AR$64,A22,Master!$AS$4:$AS$64,"*A*")&gt;0,"A","")</f>
        <v/>
      </c>
      <c r="E22" s="148" t="s">
        <v>480</v>
      </c>
      <c r="F22" s="199">
        <f>SUMIFS(Master!AX$3:AX$64,Master!$AQ$3:$AQ$64,$E22)</f>
        <v>0</v>
      </c>
      <c r="G22" s="200">
        <f>SUMIFS(Master!AY$3:AY$64,Master!$AQ$3:$AQ$64,$E22)</f>
        <v>0</v>
      </c>
      <c r="H22" s="200">
        <f>SUMIFS(Master!AZ$3:AZ$64,Master!$AQ$3:$AQ$64,$E22)</f>
        <v>0</v>
      </c>
      <c r="I22" s="200">
        <f>SUMIFS(Master!BA$3:BA$64,Master!$AQ$3:$AQ$64,$E22)</f>
        <v>0</v>
      </c>
      <c r="J22" s="200">
        <f>SUMIFS(Master!BB$3:BB$64,Master!$AQ$3:$AQ$64,$E22)</f>
        <v>0</v>
      </c>
      <c r="K22" s="200">
        <f>SUMIFS(Master!BC$3:BC$64,Master!$AQ$3:$AQ$64,$E22)</f>
        <v>0</v>
      </c>
      <c r="L22" s="201">
        <f>SUMIFS(Master!BD$3:BD$64,Master!$AQ$3:$AQ$64,$E22)</f>
        <v>0</v>
      </c>
      <c r="M22" s="201">
        <f t="shared" si="0"/>
        <v>0</v>
      </c>
      <c r="AO22" s="3" t="s">
        <v>767</v>
      </c>
      <c r="AP22" s="3" t="s">
        <v>768</v>
      </c>
      <c r="AR22" s="37" t="s">
        <v>273</v>
      </c>
      <c r="AS22" s="37" t="s">
        <v>633</v>
      </c>
      <c r="AT22" s="38" t="s">
        <v>32</v>
      </c>
      <c r="AU22" s="38" t="s">
        <v>75</v>
      </c>
      <c r="AV22" s="37" t="s">
        <v>857</v>
      </c>
    </row>
    <row r="23" spans="1:48" x14ac:dyDescent="0.2">
      <c r="A23" s="165" t="s">
        <v>545</v>
      </c>
      <c r="B23" s="166">
        <f>SUMIF(Master!$AR$4:$AR$64,A23,Master!$AT$4:$AT$64)</f>
        <v>0</v>
      </c>
      <c r="C23" s="167" t="str">
        <f>IF(COUNTIFS(Master!$AR$4:$AR$64,A23,Master!$AS$4:$AS$64,"*I*")&gt;0,"I","")&amp;IF(COUNTIFS(Master!$AR$4:$AR$64,A23,Master!$AS$4:$AS$64,"*D*")&gt;0,"D","")&amp;IF(COUNTIFS(Master!$AR$4:$AR$64,A23,Master!$AS$4:$AS$64,"*A*")&gt;0,"A","")</f>
        <v/>
      </c>
      <c r="E23" s="148" t="s">
        <v>481</v>
      </c>
      <c r="F23" s="199">
        <f>SUMIFS(Master!AX$3:AX$64,Master!$AQ$3:$AQ$64,$E23)</f>
        <v>0</v>
      </c>
      <c r="G23" s="200">
        <f>SUMIFS(Master!AY$3:AY$64,Master!$AQ$3:$AQ$64,$E23)</f>
        <v>0</v>
      </c>
      <c r="H23" s="200">
        <f>SUMIFS(Master!AZ$3:AZ$64,Master!$AQ$3:$AQ$64,$E23)</f>
        <v>0</v>
      </c>
      <c r="I23" s="200">
        <f>SUMIFS(Master!BA$3:BA$64,Master!$AQ$3:$AQ$64,$E23)</f>
        <v>0</v>
      </c>
      <c r="J23" s="200">
        <f>SUMIFS(Master!BB$3:BB$64,Master!$AQ$3:$AQ$64,$E23)</f>
        <v>0</v>
      </c>
      <c r="K23" s="200">
        <f>SUMIFS(Master!BC$3:BC$64,Master!$AQ$3:$AQ$64,$E23)</f>
        <v>0</v>
      </c>
      <c r="L23" s="201">
        <f>SUMIFS(Master!BD$3:BD$64,Master!$AQ$3:$AQ$64,$E23)</f>
        <v>0</v>
      </c>
      <c r="M23" s="201">
        <f t="shared" si="0"/>
        <v>0</v>
      </c>
      <c r="AO23" s="3" t="s">
        <v>769</v>
      </c>
      <c r="AP23" s="3" t="s">
        <v>770</v>
      </c>
      <c r="AR23" s="37" t="s">
        <v>163</v>
      </c>
      <c r="AS23" s="37" t="s">
        <v>636</v>
      </c>
      <c r="AT23" s="38" t="s">
        <v>32</v>
      </c>
      <c r="AU23" s="38" t="s">
        <v>75</v>
      </c>
      <c r="AV23" s="37" t="s">
        <v>857</v>
      </c>
    </row>
    <row r="24" spans="1:48" x14ac:dyDescent="0.2">
      <c r="A24" s="165" t="s">
        <v>932</v>
      </c>
      <c r="B24" s="166">
        <f>SUMIF(Master!$AR$4:$AR$64,A24,Master!$AT$4:$AT$64)</f>
        <v>0</v>
      </c>
      <c r="C24" s="167" t="str">
        <f>IF(COUNTIFS(Master!$AR$4:$AR$64,A24,Master!$AS$4:$AS$64,"*I*")&gt;0,"I","")&amp;IF(COUNTIFS(Master!$AR$4:$AR$64,A24,Master!$AS$4:$AS$64,"*D*")&gt;0,"D","")&amp;IF(COUNTIFS(Master!$AR$4:$AR$64,A24,Master!$AS$4:$AS$64,"*A*")&gt;0,"A","")</f>
        <v/>
      </c>
      <c r="E24" s="148" t="s">
        <v>43</v>
      </c>
      <c r="F24" s="199">
        <f>SUMIFS(Master!AX$3:AX$64,Master!$AQ$3:$AQ$64,$E24)</f>
        <v>0</v>
      </c>
      <c r="G24" s="200">
        <f>SUMIFS(Master!AY$3:AY$64,Master!$AQ$3:$AQ$64,$E24)</f>
        <v>0</v>
      </c>
      <c r="H24" s="200">
        <f>SUMIFS(Master!AZ$3:AZ$64,Master!$AQ$3:$AQ$64,$E24)</f>
        <v>0</v>
      </c>
      <c r="I24" s="200">
        <f>SUMIFS(Master!BA$3:BA$64,Master!$AQ$3:$AQ$64,$E24)</f>
        <v>0</v>
      </c>
      <c r="J24" s="200">
        <f>SUMIFS(Master!BB$3:BB$64,Master!$AQ$3:$AQ$64,$E24)</f>
        <v>0</v>
      </c>
      <c r="K24" s="200">
        <f>SUMIFS(Master!BC$3:BC$64,Master!$AQ$3:$AQ$64,$E24)</f>
        <v>0</v>
      </c>
      <c r="L24" s="201">
        <f>SUMIFS(Master!BD$3:BD$64,Master!$AQ$3:$AQ$64,$E24)</f>
        <v>0</v>
      </c>
      <c r="M24" s="201">
        <f t="shared" si="0"/>
        <v>0</v>
      </c>
      <c r="AO24" s="21" t="s">
        <v>771</v>
      </c>
      <c r="AP24" s="3" t="s">
        <v>772</v>
      </c>
      <c r="AR24" s="37" t="s">
        <v>173</v>
      </c>
      <c r="AS24" s="37" t="s">
        <v>639</v>
      </c>
      <c r="AT24" s="38" t="s">
        <v>32</v>
      </c>
      <c r="AU24" s="38" t="s">
        <v>75</v>
      </c>
      <c r="AV24" s="37" t="s">
        <v>857</v>
      </c>
    </row>
    <row r="25" spans="1:48" x14ac:dyDescent="0.2">
      <c r="A25" s="165" t="s">
        <v>511</v>
      </c>
      <c r="B25" s="166">
        <f>SUMIF(Master!$AR$4:$AR$64,A25,Master!$AT$4:$AT$64)</f>
        <v>0</v>
      </c>
      <c r="C25" s="167" t="str">
        <f>IF(COUNTIFS(Master!$AR$4:$AR$64,A25,Master!$AS$4:$AS$64,"*I*")&gt;0,"I","")&amp;IF(COUNTIFS(Master!$AR$4:$AR$64,A25,Master!$AS$4:$AS$64,"*D*")&gt;0,"D","")&amp;IF(COUNTIFS(Master!$AR$4:$AR$64,A25,Master!$AS$4:$AS$64,"*A*")&gt;0,"A","")</f>
        <v/>
      </c>
      <c r="E25" s="148" t="s">
        <v>979</v>
      </c>
      <c r="F25" s="199">
        <f>SUMIFS(Master!AX$3:AX$64,Master!$AQ$3:$AQ$64,$E25)</f>
        <v>0</v>
      </c>
      <c r="G25" s="200">
        <f>SUMIFS(Master!AY$3:AY$64,Master!$AQ$3:$AQ$64,$E25)</f>
        <v>0</v>
      </c>
      <c r="H25" s="200">
        <f>SUMIFS(Master!AZ$3:AZ$64,Master!$AQ$3:$AQ$64,$E25)</f>
        <v>0</v>
      </c>
      <c r="I25" s="200">
        <f>SUMIFS(Master!BA$3:BA$64,Master!$AQ$3:$AQ$64,$E25)</f>
        <v>0</v>
      </c>
      <c r="J25" s="200">
        <f>SUMIFS(Master!BB$3:BB$64,Master!$AQ$3:$AQ$64,$E25)</f>
        <v>0</v>
      </c>
      <c r="K25" s="200">
        <f>SUMIFS(Master!BC$3:BC$64,Master!$AQ$3:$AQ$64,$E25)</f>
        <v>0</v>
      </c>
      <c r="L25" s="201">
        <f>SUMIFS(Master!BD$3:BD$64,Master!$AQ$3:$AQ$64,$E25)</f>
        <v>0</v>
      </c>
      <c r="M25" s="201">
        <f t="shared" si="0"/>
        <v>0</v>
      </c>
      <c r="AO25" s="21" t="s">
        <v>773</v>
      </c>
      <c r="AP25" s="21" t="s">
        <v>774</v>
      </c>
      <c r="AR25" s="37" t="s">
        <v>81</v>
      </c>
      <c r="AS25" s="37" t="s">
        <v>642</v>
      </c>
      <c r="AT25" s="38" t="s">
        <v>32</v>
      </c>
      <c r="AU25" s="38" t="s">
        <v>75</v>
      </c>
      <c r="AV25" s="37" t="s">
        <v>857</v>
      </c>
    </row>
    <row r="26" spans="1:48" x14ac:dyDescent="0.2">
      <c r="A26" s="165" t="s">
        <v>935</v>
      </c>
      <c r="B26" s="166">
        <f>SUMIF(Master!$AR$4:$AR$64,A26,Master!$AT$4:$AT$64)</f>
        <v>0</v>
      </c>
      <c r="C26" s="167" t="str">
        <f>IF(COUNTIFS(Master!$AR$4:$AR$64,A26,Master!$AS$4:$AS$64,"*I*")&gt;0,"I","")&amp;IF(COUNTIFS(Master!$AR$4:$AR$64,A26,Master!$AS$4:$AS$64,"*D*")&gt;0,"D","")&amp;IF(COUNTIFS(Master!$AR$4:$AR$64,A26,Master!$AS$4:$AS$64,"*A*")&gt;0,"A","")</f>
        <v/>
      </c>
      <c r="E26" s="148" t="s">
        <v>483</v>
      </c>
      <c r="F26" s="199">
        <f>SUMIFS(Master!AX$3:AX$64,Master!$AQ$3:$AQ$64,$E26)</f>
        <v>0</v>
      </c>
      <c r="G26" s="200">
        <f>SUMIFS(Master!AY$3:AY$64,Master!$AQ$3:$AQ$64,$E26)</f>
        <v>0</v>
      </c>
      <c r="H26" s="200">
        <f>SUMIFS(Master!AZ$3:AZ$64,Master!$AQ$3:$AQ$64,$E26)</f>
        <v>0</v>
      </c>
      <c r="I26" s="200">
        <f>SUMIFS(Master!BA$3:BA$64,Master!$AQ$3:$AQ$64,$E26)</f>
        <v>0</v>
      </c>
      <c r="J26" s="200">
        <f>SUMIFS(Master!BB$3:BB$64,Master!$AQ$3:$AQ$64,$E26)</f>
        <v>0</v>
      </c>
      <c r="K26" s="200">
        <f>SUMIFS(Master!BC$3:BC$64,Master!$AQ$3:$AQ$64,$E26)</f>
        <v>0</v>
      </c>
      <c r="L26" s="201">
        <f>SUMIFS(Master!BD$3:BD$64,Master!$AQ$3:$AQ$64,$E26)</f>
        <v>0</v>
      </c>
      <c r="M26" s="201">
        <f t="shared" si="0"/>
        <v>0</v>
      </c>
      <c r="AO26" s="3" t="s">
        <v>775</v>
      </c>
      <c r="AP26" s="3" t="s">
        <v>776</v>
      </c>
      <c r="AR26" s="37" t="s">
        <v>164</v>
      </c>
      <c r="AS26" s="37" t="s">
        <v>645</v>
      </c>
      <c r="AT26" s="38" t="s">
        <v>32</v>
      </c>
      <c r="AU26" s="38" t="s">
        <v>75</v>
      </c>
      <c r="AV26" s="37" t="s">
        <v>857</v>
      </c>
    </row>
    <row r="27" spans="1:48" x14ac:dyDescent="0.2">
      <c r="A27" s="165" t="s">
        <v>495</v>
      </c>
      <c r="B27" s="166">
        <f>SUMIF(Master!$AR$4:$AR$64,A27,Master!$AT$4:$AT$64)</f>
        <v>0</v>
      </c>
      <c r="C27" s="167" t="str">
        <f>IF(COUNTIFS(Master!$AR$4:$AR$64,A27,Master!$AS$4:$AS$64,"*I*")&gt;0,"I","")&amp;IF(COUNTIFS(Master!$AR$4:$AR$64,A27,Master!$AS$4:$AS$64,"*D*")&gt;0,"D","")&amp;IF(COUNTIFS(Master!$AR$4:$AR$64,A27,Master!$AS$4:$AS$64,"*A*")&gt;0,"A","")</f>
        <v/>
      </c>
      <c r="E27" s="148" t="s">
        <v>484</v>
      </c>
      <c r="F27" s="199">
        <f>SUMIFS(Master!AX$3:AX$64,Master!$AQ$3:$AQ$64,$E27)</f>
        <v>0</v>
      </c>
      <c r="G27" s="200">
        <f>SUMIFS(Master!AY$3:AY$64,Master!$AQ$3:$AQ$64,$E27)</f>
        <v>0</v>
      </c>
      <c r="H27" s="200">
        <f>SUMIFS(Master!AZ$3:AZ$64,Master!$AQ$3:$AQ$64,$E27)</f>
        <v>0</v>
      </c>
      <c r="I27" s="200">
        <f>SUMIFS(Master!BA$3:BA$64,Master!$AQ$3:$AQ$64,$E27)</f>
        <v>0</v>
      </c>
      <c r="J27" s="200">
        <f>SUMIFS(Master!BB$3:BB$64,Master!$AQ$3:$AQ$64,$E27)</f>
        <v>0</v>
      </c>
      <c r="K27" s="200">
        <f>SUMIFS(Master!BC$3:BC$64,Master!$AQ$3:$AQ$64,$E27)</f>
        <v>0</v>
      </c>
      <c r="L27" s="201">
        <f>SUMIFS(Master!BD$3:BD$64,Master!$AQ$3:$AQ$64,$E27)</f>
        <v>0</v>
      </c>
      <c r="M27" s="201">
        <f t="shared" si="0"/>
        <v>0</v>
      </c>
      <c r="AO27" s="21" t="s">
        <v>777</v>
      </c>
      <c r="AP27" s="21" t="s">
        <v>778</v>
      </c>
      <c r="AR27" s="37" t="s">
        <v>648</v>
      </c>
      <c r="AS27" s="39" t="s">
        <v>588</v>
      </c>
      <c r="AT27" s="39" t="s">
        <v>588</v>
      </c>
      <c r="AU27" s="38" t="s">
        <v>77</v>
      </c>
      <c r="AV27" s="37" t="s">
        <v>26</v>
      </c>
    </row>
    <row r="28" spans="1:48" ht="16" thickBot="1" x14ac:dyDescent="0.25">
      <c r="A28" s="165" t="s">
        <v>937</v>
      </c>
      <c r="B28" s="166">
        <f>SUMIF(Master!$AR$4:$AR$64,A28,Master!$AT$4:$AT$64)</f>
        <v>0</v>
      </c>
      <c r="C28" s="167" t="str">
        <f>IF(COUNTIFS(Master!$AR$4:$AR$64,A28,Master!$AS$4:$AS$64,"*I*")&gt;0,"I","")&amp;IF(COUNTIFS(Master!$AR$4:$AR$64,A28,Master!$AS$4:$AS$64,"*D*")&gt;0,"D","")&amp;IF(COUNTIFS(Master!$AR$4:$AR$64,A28,Master!$AS$4:$AS$64,"*A*")&gt;0,"A","")</f>
        <v/>
      </c>
      <c r="E28" s="149" t="s">
        <v>554</v>
      </c>
      <c r="F28" s="202">
        <f>SUMIFS(Master!AX$3:AX$64,Master!$AQ$3:$AQ$64,$E28)</f>
        <v>0</v>
      </c>
      <c r="G28" s="203">
        <f>SUMIFS(Master!AY$3:AY$64,Master!$AQ$3:$AQ$64,$E28)</f>
        <v>0</v>
      </c>
      <c r="H28" s="203">
        <f>SUMIFS(Master!AZ$3:AZ$64,Master!$AQ$3:$AQ$64,$E28)</f>
        <v>0</v>
      </c>
      <c r="I28" s="203">
        <f>SUMIFS(Master!BA$3:BA$64,Master!$AQ$3:$AQ$64,$E28)</f>
        <v>0</v>
      </c>
      <c r="J28" s="203">
        <f>SUMIFS(Master!BB$3:BB$64,Master!$AQ$3:$AQ$64,$E28)</f>
        <v>0</v>
      </c>
      <c r="K28" s="203">
        <f>SUMIFS(Master!BC$3:BC$64,Master!$AQ$3:$AQ$64,$E28)</f>
        <v>0</v>
      </c>
      <c r="L28" s="204">
        <f>SUMIFS(Master!BD$3:BD$64,Master!$AQ$3:$AQ$64,$E28)</f>
        <v>0</v>
      </c>
      <c r="M28" s="204">
        <f t="shared" si="0"/>
        <v>0</v>
      </c>
      <c r="AO28" s="21" t="s">
        <v>779</v>
      </c>
      <c r="AP28" s="21" t="s">
        <v>780</v>
      </c>
      <c r="AR28" s="37" t="s">
        <v>76</v>
      </c>
      <c r="AS28" s="37" t="s">
        <v>651</v>
      </c>
      <c r="AT28" s="38" t="s">
        <v>32</v>
      </c>
      <c r="AU28" s="38" t="s">
        <v>77</v>
      </c>
      <c r="AV28" s="37" t="s">
        <v>26</v>
      </c>
    </row>
    <row r="29" spans="1:48" x14ac:dyDescent="0.2">
      <c r="A29" s="165" t="s">
        <v>496</v>
      </c>
      <c r="B29" s="166">
        <f>SUMIF(Master!$AR$4:$AR$64,A29,Master!$AT$4:$AT$64)</f>
        <v>0</v>
      </c>
      <c r="C29" s="167" t="str">
        <f>IF(COUNTIFS(Master!$AR$4:$AR$64,A29,Master!$AS$4:$AS$64,"*I*")&gt;0,"I","")&amp;IF(COUNTIFS(Master!$AR$4:$AR$64,A29,Master!$AS$4:$AS$64,"*D*")&gt;0,"D","")&amp;IF(COUNTIFS(Master!$AR$4:$AR$64,A29,Master!$AS$4:$AS$64,"*A*")&gt;0,"A","")</f>
        <v/>
      </c>
      <c r="AO29" s="21" t="s">
        <v>781</v>
      </c>
      <c r="AP29" s="21" t="s">
        <v>782</v>
      </c>
      <c r="AR29" s="37" t="s">
        <v>79</v>
      </c>
      <c r="AS29" s="37" t="s">
        <v>654</v>
      </c>
      <c r="AT29" s="38" t="s">
        <v>32</v>
      </c>
      <c r="AU29" s="38" t="s">
        <v>77</v>
      </c>
      <c r="AV29" s="37" t="s">
        <v>26</v>
      </c>
    </row>
    <row r="30" spans="1:48" x14ac:dyDescent="0.2">
      <c r="A30" s="165" t="s">
        <v>498</v>
      </c>
      <c r="B30" s="166">
        <f>SUMIF(Master!$AR$4:$AR$64,A30,Master!$AT$4:$AT$64)</f>
        <v>0</v>
      </c>
      <c r="C30" s="167" t="str">
        <f>IF(COUNTIFS(Master!$AR$4:$AR$64,A30,Master!$AS$4:$AS$64,"*I*")&gt;0,"I","")&amp;IF(COUNTIFS(Master!$AR$4:$AR$64,A30,Master!$AS$4:$AS$64,"*D*")&gt;0,"D","")&amp;IF(COUNTIFS(Master!$AR$4:$AR$64,A30,Master!$AS$4:$AS$64,"*A*")&gt;0,"A","")</f>
        <v/>
      </c>
      <c r="AO30" s="3" t="s">
        <v>783</v>
      </c>
      <c r="AP30" s="3" t="s">
        <v>784</v>
      </c>
      <c r="AR30" s="37" t="s">
        <v>97</v>
      </c>
      <c r="AS30" s="37" t="s">
        <v>657</v>
      </c>
      <c r="AT30" s="38" t="s">
        <v>32</v>
      </c>
      <c r="AU30" s="38" t="s">
        <v>77</v>
      </c>
      <c r="AV30" s="37" t="s">
        <v>26</v>
      </c>
    </row>
    <row r="31" spans="1:48" x14ac:dyDescent="0.2">
      <c r="A31" s="165" t="s">
        <v>503</v>
      </c>
      <c r="B31" s="166">
        <f>SUMIF(Master!$AR$4:$AR$64,A31,Master!$AT$4:$AT$64)</f>
        <v>0</v>
      </c>
      <c r="C31" s="167" t="str">
        <f>IF(COUNTIFS(Master!$AR$4:$AR$64,A31,Master!$AS$4:$AS$64,"*I*")&gt;0,"I","")&amp;IF(COUNTIFS(Master!$AR$4:$AR$64,A31,Master!$AS$4:$AS$64,"*D*")&gt;0,"D","")&amp;IF(COUNTIFS(Master!$AR$4:$AR$64,A31,Master!$AS$4:$AS$64,"*A*")&gt;0,"A","")</f>
        <v/>
      </c>
      <c r="AO31" s="21" t="s">
        <v>785</v>
      </c>
      <c r="AP31" s="21" t="s">
        <v>786</v>
      </c>
      <c r="AR31" s="37" t="s">
        <v>115</v>
      </c>
      <c r="AS31" s="37" t="s">
        <v>660</v>
      </c>
      <c r="AT31" s="38" t="s">
        <v>32</v>
      </c>
      <c r="AU31" s="38" t="s">
        <v>77</v>
      </c>
      <c r="AV31" s="37" t="s">
        <v>26</v>
      </c>
    </row>
    <row r="32" spans="1:48" x14ac:dyDescent="0.2">
      <c r="A32" s="165" t="s">
        <v>505</v>
      </c>
      <c r="B32" s="166">
        <f>SUMIF(Master!$AR$4:$AR$64,A32,Master!$AT$4:$AT$64)</f>
        <v>0</v>
      </c>
      <c r="C32" s="167" t="str">
        <f>IF(COUNTIFS(Master!$AR$4:$AR$64,A32,Master!$AS$4:$AS$64,"*I*")&gt;0,"I","")&amp;IF(COUNTIFS(Master!$AR$4:$AR$64,A32,Master!$AS$4:$AS$64,"*D*")&gt;0,"D","")&amp;IF(COUNTIFS(Master!$AR$4:$AR$64,A32,Master!$AS$4:$AS$64,"*A*")&gt;0,"A","")</f>
        <v/>
      </c>
      <c r="AO32" s="3" t="s">
        <v>787</v>
      </c>
      <c r="AP32" s="3" t="s">
        <v>788</v>
      </c>
      <c r="AR32" s="37" t="s">
        <v>33</v>
      </c>
      <c r="AS32" s="40" t="s">
        <v>33</v>
      </c>
      <c r="AT32" s="40" t="s">
        <v>33</v>
      </c>
      <c r="AU32" s="38" t="s">
        <v>77</v>
      </c>
      <c r="AV32" s="37" t="s">
        <v>26</v>
      </c>
    </row>
    <row r="33" spans="1:48" x14ac:dyDescent="0.2">
      <c r="A33" s="165" t="s">
        <v>506</v>
      </c>
      <c r="B33" s="166">
        <f>SUMIF(Master!$AR$4:$AR$64,A33,Master!$AT$4:$AT$64)</f>
        <v>0</v>
      </c>
      <c r="C33" s="167" t="str">
        <f>IF(COUNTIFS(Master!$AR$4:$AR$64,A33,Master!$AS$4:$AS$64,"*I*")&gt;0,"I","")&amp;IF(COUNTIFS(Master!$AR$4:$AR$64,A33,Master!$AS$4:$AS$64,"*D*")&gt;0,"D","")&amp;IF(COUNTIFS(Master!$AR$4:$AR$64,A33,Master!$AS$4:$AS$64,"*A*")&gt;0,"A","")</f>
        <v/>
      </c>
      <c r="AO33" s="21" t="s">
        <v>789</v>
      </c>
      <c r="AP33" s="21" t="s">
        <v>790</v>
      </c>
      <c r="AR33" s="37" t="s">
        <v>126</v>
      </c>
      <c r="AS33" s="37" t="s">
        <v>665</v>
      </c>
      <c r="AT33" s="38" t="s">
        <v>32</v>
      </c>
      <c r="AU33" s="38" t="s">
        <v>77</v>
      </c>
      <c r="AV33" s="37" t="s">
        <v>26</v>
      </c>
    </row>
    <row r="34" spans="1:48" ht="16" thickBot="1" x14ac:dyDescent="0.25">
      <c r="A34" s="168" t="s">
        <v>507</v>
      </c>
      <c r="B34" s="169">
        <f>SUMIF(Master!$AR$4:$AR$64,A34,Master!$AT$4:$AT$64)</f>
        <v>0</v>
      </c>
      <c r="C34" s="170" t="str">
        <f>IF(COUNTIFS(Master!$AR$4:$AR$64,A34,Master!$AS$4:$AS$64,"*I*")&gt;0,"I","")&amp;IF(COUNTIFS(Master!$AR$4:$AR$64,A34,Master!$AS$4:$AS$64,"*D*")&gt;0,"D","")&amp;IF(COUNTIFS(Master!$AR$4:$AR$64,A34,Master!$AS$4:$AS$64,"*A*")&gt;0,"A","")</f>
        <v/>
      </c>
      <c r="AO34" s="3" t="s">
        <v>791</v>
      </c>
      <c r="AP34" s="3" t="s">
        <v>792</v>
      </c>
      <c r="AR34" s="37" t="s">
        <v>668</v>
      </c>
      <c r="AS34" s="37" t="s">
        <v>665</v>
      </c>
      <c r="AT34" s="38" t="s">
        <v>32</v>
      </c>
      <c r="AU34" s="38" t="s">
        <v>77</v>
      </c>
      <c r="AV34" s="37" t="s">
        <v>26</v>
      </c>
    </row>
    <row r="35" spans="1:48" ht="16" thickTop="1" x14ac:dyDescent="0.2">
      <c r="AO35" s="3" t="s">
        <v>793</v>
      </c>
      <c r="AP35" s="3" t="s">
        <v>794</v>
      </c>
      <c r="AR35" s="37" t="s">
        <v>671</v>
      </c>
      <c r="AS35" s="39" t="s">
        <v>672</v>
      </c>
      <c r="AT35" s="39" t="s">
        <v>588</v>
      </c>
      <c r="AU35" s="38" t="s">
        <v>127</v>
      </c>
      <c r="AV35" s="37" t="s">
        <v>858</v>
      </c>
    </row>
    <row r="36" spans="1:48" x14ac:dyDescent="0.2">
      <c r="AO36" s="3" t="s">
        <v>795</v>
      </c>
      <c r="AP36" s="3" t="s">
        <v>796</v>
      </c>
      <c r="AR36" s="37" t="s">
        <v>136</v>
      </c>
      <c r="AS36" s="37" t="s">
        <v>675</v>
      </c>
      <c r="AT36" s="38" t="s">
        <v>32</v>
      </c>
      <c r="AU36" s="38" t="s">
        <v>127</v>
      </c>
      <c r="AV36" s="37" t="s">
        <v>858</v>
      </c>
    </row>
    <row r="37" spans="1:48" x14ac:dyDescent="0.2">
      <c r="AO37" s="3" t="s">
        <v>797</v>
      </c>
      <c r="AP37" s="3" t="s">
        <v>798</v>
      </c>
      <c r="AR37" s="37" t="s">
        <v>138</v>
      </c>
      <c r="AS37" s="37" t="s">
        <v>678</v>
      </c>
      <c r="AT37" s="38" t="s">
        <v>32</v>
      </c>
      <c r="AU37" s="38" t="s">
        <v>127</v>
      </c>
      <c r="AV37" s="37" t="s">
        <v>858</v>
      </c>
    </row>
    <row r="38" spans="1:48" x14ac:dyDescent="0.2">
      <c r="AO38" s="3" t="s">
        <v>799</v>
      </c>
      <c r="AP38" s="3" t="s">
        <v>800</v>
      </c>
      <c r="AR38" s="37" t="s">
        <v>142</v>
      </c>
      <c r="AS38" s="37" t="s">
        <v>681</v>
      </c>
      <c r="AT38" s="38" t="s">
        <v>32</v>
      </c>
      <c r="AU38" s="38" t="s">
        <v>127</v>
      </c>
      <c r="AV38" s="37" t="s">
        <v>858</v>
      </c>
    </row>
    <row r="39" spans="1:48" x14ac:dyDescent="0.2">
      <c r="AO39" s="3" t="s">
        <v>801</v>
      </c>
      <c r="AP39" s="3" t="s">
        <v>802</v>
      </c>
      <c r="AR39" s="37" t="s">
        <v>33</v>
      </c>
      <c r="AS39" s="40" t="s">
        <v>33</v>
      </c>
      <c r="AT39" s="40" t="s">
        <v>33</v>
      </c>
      <c r="AU39" s="38" t="s">
        <v>127</v>
      </c>
      <c r="AV39" s="37" t="s">
        <v>858</v>
      </c>
    </row>
    <row r="40" spans="1:48" x14ac:dyDescent="0.2">
      <c r="AO40" s="3" t="s">
        <v>803</v>
      </c>
      <c r="AP40" s="3" t="s">
        <v>804</v>
      </c>
      <c r="AR40" s="37" t="s">
        <v>33</v>
      </c>
      <c r="AS40" s="40" t="s">
        <v>33</v>
      </c>
      <c r="AT40" s="40" t="s">
        <v>33</v>
      </c>
      <c r="AU40" s="38" t="s">
        <v>127</v>
      </c>
      <c r="AV40" s="37" t="s">
        <v>858</v>
      </c>
    </row>
    <row r="41" spans="1:48" x14ac:dyDescent="0.2">
      <c r="AO41" s="21" t="s">
        <v>805</v>
      </c>
      <c r="AP41" s="21" t="s">
        <v>806</v>
      </c>
      <c r="AR41" s="37" t="s">
        <v>126</v>
      </c>
      <c r="AS41" s="37" t="s">
        <v>665</v>
      </c>
      <c r="AT41" s="38" t="s">
        <v>32</v>
      </c>
      <c r="AU41" s="38" t="s">
        <v>127</v>
      </c>
      <c r="AV41" s="37" t="s">
        <v>858</v>
      </c>
    </row>
    <row r="42" spans="1:48" x14ac:dyDescent="0.2">
      <c r="AO42" s="3" t="s">
        <v>807</v>
      </c>
      <c r="AP42" s="3" t="s">
        <v>808</v>
      </c>
      <c r="AR42" s="37" t="s">
        <v>690</v>
      </c>
      <c r="AS42" s="37" t="s">
        <v>665</v>
      </c>
      <c r="AT42" s="38" t="s">
        <v>32</v>
      </c>
      <c r="AU42" s="38" t="s">
        <v>127</v>
      </c>
      <c r="AV42" s="37" t="s">
        <v>858</v>
      </c>
    </row>
    <row r="43" spans="1:48" x14ac:dyDescent="0.2">
      <c r="AO43" s="21" t="s">
        <v>809</v>
      </c>
      <c r="AP43" s="3" t="s">
        <v>810</v>
      </c>
      <c r="AR43" s="37" t="s">
        <v>693</v>
      </c>
      <c r="AS43" s="39" t="s">
        <v>672</v>
      </c>
      <c r="AT43" s="39" t="s">
        <v>588</v>
      </c>
      <c r="AU43" s="38" t="s">
        <v>85</v>
      </c>
      <c r="AV43" s="37" t="s">
        <v>857</v>
      </c>
    </row>
    <row r="44" spans="1:48" x14ac:dyDescent="0.2">
      <c r="AO44" s="3" t="s">
        <v>811</v>
      </c>
      <c r="AP44" s="3" t="s">
        <v>812</v>
      </c>
      <c r="AR44" s="37" t="s">
        <v>84</v>
      </c>
      <c r="AS44" s="37" t="s">
        <v>694</v>
      </c>
      <c r="AT44" s="38" t="s">
        <v>32</v>
      </c>
      <c r="AU44" s="38" t="s">
        <v>85</v>
      </c>
      <c r="AV44" s="37" t="s">
        <v>857</v>
      </c>
    </row>
    <row r="45" spans="1:48" x14ac:dyDescent="0.2">
      <c r="AO45" s="3" t="s">
        <v>813</v>
      </c>
      <c r="AP45" s="3" t="s">
        <v>814</v>
      </c>
      <c r="AR45" s="37" t="s">
        <v>102</v>
      </c>
      <c r="AS45" s="37" t="s">
        <v>695</v>
      </c>
      <c r="AT45" s="38" t="s">
        <v>32</v>
      </c>
      <c r="AU45" s="38" t="s">
        <v>85</v>
      </c>
      <c r="AV45" s="37" t="s">
        <v>857</v>
      </c>
    </row>
    <row r="46" spans="1:48" x14ac:dyDescent="0.2">
      <c r="AO46" s="3" t="s">
        <v>815</v>
      </c>
      <c r="AP46" s="3" t="s">
        <v>816</v>
      </c>
      <c r="AR46" s="37" t="s">
        <v>696</v>
      </c>
      <c r="AS46" s="37" t="s">
        <v>697</v>
      </c>
      <c r="AT46" s="38" t="s">
        <v>32</v>
      </c>
      <c r="AU46" s="38" t="s">
        <v>85</v>
      </c>
      <c r="AV46" s="37" t="s">
        <v>857</v>
      </c>
    </row>
    <row r="47" spans="1:48" x14ac:dyDescent="0.2">
      <c r="AO47" s="3" t="s">
        <v>817</v>
      </c>
      <c r="AP47" s="3" t="s">
        <v>818</v>
      </c>
      <c r="AR47" s="37" t="s">
        <v>33</v>
      </c>
      <c r="AS47" s="40" t="s">
        <v>33</v>
      </c>
      <c r="AT47" s="40" t="s">
        <v>33</v>
      </c>
      <c r="AU47" s="38" t="s">
        <v>85</v>
      </c>
      <c r="AV47" s="37" t="s">
        <v>857</v>
      </c>
    </row>
    <row r="48" spans="1:48" x14ac:dyDescent="0.2">
      <c r="AO48" s="3" t="s">
        <v>819</v>
      </c>
      <c r="AP48" s="3" t="s">
        <v>820</v>
      </c>
      <c r="AR48" s="37" t="s">
        <v>33</v>
      </c>
      <c r="AS48" s="40" t="s">
        <v>33</v>
      </c>
      <c r="AT48" s="40" t="s">
        <v>33</v>
      </c>
      <c r="AU48" s="38" t="s">
        <v>85</v>
      </c>
      <c r="AV48" s="37" t="s">
        <v>857</v>
      </c>
    </row>
    <row r="49" spans="41:48" x14ac:dyDescent="0.2">
      <c r="AO49" s="3" t="s">
        <v>821</v>
      </c>
      <c r="AP49" s="3" t="s">
        <v>822</v>
      </c>
      <c r="AR49" s="37" t="s">
        <v>130</v>
      </c>
      <c r="AS49" s="37" t="s">
        <v>665</v>
      </c>
      <c r="AT49" s="38" t="s">
        <v>32</v>
      </c>
      <c r="AU49" s="38" t="s">
        <v>85</v>
      </c>
      <c r="AV49" s="37" t="s">
        <v>857</v>
      </c>
    </row>
    <row r="50" spans="41:48" x14ac:dyDescent="0.2">
      <c r="AO50" s="21" t="s">
        <v>823</v>
      </c>
      <c r="AP50" s="21" t="s">
        <v>824</v>
      </c>
      <c r="AR50" s="37" t="s">
        <v>700</v>
      </c>
      <c r="AS50" s="37" t="s">
        <v>665</v>
      </c>
      <c r="AT50" s="38" t="s">
        <v>32</v>
      </c>
      <c r="AU50" s="38" t="s">
        <v>85</v>
      </c>
      <c r="AV50" s="37" t="s">
        <v>857</v>
      </c>
    </row>
    <row r="51" spans="41:48" x14ac:dyDescent="0.2">
      <c r="AO51" s="3" t="s">
        <v>825</v>
      </c>
      <c r="AP51" s="3" t="s">
        <v>826</v>
      </c>
      <c r="AR51" s="37" t="s">
        <v>701</v>
      </c>
      <c r="AS51" s="39" t="s">
        <v>672</v>
      </c>
      <c r="AT51" s="39" t="s">
        <v>588</v>
      </c>
      <c r="AU51" s="38" t="s">
        <v>91</v>
      </c>
      <c r="AV51" s="37" t="s">
        <v>26</v>
      </c>
    </row>
    <row r="52" spans="41:48" x14ac:dyDescent="0.2">
      <c r="AO52" s="3" t="s">
        <v>827</v>
      </c>
      <c r="AP52" s="3" t="s">
        <v>828</v>
      </c>
      <c r="AR52" s="37" t="s">
        <v>90</v>
      </c>
      <c r="AS52" s="37" t="s">
        <v>702</v>
      </c>
      <c r="AT52" s="38" t="s">
        <v>32</v>
      </c>
      <c r="AU52" s="38" t="s">
        <v>91</v>
      </c>
      <c r="AV52" s="37" t="s">
        <v>26</v>
      </c>
    </row>
    <row r="53" spans="41:48" x14ac:dyDescent="0.2">
      <c r="AO53" s="3" t="s">
        <v>829</v>
      </c>
      <c r="AP53" s="3" t="s">
        <v>830</v>
      </c>
      <c r="AR53" s="37" t="s">
        <v>33</v>
      </c>
      <c r="AS53" s="40" t="s">
        <v>33</v>
      </c>
      <c r="AT53" s="40" t="s">
        <v>33</v>
      </c>
      <c r="AU53" s="38" t="s">
        <v>91</v>
      </c>
      <c r="AV53" s="37" t="s">
        <v>26</v>
      </c>
    </row>
    <row r="54" spans="41:48" x14ac:dyDescent="0.2">
      <c r="AO54" s="3" t="s">
        <v>831</v>
      </c>
      <c r="AP54" s="3" t="s">
        <v>832</v>
      </c>
      <c r="AR54" s="37" t="s">
        <v>33</v>
      </c>
      <c r="AS54" s="40" t="s">
        <v>33</v>
      </c>
      <c r="AT54" s="40" t="s">
        <v>33</v>
      </c>
      <c r="AU54" s="38" t="s">
        <v>91</v>
      </c>
      <c r="AV54" s="37" t="s">
        <v>26</v>
      </c>
    </row>
    <row r="55" spans="41:48" x14ac:dyDescent="0.2">
      <c r="AO55" s="3" t="s">
        <v>833</v>
      </c>
      <c r="AP55" s="3" t="s">
        <v>834</v>
      </c>
      <c r="AR55" s="37" t="s">
        <v>33</v>
      </c>
      <c r="AS55" s="40" t="s">
        <v>33</v>
      </c>
      <c r="AT55" s="40" t="s">
        <v>33</v>
      </c>
      <c r="AU55" s="38" t="s">
        <v>91</v>
      </c>
      <c r="AV55" s="37" t="s">
        <v>26</v>
      </c>
    </row>
    <row r="56" spans="41:48" x14ac:dyDescent="0.2">
      <c r="AO56" s="21" t="s">
        <v>835</v>
      </c>
      <c r="AP56" s="21" t="s">
        <v>836</v>
      </c>
      <c r="AR56" s="37" t="s">
        <v>33</v>
      </c>
      <c r="AS56" s="40" t="s">
        <v>33</v>
      </c>
      <c r="AT56" s="40" t="s">
        <v>33</v>
      </c>
      <c r="AU56" s="38" t="s">
        <v>91</v>
      </c>
      <c r="AV56" s="37" t="s">
        <v>26</v>
      </c>
    </row>
    <row r="57" spans="41:48" x14ac:dyDescent="0.2">
      <c r="AO57" s="3" t="s">
        <v>837</v>
      </c>
      <c r="AP57" s="3" t="s">
        <v>838</v>
      </c>
      <c r="AR57" s="37" t="s">
        <v>576</v>
      </c>
      <c r="AS57" s="41" t="s">
        <v>577</v>
      </c>
      <c r="AT57" s="40" t="s">
        <v>33</v>
      </c>
      <c r="AU57" s="37"/>
      <c r="AV57" s="38" t="s">
        <v>28</v>
      </c>
    </row>
    <row r="58" spans="41:48" x14ac:dyDescent="0.2">
      <c r="AO58" s="21" t="s">
        <v>839</v>
      </c>
      <c r="AP58" s="21" t="s">
        <v>780</v>
      </c>
      <c r="AR58" s="37" t="s">
        <v>99</v>
      </c>
      <c r="AS58" s="41" t="s">
        <v>579</v>
      </c>
      <c r="AT58" s="40" t="s">
        <v>33</v>
      </c>
      <c r="AU58" s="37"/>
      <c r="AV58" s="38" t="s">
        <v>28</v>
      </c>
    </row>
    <row r="59" spans="41:48" x14ac:dyDescent="0.2">
      <c r="AO59" s="21" t="s">
        <v>840</v>
      </c>
      <c r="AP59" s="21" t="s">
        <v>841</v>
      </c>
      <c r="AR59" s="37" t="s">
        <v>103</v>
      </c>
      <c r="AS59" s="41" t="s">
        <v>581</v>
      </c>
      <c r="AT59" s="40" t="s">
        <v>33</v>
      </c>
      <c r="AU59" s="37"/>
      <c r="AV59" s="38" t="s">
        <v>857</v>
      </c>
    </row>
    <row r="60" spans="41:48" x14ac:dyDescent="0.2">
      <c r="AO60" s="3" t="s">
        <v>842</v>
      </c>
      <c r="AP60" s="3" t="s">
        <v>841</v>
      </c>
      <c r="AR60" s="37" t="s">
        <v>105</v>
      </c>
      <c r="AS60" s="41" t="s">
        <v>583</v>
      </c>
      <c r="AT60" s="40" t="s">
        <v>33</v>
      </c>
      <c r="AU60" s="37"/>
      <c r="AV60" s="37"/>
    </row>
    <row r="61" spans="41:48" x14ac:dyDescent="0.2">
      <c r="AO61" s="3" t="s">
        <v>843</v>
      </c>
      <c r="AP61" s="3" t="s">
        <v>844</v>
      </c>
      <c r="AR61" s="37" t="s">
        <v>158</v>
      </c>
      <c r="AS61" s="41" t="s">
        <v>586</v>
      </c>
      <c r="AT61" s="40" t="s">
        <v>33</v>
      </c>
      <c r="AU61" s="37"/>
      <c r="AV61" s="38" t="s">
        <v>28</v>
      </c>
    </row>
    <row r="62" spans="41:48" x14ac:dyDescent="0.2">
      <c r="AO62" s="21" t="s">
        <v>845</v>
      </c>
      <c r="AP62" s="3" t="s">
        <v>846</v>
      </c>
      <c r="AR62" s="37" t="s">
        <v>192</v>
      </c>
      <c r="AS62" s="41" t="s">
        <v>589</v>
      </c>
      <c r="AT62" s="40" t="s">
        <v>33</v>
      </c>
      <c r="AU62" s="37"/>
      <c r="AV62" s="38" t="s">
        <v>28</v>
      </c>
    </row>
    <row r="63" spans="41:48" x14ac:dyDescent="0.2">
      <c r="AO63" s="3" t="s">
        <v>847</v>
      </c>
      <c r="AP63" s="3" t="s">
        <v>848</v>
      </c>
      <c r="AR63" s="37" t="s">
        <v>592</v>
      </c>
      <c r="AS63" s="41" t="s">
        <v>593</v>
      </c>
      <c r="AT63" s="40" t="s">
        <v>33</v>
      </c>
      <c r="AU63" s="37"/>
      <c r="AV63" s="38" t="s">
        <v>857</v>
      </c>
    </row>
    <row r="64" spans="41:48" x14ac:dyDescent="0.2">
      <c r="AO64" s="21" t="s">
        <v>849</v>
      </c>
      <c r="AP64" s="3" t="s">
        <v>850</v>
      </c>
      <c r="AR64" s="37" t="s">
        <v>160</v>
      </c>
      <c r="AS64" s="41" t="s">
        <v>595</v>
      </c>
      <c r="AT64" s="40" t="s">
        <v>33</v>
      </c>
      <c r="AU64" s="37"/>
      <c r="AV64" s="38" t="s">
        <v>857</v>
      </c>
    </row>
    <row r="65" spans="41:48" x14ac:dyDescent="0.2">
      <c r="AO65" s="21" t="s">
        <v>851</v>
      </c>
      <c r="AP65" s="3" t="s">
        <v>852</v>
      </c>
      <c r="AR65" s="37" t="s">
        <v>597</v>
      </c>
      <c r="AS65" s="41" t="s">
        <v>598</v>
      </c>
      <c r="AT65" s="40" t="s">
        <v>33</v>
      </c>
      <c r="AU65" s="37"/>
      <c r="AV65" s="38" t="s">
        <v>28</v>
      </c>
    </row>
    <row r="66" spans="41:48" x14ac:dyDescent="0.2">
      <c r="AO66" s="3" t="s">
        <v>853</v>
      </c>
      <c r="AP66" s="3" t="s">
        <v>854</v>
      </c>
      <c r="AR66" s="37" t="s">
        <v>334</v>
      </c>
      <c r="AS66" s="41" t="s">
        <v>600</v>
      </c>
      <c r="AT66" s="40" t="s">
        <v>33</v>
      </c>
      <c r="AU66" s="37"/>
      <c r="AV66" s="38" t="s">
        <v>26</v>
      </c>
    </row>
    <row r="67" spans="41:48" x14ac:dyDescent="0.2">
      <c r="AO67" s="4" t="s">
        <v>855</v>
      </c>
      <c r="AP67" s="3" t="s">
        <v>856</v>
      </c>
      <c r="AR67" s="37" t="s">
        <v>602</v>
      </c>
      <c r="AS67" s="41" t="s">
        <v>603</v>
      </c>
      <c r="AT67" s="40" t="s">
        <v>33</v>
      </c>
      <c r="AU67" s="37"/>
      <c r="AV67" s="38" t="s">
        <v>26</v>
      </c>
    </row>
    <row r="68" spans="41:48" x14ac:dyDescent="0.2">
      <c r="AR68" s="37" t="s">
        <v>605</v>
      </c>
      <c r="AS68" s="41" t="s">
        <v>606</v>
      </c>
      <c r="AT68" s="40" t="s">
        <v>33</v>
      </c>
      <c r="AU68" s="37"/>
      <c r="AV68" s="37"/>
    </row>
    <row r="69" spans="41:48" x14ac:dyDescent="0.2">
      <c r="AR69" s="37" t="s">
        <v>608</v>
      </c>
      <c r="AS69" s="41" t="s">
        <v>609</v>
      </c>
      <c r="AT69" s="40" t="s">
        <v>33</v>
      </c>
      <c r="AU69" s="37"/>
      <c r="AV69" s="38" t="s">
        <v>26</v>
      </c>
    </row>
    <row r="70" spans="41:48" x14ac:dyDescent="0.2">
      <c r="AR70" s="37" t="s">
        <v>611</v>
      </c>
      <c r="AS70" s="41" t="s">
        <v>612</v>
      </c>
      <c r="AT70" s="40" t="s">
        <v>33</v>
      </c>
      <c r="AU70" s="37"/>
      <c r="AV70" s="38" t="s">
        <v>26</v>
      </c>
    </row>
    <row r="71" spans="41:48" x14ac:dyDescent="0.2">
      <c r="AR71" s="37" t="s">
        <v>615</v>
      </c>
      <c r="AS71" s="41" t="s">
        <v>616</v>
      </c>
      <c r="AT71" s="40" t="s">
        <v>33</v>
      </c>
      <c r="AU71" s="37"/>
      <c r="AV71" s="38" t="s">
        <v>26</v>
      </c>
    </row>
    <row r="72" spans="41:48" x14ac:dyDescent="0.2">
      <c r="AR72" s="37" t="s">
        <v>619</v>
      </c>
      <c r="AS72" s="41" t="s">
        <v>620</v>
      </c>
      <c r="AT72" s="40" t="s">
        <v>33</v>
      </c>
      <c r="AU72" s="37"/>
      <c r="AV72" s="38" t="s">
        <v>26</v>
      </c>
    </row>
    <row r="73" spans="41:48" x14ac:dyDescent="0.2">
      <c r="AR73" s="37" t="s">
        <v>622</v>
      </c>
      <c r="AS73" s="41" t="s">
        <v>623</v>
      </c>
      <c r="AT73" s="40" t="s">
        <v>33</v>
      </c>
      <c r="AU73" s="37"/>
      <c r="AV73" s="38" t="s">
        <v>28</v>
      </c>
    </row>
    <row r="74" spans="41:48" x14ac:dyDescent="0.2">
      <c r="AR74" s="37" t="s">
        <v>625</v>
      </c>
      <c r="AS74" s="41" t="s">
        <v>626</v>
      </c>
      <c r="AT74" s="40" t="s">
        <v>33</v>
      </c>
      <c r="AU74" s="37"/>
      <c r="AV74" s="38" t="s">
        <v>857</v>
      </c>
    </row>
    <row r="75" spans="41:48" x14ac:dyDescent="0.2">
      <c r="AR75" s="37" t="s">
        <v>628</v>
      </c>
      <c r="AS75" s="41" t="s">
        <v>629</v>
      </c>
      <c r="AT75" s="40" t="s">
        <v>33</v>
      </c>
      <c r="AU75" s="37"/>
      <c r="AV75" s="38" t="s">
        <v>26</v>
      </c>
    </row>
    <row r="76" spans="41:48" x14ac:dyDescent="0.2">
      <c r="AR76" s="37" t="s">
        <v>631</v>
      </c>
      <c r="AS76" s="41" t="s">
        <v>632</v>
      </c>
      <c r="AT76" s="40" t="s">
        <v>33</v>
      </c>
      <c r="AU76" s="37"/>
      <c r="AV76" s="38" t="s">
        <v>857</v>
      </c>
    </row>
    <row r="77" spans="41:48" x14ac:dyDescent="0.2">
      <c r="AR77" s="37" t="s">
        <v>634</v>
      </c>
      <c r="AS77" s="41" t="s">
        <v>635</v>
      </c>
      <c r="AT77" s="40" t="s">
        <v>33</v>
      </c>
      <c r="AU77" s="37"/>
      <c r="AV77" s="38" t="s">
        <v>26</v>
      </c>
    </row>
    <row r="78" spans="41:48" x14ac:dyDescent="0.2">
      <c r="AR78" s="37" t="s">
        <v>637</v>
      </c>
      <c r="AS78" s="41" t="s">
        <v>638</v>
      </c>
      <c r="AT78" s="40" t="s">
        <v>33</v>
      </c>
      <c r="AU78" s="37"/>
      <c r="AV78" s="38" t="s">
        <v>857</v>
      </c>
    </row>
    <row r="79" spans="41:48" x14ac:dyDescent="0.2">
      <c r="AR79" s="37" t="s">
        <v>640</v>
      </c>
      <c r="AS79" s="41" t="s">
        <v>641</v>
      </c>
      <c r="AT79" s="40" t="s">
        <v>33</v>
      </c>
      <c r="AU79" s="37"/>
      <c r="AV79" s="38" t="s">
        <v>26</v>
      </c>
    </row>
    <row r="80" spans="41:48" x14ac:dyDescent="0.2">
      <c r="AR80" s="37" t="s">
        <v>643</v>
      </c>
      <c r="AS80" s="41" t="s">
        <v>644</v>
      </c>
      <c r="AT80" s="40" t="s">
        <v>33</v>
      </c>
      <c r="AU80" s="37"/>
      <c r="AV80" s="37"/>
    </row>
    <row r="81" spans="44:48" x14ac:dyDescent="0.2">
      <c r="AR81" s="37" t="s">
        <v>646</v>
      </c>
      <c r="AS81" s="41" t="s">
        <v>647</v>
      </c>
      <c r="AT81" s="40" t="s">
        <v>33</v>
      </c>
      <c r="AU81" s="37"/>
      <c r="AV81" s="37"/>
    </row>
    <row r="82" spans="44:48" x14ac:dyDescent="0.2">
      <c r="AR82" s="37" t="s">
        <v>649</v>
      </c>
      <c r="AS82" s="41" t="s">
        <v>650</v>
      </c>
      <c r="AT82" s="40" t="s">
        <v>33</v>
      </c>
      <c r="AU82" s="37"/>
      <c r="AV82" s="37"/>
    </row>
    <row r="83" spans="44:48" x14ac:dyDescent="0.2">
      <c r="AR83" s="37" t="s">
        <v>652</v>
      </c>
      <c r="AS83" s="41" t="s">
        <v>653</v>
      </c>
      <c r="AT83" s="40" t="s">
        <v>33</v>
      </c>
      <c r="AU83" s="37"/>
      <c r="AV83" s="38" t="s">
        <v>26</v>
      </c>
    </row>
    <row r="84" spans="44:48" x14ac:dyDescent="0.2">
      <c r="AR84" s="37" t="s">
        <v>655</v>
      </c>
      <c r="AS84" s="41" t="s">
        <v>656</v>
      </c>
      <c r="AT84" s="40" t="s">
        <v>33</v>
      </c>
      <c r="AU84" s="37"/>
      <c r="AV84" s="37"/>
    </row>
    <row r="85" spans="44:48" x14ac:dyDescent="0.2">
      <c r="AR85" s="37" t="s">
        <v>658</v>
      </c>
      <c r="AS85" s="41" t="s">
        <v>659</v>
      </c>
      <c r="AT85" s="40" t="s">
        <v>33</v>
      </c>
      <c r="AU85" s="37"/>
      <c r="AV85" s="37"/>
    </row>
    <row r="86" spans="44:48" x14ac:dyDescent="0.2">
      <c r="AR86" s="37" t="s">
        <v>661</v>
      </c>
      <c r="AS86" s="41" t="s">
        <v>662</v>
      </c>
      <c r="AT86" s="40" t="s">
        <v>33</v>
      </c>
      <c r="AU86" s="37"/>
      <c r="AV86" s="38" t="s">
        <v>28</v>
      </c>
    </row>
    <row r="87" spans="44:48" x14ac:dyDescent="0.2">
      <c r="AR87" s="37" t="s">
        <v>663</v>
      </c>
      <c r="AS87" s="41" t="s">
        <v>664</v>
      </c>
      <c r="AT87" s="40" t="s">
        <v>33</v>
      </c>
      <c r="AU87" s="37"/>
      <c r="AV87" s="37"/>
    </row>
    <row r="88" spans="44:48" x14ac:dyDescent="0.2">
      <c r="AR88" s="37" t="s">
        <v>666</v>
      </c>
      <c r="AS88" s="41" t="s">
        <v>667</v>
      </c>
      <c r="AT88" s="40" t="s">
        <v>33</v>
      </c>
      <c r="AU88" s="37"/>
      <c r="AV88" s="37"/>
    </row>
    <row r="89" spans="44:48" x14ac:dyDescent="0.2">
      <c r="AR89" s="37" t="s">
        <v>669</v>
      </c>
      <c r="AS89" s="41" t="s">
        <v>670</v>
      </c>
      <c r="AT89" s="40" t="s">
        <v>33</v>
      </c>
      <c r="AU89" s="37"/>
      <c r="AV89" s="37"/>
    </row>
    <row r="90" spans="44:48" x14ac:dyDescent="0.2">
      <c r="AR90" s="37" t="s">
        <v>673</v>
      </c>
      <c r="AS90" s="41" t="s">
        <v>674</v>
      </c>
      <c r="AT90" s="40" t="s">
        <v>33</v>
      </c>
      <c r="AU90" s="37"/>
      <c r="AV90" s="37"/>
    </row>
    <row r="91" spans="44:48" x14ac:dyDescent="0.2">
      <c r="AR91" s="37" t="s">
        <v>676</v>
      </c>
      <c r="AS91" s="41" t="s">
        <v>677</v>
      </c>
      <c r="AT91" s="40" t="s">
        <v>33</v>
      </c>
      <c r="AU91" s="37"/>
      <c r="AV91" s="37"/>
    </row>
    <row r="92" spans="44:48" x14ac:dyDescent="0.2">
      <c r="AR92" s="37" t="s">
        <v>679</v>
      </c>
      <c r="AS92" s="41" t="s">
        <v>680</v>
      </c>
      <c r="AT92" s="40" t="s">
        <v>33</v>
      </c>
      <c r="AU92" s="37"/>
      <c r="AV92" s="37"/>
    </row>
    <row r="93" spans="44:48" x14ac:dyDescent="0.2">
      <c r="AR93" s="37" t="s">
        <v>682</v>
      </c>
      <c r="AS93" s="41" t="s">
        <v>683</v>
      </c>
      <c r="AT93" s="40" t="s">
        <v>33</v>
      </c>
      <c r="AU93" s="37"/>
      <c r="AV93" s="37"/>
    </row>
    <row r="94" spans="44:48" x14ac:dyDescent="0.2">
      <c r="AR94" s="37" t="s">
        <v>684</v>
      </c>
      <c r="AS94" s="41" t="s">
        <v>685</v>
      </c>
      <c r="AT94" s="40" t="s">
        <v>33</v>
      </c>
      <c r="AU94" s="37"/>
      <c r="AV94" s="37"/>
    </row>
    <row r="95" spans="44:48" x14ac:dyDescent="0.2">
      <c r="AR95" s="37" t="s">
        <v>686</v>
      </c>
      <c r="AS95" s="41" t="s">
        <v>687</v>
      </c>
      <c r="AT95" s="40" t="s">
        <v>33</v>
      </c>
      <c r="AU95" s="37"/>
      <c r="AV95" s="37"/>
    </row>
    <row r="96" spans="44:48" x14ac:dyDescent="0.2">
      <c r="AR96" s="37" t="s">
        <v>688</v>
      </c>
      <c r="AS96" s="41" t="s">
        <v>689</v>
      </c>
      <c r="AT96" s="40" t="s">
        <v>33</v>
      </c>
      <c r="AU96" s="37"/>
      <c r="AV96" s="37"/>
    </row>
    <row r="97" spans="44:48" x14ac:dyDescent="0.2">
      <c r="AR97" s="37" t="s">
        <v>691</v>
      </c>
      <c r="AS97" s="41" t="s">
        <v>692</v>
      </c>
      <c r="AT97" s="40" t="s">
        <v>33</v>
      </c>
      <c r="AU97" s="37"/>
      <c r="AV97" s="37"/>
    </row>
    <row r="98" spans="44:48" x14ac:dyDescent="0.2">
      <c r="AR98" s="37" t="s">
        <v>73</v>
      </c>
      <c r="AS98" s="42" t="s">
        <v>707</v>
      </c>
      <c r="AT98" s="40" t="s">
        <v>33</v>
      </c>
      <c r="AU98" s="37"/>
      <c r="AV98" s="42"/>
    </row>
    <row r="99" spans="44:48" x14ac:dyDescent="0.2">
      <c r="AR99" s="37" t="s">
        <v>613</v>
      </c>
      <c r="AS99" s="42" t="s">
        <v>708</v>
      </c>
      <c r="AT99" s="40" t="s">
        <v>33</v>
      </c>
      <c r="AU99" s="37"/>
      <c r="AV99" s="42" t="s">
        <v>28</v>
      </c>
    </row>
    <row r="100" spans="44:48" x14ac:dyDescent="0.2">
      <c r="AR100" s="37" t="s">
        <v>163</v>
      </c>
      <c r="AS100" s="42" t="s">
        <v>636</v>
      </c>
      <c r="AT100" s="40" t="s">
        <v>33</v>
      </c>
      <c r="AU100" s="37"/>
      <c r="AV100" s="42" t="s">
        <v>857</v>
      </c>
    </row>
    <row r="101" spans="44:48" x14ac:dyDescent="0.2">
      <c r="AR101" s="37" t="s">
        <v>76</v>
      </c>
      <c r="AS101" s="42" t="s">
        <v>651</v>
      </c>
      <c r="AT101" s="40" t="s">
        <v>33</v>
      </c>
      <c r="AU101" s="37"/>
      <c r="AV101" s="42"/>
    </row>
    <row r="102" spans="44:48" x14ac:dyDescent="0.2">
      <c r="AR102" s="37" t="s">
        <v>136</v>
      </c>
      <c r="AS102" s="42" t="s">
        <v>675</v>
      </c>
      <c r="AT102" s="40" t="s">
        <v>33</v>
      </c>
      <c r="AU102" s="37"/>
      <c r="AV102" s="42" t="s">
        <v>28</v>
      </c>
    </row>
    <row r="103" spans="44:48" x14ac:dyDescent="0.2">
      <c r="AR103" s="37" t="s">
        <v>698</v>
      </c>
      <c r="AS103" s="42" t="s">
        <v>709</v>
      </c>
      <c r="AT103" s="40" t="s">
        <v>33</v>
      </c>
      <c r="AU103" s="37"/>
      <c r="AV103" s="42" t="s">
        <v>857</v>
      </c>
    </row>
    <row r="104" spans="44:48" x14ac:dyDescent="0.2">
      <c r="AR104" s="37" t="s">
        <v>94</v>
      </c>
      <c r="AS104" s="42" t="s">
        <v>710</v>
      </c>
      <c r="AT104" s="40" t="s">
        <v>33</v>
      </c>
      <c r="AU104" s="37"/>
      <c r="AV104" s="42" t="s">
        <v>857</v>
      </c>
    </row>
    <row r="105" spans="44:48" x14ac:dyDescent="0.2">
      <c r="AR105" s="37" t="s">
        <v>201</v>
      </c>
      <c r="AS105" s="42" t="s">
        <v>711</v>
      </c>
      <c r="AT105" s="40" t="s">
        <v>33</v>
      </c>
      <c r="AU105" s="37"/>
      <c r="AV105" s="42" t="s">
        <v>28</v>
      </c>
    </row>
    <row r="106" spans="44:48" x14ac:dyDescent="0.2">
      <c r="AR106" s="37" t="s">
        <v>699</v>
      </c>
      <c r="AS106" s="42" t="s">
        <v>712</v>
      </c>
      <c r="AT106" s="40" t="s">
        <v>33</v>
      </c>
      <c r="AU106" s="37"/>
      <c r="AV106" s="42" t="s">
        <v>26</v>
      </c>
    </row>
    <row r="107" spans="44:48" x14ac:dyDescent="0.2">
      <c r="AR107" s="37" t="s">
        <v>97</v>
      </c>
      <c r="AS107" s="42" t="s">
        <v>713</v>
      </c>
      <c r="AT107" s="40" t="s">
        <v>33</v>
      </c>
      <c r="AU107" s="37"/>
      <c r="AV107" s="42" t="s">
        <v>26</v>
      </c>
    </row>
    <row r="108" spans="44:48" x14ac:dyDescent="0.2">
      <c r="AR108" s="37" t="s">
        <v>714</v>
      </c>
      <c r="AS108" s="42" t="s">
        <v>715</v>
      </c>
      <c r="AT108" s="40" t="s">
        <v>33</v>
      </c>
      <c r="AU108" s="37"/>
      <c r="AV108" s="42"/>
    </row>
    <row r="109" spans="44:48" x14ac:dyDescent="0.2">
      <c r="AR109" s="37" t="s">
        <v>111</v>
      </c>
      <c r="AS109" s="42" t="s">
        <v>716</v>
      </c>
      <c r="AT109" s="40" t="s">
        <v>33</v>
      </c>
      <c r="AU109" s="37"/>
      <c r="AV109" s="42" t="s">
        <v>26</v>
      </c>
    </row>
    <row r="110" spans="44:48" x14ac:dyDescent="0.2">
      <c r="AR110" s="37" t="s">
        <v>115</v>
      </c>
      <c r="AS110" s="42" t="s">
        <v>717</v>
      </c>
      <c r="AT110" s="40" t="s">
        <v>33</v>
      </c>
      <c r="AU110" s="37"/>
      <c r="AV110" s="42" t="s">
        <v>26</v>
      </c>
    </row>
    <row r="111" spans="44:48" x14ac:dyDescent="0.2">
      <c r="AR111" s="37" t="s">
        <v>118</v>
      </c>
      <c r="AS111" s="42" t="s">
        <v>718</v>
      </c>
      <c r="AT111" s="40" t="s">
        <v>33</v>
      </c>
      <c r="AU111" s="37"/>
      <c r="AV111" s="42" t="s">
        <v>26</v>
      </c>
    </row>
    <row r="112" spans="44:48" x14ac:dyDescent="0.2">
      <c r="AR112" s="37" t="s">
        <v>703</v>
      </c>
      <c r="AS112" s="42" t="s">
        <v>704</v>
      </c>
      <c r="AT112" s="40" t="s">
        <v>33</v>
      </c>
      <c r="AU112" s="37"/>
      <c r="AV112" s="42"/>
    </row>
    <row r="113" spans="44:48" x14ac:dyDescent="0.2">
      <c r="AR113" s="37" t="s">
        <v>705</v>
      </c>
      <c r="AS113" s="42" t="s">
        <v>706</v>
      </c>
      <c r="AT113" s="40" t="s">
        <v>33</v>
      </c>
      <c r="AU113" s="37"/>
      <c r="AV113" s="42"/>
    </row>
    <row r="114" spans="44:48" x14ac:dyDescent="0.2">
      <c r="AR114" s="37" t="s">
        <v>719</v>
      </c>
      <c r="AS114" s="42" t="s">
        <v>720</v>
      </c>
      <c r="AT114" s="40" t="s">
        <v>33</v>
      </c>
      <c r="AU114" s="37"/>
      <c r="AV114" s="42" t="s">
        <v>26</v>
      </c>
    </row>
    <row r="115" spans="44:48" x14ac:dyDescent="0.2">
      <c r="AR115" s="37" t="s">
        <v>721</v>
      </c>
      <c r="AS115" s="42" t="s">
        <v>722</v>
      </c>
      <c r="AT115" s="40" t="s">
        <v>33</v>
      </c>
      <c r="AU115" s="37"/>
      <c r="AV115" s="42"/>
    </row>
    <row r="116" spans="44:48" x14ac:dyDescent="0.2">
      <c r="AR116" s="37" t="s">
        <v>723</v>
      </c>
      <c r="AS116" s="42" t="s">
        <v>724</v>
      </c>
      <c r="AT116" s="40" t="s">
        <v>33</v>
      </c>
      <c r="AU116" s="37"/>
      <c r="AV116" s="42"/>
    </row>
    <row r="117" spans="44:48" x14ac:dyDescent="0.2">
      <c r="AR117" s="37" t="s">
        <v>725</v>
      </c>
      <c r="AS117" s="42" t="s">
        <v>726</v>
      </c>
      <c r="AT117" s="40" t="s">
        <v>33</v>
      </c>
      <c r="AU117" s="37"/>
      <c r="AV117" s="42" t="s">
        <v>28</v>
      </c>
    </row>
  </sheetData>
  <conditionalFormatting sqref="AO25">
    <cfRule type="duplicateValues" dxfId="73" priority="2"/>
  </conditionalFormatting>
  <conditionalFormatting sqref="AO3:AO18 AO26:AO29 AO21:AO24">
    <cfRule type="duplicateValues" dxfId="72" priority="3"/>
  </conditionalFormatting>
  <conditionalFormatting sqref="AO3:AO66">
    <cfRule type="duplicateValues" dxfId="71" priority="4"/>
  </conditionalFormatting>
  <conditionalFormatting sqref="AR57:AR117">
    <cfRule type="duplicateValues" dxfId="70" priority="5"/>
  </conditionalFormatting>
  <conditionalFormatting sqref="N1:AK1">
    <cfRule type="expression" dxfId="69" priority="1">
      <formula>AND(N1&lt;&gt;"",COUNTA(N$5:N$64)=0)</formula>
    </cfRule>
  </conditionalFormatting>
  <conditionalFormatting sqref="F1:M1">
    <cfRule type="expression" dxfId="68" priority="125">
      <formula>AND(F1&lt;&gt;"",COUNTA(F$5:F$63)=0)</formula>
    </cfRule>
  </conditionalFormatting>
  <dataValidations count="1">
    <dataValidation type="list" allowBlank="1" showInputMessage="1" showErrorMessage="1" sqref="AM8">
      <formula1>Type</formula1>
    </dataValidation>
  </dataValidations>
  <pageMargins left="0.23622047244094499" right="0.23622047244094499" top="0.35433070866141703" bottom="0.35433070866141703" header="0.31496062992126" footer="0.31496062992126"/>
  <pageSetup paperSize="5" scale="85" fitToHeight="0" orientation="landscape"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R26"/>
  <sheetViews>
    <sheetView workbookViewId="0"/>
  </sheetViews>
  <sheetFormatPr baseColWidth="10" defaultColWidth="8.83203125" defaultRowHeight="15" x14ac:dyDescent="0.2"/>
  <cols>
    <col min="1" max="1" width="24.1640625" bestFit="1" customWidth="1"/>
    <col min="2" max="2" width="16.6640625" style="4" customWidth="1"/>
    <col min="3" max="4" width="5.33203125" customWidth="1"/>
    <col min="5" max="5" width="5" customWidth="1"/>
    <col min="6" max="6" width="7.1640625" customWidth="1"/>
    <col min="7" max="7" width="32.6640625" bestFit="1" customWidth="1"/>
  </cols>
  <sheetData>
    <row r="1" spans="1:18" s="3" customFormat="1" ht="20" thickBot="1" x14ac:dyDescent="0.3">
      <c r="A1" s="7" t="s">
        <v>21</v>
      </c>
      <c r="B1" s="4"/>
      <c r="F1" s="155" t="s">
        <v>1006</v>
      </c>
      <c r="G1" s="4"/>
    </row>
    <row r="2" spans="1:18" ht="15" customHeight="1" x14ac:dyDescent="0.2">
      <c r="A2" t="s">
        <v>20</v>
      </c>
      <c r="B2" s="4" t="s">
        <v>487</v>
      </c>
      <c r="F2" s="179" t="s">
        <v>969</v>
      </c>
      <c r="G2" s="180" t="s">
        <v>997</v>
      </c>
    </row>
    <row r="3" spans="1:18" ht="15" customHeight="1" x14ac:dyDescent="0.2">
      <c r="A3" t="s">
        <v>22</v>
      </c>
      <c r="B3" s="4">
        <v>211</v>
      </c>
      <c r="F3" s="181" t="s">
        <v>970</v>
      </c>
      <c r="G3" s="182" t="s">
        <v>998</v>
      </c>
    </row>
    <row r="4" spans="1:18" ht="15" customHeight="1" x14ac:dyDescent="0.2">
      <c r="A4" t="s">
        <v>18</v>
      </c>
      <c r="B4" s="4" t="str">
        <f>IFERROR(VLOOKUP(B2&amp;" "&amp;B3,Data!AR2:AV117,2,0),"enter name")</f>
        <v xml:space="preserve">Organizational Behaviour </v>
      </c>
      <c r="F4" s="181" t="s">
        <v>971</v>
      </c>
      <c r="G4" s="182" t="s">
        <v>999</v>
      </c>
    </row>
    <row r="5" spans="1:18" x14ac:dyDescent="0.2">
      <c r="A5" t="s">
        <v>23</v>
      </c>
      <c r="B5" s="4" t="s">
        <v>36</v>
      </c>
      <c r="F5" s="181" t="s">
        <v>972</v>
      </c>
      <c r="G5" s="182" t="s">
        <v>1000</v>
      </c>
    </row>
    <row r="6" spans="1:18" x14ac:dyDescent="0.2">
      <c r="A6" s="3" t="s">
        <v>24</v>
      </c>
      <c r="B6" s="4" t="str">
        <f>VLOOKUP(B5,Data!AO1:AP90,2,0)</f>
        <v>def</v>
      </c>
      <c r="F6" s="181" t="s">
        <v>973</v>
      </c>
      <c r="G6" s="182" t="s">
        <v>1001</v>
      </c>
    </row>
    <row r="7" spans="1:18" x14ac:dyDescent="0.2">
      <c r="A7" t="s">
        <v>25</v>
      </c>
      <c r="B7" s="4" t="str">
        <f>IFERROR(VLOOKUP(B2&amp;" "&amp;B3,Data!AR2:AV117,5,0),"enter term")</f>
        <v>Spring</v>
      </c>
      <c r="F7" s="183" t="s">
        <v>974</v>
      </c>
      <c r="G7" s="182" t="s">
        <v>1002</v>
      </c>
    </row>
    <row r="8" spans="1:18" ht="16" thickBot="1" x14ac:dyDescent="0.25">
      <c r="A8" t="s">
        <v>29</v>
      </c>
      <c r="B8" s="4">
        <v>2017</v>
      </c>
      <c r="F8" s="184" t="s">
        <v>975</v>
      </c>
      <c r="G8" s="185" t="s">
        <v>1003</v>
      </c>
    </row>
    <row r="9" spans="1:18" x14ac:dyDescent="0.2">
      <c r="A9" t="s">
        <v>30</v>
      </c>
      <c r="B9" s="4" t="str">
        <f>IFERROR(VLOOKUP(B2&amp;" "&amp;B3,Data!AR2:AV117,4,0),"enter cohort")</f>
        <v>2B</v>
      </c>
    </row>
    <row r="10" spans="1:18" ht="16" x14ac:dyDescent="0.2">
      <c r="A10" t="s">
        <v>31</v>
      </c>
      <c r="B10" s="4" t="str">
        <f>IFERROR(VLOOKUP(B2&amp;" "&amp;B3,Data!AR2:AV117,3,0),"Elective")</f>
        <v>Core</v>
      </c>
      <c r="G10" s="155" t="s">
        <v>1005</v>
      </c>
    </row>
    <row r="11" spans="1:18" ht="15" customHeight="1" x14ac:dyDescent="0.2">
      <c r="G11" s="207" t="s">
        <v>976</v>
      </c>
      <c r="H11" s="206" t="s">
        <v>981</v>
      </c>
      <c r="I11" s="206"/>
      <c r="J11" s="206"/>
      <c r="K11" s="206"/>
      <c r="L11" s="206"/>
      <c r="M11" s="206"/>
      <c r="N11" s="206"/>
      <c r="O11" s="178"/>
      <c r="P11" s="178"/>
      <c r="Q11" s="178"/>
      <c r="R11" s="178"/>
    </row>
    <row r="12" spans="1:18" x14ac:dyDescent="0.2">
      <c r="G12" s="207"/>
      <c r="H12" s="206"/>
      <c r="I12" s="206"/>
      <c r="J12" s="206"/>
      <c r="K12" s="206"/>
      <c r="L12" s="206"/>
      <c r="M12" s="206"/>
      <c r="N12" s="206"/>
      <c r="O12" s="178"/>
    </row>
    <row r="13" spans="1:18" x14ac:dyDescent="0.2">
      <c r="G13" s="207"/>
      <c r="H13" s="206"/>
      <c r="I13" s="206"/>
      <c r="J13" s="206"/>
      <c r="K13" s="206"/>
      <c r="L13" s="206"/>
      <c r="M13" s="206"/>
      <c r="N13" s="206"/>
      <c r="O13" s="178"/>
    </row>
    <row r="14" spans="1:18" x14ac:dyDescent="0.2">
      <c r="G14" s="207"/>
      <c r="H14" s="206"/>
      <c r="I14" s="206"/>
      <c r="J14" s="206"/>
      <c r="K14" s="206"/>
      <c r="L14" s="206"/>
      <c r="M14" s="206"/>
      <c r="N14" s="206"/>
      <c r="O14" s="178"/>
    </row>
    <row r="15" spans="1:18" ht="15" customHeight="1" x14ac:dyDescent="0.2">
      <c r="G15" s="207" t="s">
        <v>977</v>
      </c>
      <c r="H15" s="206" t="s">
        <v>982</v>
      </c>
      <c r="I15" s="206"/>
      <c r="J15" s="206"/>
      <c r="K15" s="206"/>
      <c r="L15" s="206"/>
      <c r="M15" s="206"/>
      <c r="N15" s="206"/>
      <c r="O15" s="178"/>
      <c r="P15" s="178"/>
      <c r="Q15" s="178"/>
      <c r="R15" s="178"/>
    </row>
    <row r="16" spans="1:18" x14ac:dyDescent="0.2">
      <c r="G16" s="207"/>
      <c r="H16" s="206"/>
      <c r="I16" s="206"/>
      <c r="J16" s="206"/>
      <c r="K16" s="206"/>
      <c r="L16" s="206"/>
      <c r="M16" s="206"/>
      <c r="N16" s="206"/>
    </row>
    <row r="17" spans="7:18" x14ac:dyDescent="0.2">
      <c r="G17" s="207"/>
      <c r="H17" s="206"/>
      <c r="I17" s="206"/>
      <c r="J17" s="206"/>
      <c r="K17" s="206"/>
      <c r="L17" s="206"/>
      <c r="M17" s="206"/>
      <c r="N17" s="206"/>
    </row>
    <row r="18" spans="7:18" x14ac:dyDescent="0.2">
      <c r="G18" s="207"/>
      <c r="H18" s="206"/>
      <c r="I18" s="206"/>
      <c r="J18" s="206"/>
      <c r="K18" s="206"/>
      <c r="L18" s="206"/>
      <c r="M18" s="206"/>
      <c r="N18" s="206"/>
    </row>
    <row r="19" spans="7:18" x14ac:dyDescent="0.2">
      <c r="G19" s="207"/>
      <c r="H19" s="206"/>
      <c r="I19" s="206"/>
      <c r="J19" s="206"/>
      <c r="K19" s="206"/>
      <c r="L19" s="206"/>
      <c r="M19" s="206"/>
      <c r="N19" s="206"/>
    </row>
    <row r="20" spans="7:18" x14ac:dyDescent="0.2">
      <c r="G20" s="207"/>
      <c r="H20" s="206"/>
      <c r="I20" s="206"/>
      <c r="J20" s="206"/>
      <c r="K20" s="206"/>
      <c r="L20" s="206"/>
      <c r="M20" s="206"/>
      <c r="N20" s="206"/>
    </row>
    <row r="21" spans="7:18" ht="15" customHeight="1" x14ac:dyDescent="0.2">
      <c r="G21" s="207" t="s">
        <v>978</v>
      </c>
      <c r="H21" s="206" t="s">
        <v>982</v>
      </c>
      <c r="I21" s="206"/>
      <c r="J21" s="206"/>
      <c r="K21" s="206"/>
      <c r="L21" s="206"/>
      <c r="M21" s="206"/>
      <c r="N21" s="206"/>
      <c r="O21" s="178"/>
      <c r="P21" s="178"/>
      <c r="Q21" s="178"/>
      <c r="R21" s="178"/>
    </row>
    <row r="22" spans="7:18" x14ac:dyDescent="0.2">
      <c r="G22" s="207"/>
      <c r="H22" s="206"/>
      <c r="I22" s="206"/>
      <c r="J22" s="206"/>
      <c r="K22" s="206"/>
      <c r="L22" s="206"/>
      <c r="M22" s="206"/>
      <c r="N22" s="206"/>
    </row>
    <row r="23" spans="7:18" x14ac:dyDescent="0.2">
      <c r="G23" s="207"/>
      <c r="H23" s="206"/>
      <c r="I23" s="206"/>
      <c r="J23" s="206"/>
      <c r="K23" s="206"/>
      <c r="L23" s="206"/>
      <c r="M23" s="206"/>
      <c r="N23" s="206"/>
    </row>
    <row r="24" spans="7:18" x14ac:dyDescent="0.2">
      <c r="G24" s="207"/>
      <c r="H24" s="206"/>
      <c r="I24" s="206"/>
      <c r="J24" s="206"/>
      <c r="K24" s="206"/>
      <c r="L24" s="206"/>
      <c r="M24" s="206"/>
      <c r="N24" s="206"/>
    </row>
    <row r="25" spans="7:18" x14ac:dyDescent="0.2">
      <c r="G25" s="207"/>
      <c r="H25" s="206"/>
      <c r="I25" s="206"/>
      <c r="J25" s="206"/>
      <c r="K25" s="206"/>
      <c r="L25" s="206"/>
      <c r="M25" s="206"/>
      <c r="N25" s="206"/>
    </row>
    <row r="26" spans="7:18" x14ac:dyDescent="0.2">
      <c r="G26" s="207"/>
      <c r="H26" s="206"/>
      <c r="I26" s="206"/>
      <c r="J26" s="206"/>
      <c r="K26" s="206"/>
      <c r="L26" s="206"/>
      <c r="M26" s="206"/>
      <c r="N26" s="206"/>
    </row>
  </sheetData>
  <mergeCells count="6">
    <mergeCell ref="H11:N14"/>
    <mergeCell ref="H15:N20"/>
    <mergeCell ref="H21:N26"/>
    <mergeCell ref="G11:G14"/>
    <mergeCell ref="G21:G26"/>
    <mergeCell ref="G15:G20"/>
  </mergeCells>
  <dataValidations count="1">
    <dataValidation type="list" allowBlank="1" showInputMessage="1" showErrorMessage="1" sqref="B12">
      <formula1>Terms</formula1>
    </dataValidation>
  </dataValidations>
  <pageMargins left="0.7" right="0.7" top="0.75" bottom="0.75" header="0.3" footer="0.3"/>
  <pageSetup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Data!$AM$2:$AM$5</xm:f>
          </x14:formula1>
          <xm:sqref>B7</xm:sqref>
        </x14:dataValidation>
        <x14:dataValidation type="list" allowBlank="1" showInputMessage="1" showErrorMessage="1">
          <x14:formula1>
            <xm:f>Data!$AM$7:$AM$9</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58"/>
  <sheetViews>
    <sheetView workbookViewId="0">
      <pane ySplit="9" topLeftCell="A10" activePane="bottomLeft" state="frozen"/>
      <selection pane="bottomLeft" activeCell="A15" sqref="A15"/>
    </sheetView>
  </sheetViews>
  <sheetFormatPr baseColWidth="10" defaultColWidth="8.83203125" defaultRowHeight="15" x14ac:dyDescent="0.2"/>
  <cols>
    <col min="1" max="1" width="6" style="3" bestFit="1" customWidth="1"/>
    <col min="2" max="2" width="5.6640625" style="3" customWidth="1"/>
    <col min="3" max="3" width="116" customWidth="1"/>
  </cols>
  <sheetData>
    <row r="1" spans="1:7" s="3" customFormat="1" ht="45.75" customHeight="1" x14ac:dyDescent="0.2">
      <c r="A1" s="208" t="s">
        <v>571</v>
      </c>
      <c r="B1" s="208"/>
      <c r="C1" s="208"/>
    </row>
    <row r="2" spans="1:7" s="3" customFormat="1" ht="7.5" customHeight="1" x14ac:dyDescent="0.2">
      <c r="C2" s="6"/>
    </row>
    <row r="3" spans="1:7" ht="11.25" customHeight="1" x14ac:dyDescent="0.2">
      <c r="A3" s="209" t="s">
        <v>10</v>
      </c>
      <c r="B3" s="209"/>
      <c r="C3" s="209"/>
    </row>
    <row r="4" spans="1:7" ht="7.5" customHeight="1" x14ac:dyDescent="0.2">
      <c r="C4" s="3"/>
    </row>
    <row r="5" spans="1:7" ht="18" x14ac:dyDescent="0.2">
      <c r="A5" s="210" t="str">
        <f>CourseInfo!B2&amp;" "&amp;CourseInfo!B3&amp;" - "&amp;CourseInfo!B4</f>
        <v xml:space="preserve">MSCI 211 - Organizational Behaviour </v>
      </c>
      <c r="B5" s="210"/>
      <c r="C5" s="210"/>
    </row>
    <row r="6" spans="1:7" ht="7.5" customHeight="1" x14ac:dyDescent="0.2">
      <c r="C6" s="2"/>
    </row>
    <row r="7" spans="1:7" ht="16" x14ac:dyDescent="0.2">
      <c r="A7" s="211" t="s">
        <v>17</v>
      </c>
      <c r="B7" s="211"/>
      <c r="C7" s="211"/>
    </row>
    <row r="8" spans="1:7" ht="12.75" customHeight="1" x14ac:dyDescent="0.2">
      <c r="B8" s="45">
        <f>SUM(B10:B90)</f>
        <v>100</v>
      </c>
      <c r="C8" s="12" t="str">
        <f>IF(SUM(B10:B90)&lt;&gt;100,"Does not equal 100%","")</f>
        <v/>
      </c>
      <c r="E8" s="4"/>
      <c r="F8" s="4"/>
      <c r="G8" s="4"/>
    </row>
    <row r="9" spans="1:7" ht="16" x14ac:dyDescent="0.2">
      <c r="A9" s="32" t="s">
        <v>468</v>
      </c>
      <c r="B9" s="44" t="s">
        <v>859</v>
      </c>
      <c r="C9" s="32" t="s">
        <v>572</v>
      </c>
    </row>
    <row r="10" spans="1:7" ht="16" x14ac:dyDescent="0.2">
      <c r="A10" s="12"/>
      <c r="B10" s="12"/>
      <c r="C10" s="5" t="s">
        <v>861</v>
      </c>
    </row>
    <row r="11" spans="1:7" s="3" customFormat="1" ht="16" x14ac:dyDescent="0.2">
      <c r="A11" s="12" t="s">
        <v>13</v>
      </c>
      <c r="B11" s="12">
        <v>10</v>
      </c>
      <c r="C11" s="2" t="s">
        <v>469</v>
      </c>
      <c r="D11" s="12"/>
    </row>
    <row r="12" spans="1:7" s="3" customFormat="1" ht="16" x14ac:dyDescent="0.2">
      <c r="A12" s="12" t="s">
        <v>14</v>
      </c>
      <c r="B12" s="12">
        <v>10</v>
      </c>
      <c r="C12" s="2" t="s">
        <v>470</v>
      </c>
      <c r="D12" s="12"/>
    </row>
    <row r="13" spans="1:7" ht="16" x14ac:dyDescent="0.2">
      <c r="A13" s="12"/>
      <c r="B13" s="12"/>
      <c r="C13" s="2"/>
      <c r="D13" s="12"/>
    </row>
    <row r="14" spans="1:7" ht="16" x14ac:dyDescent="0.2">
      <c r="A14" s="12"/>
      <c r="B14" s="12"/>
      <c r="C14" s="5" t="s">
        <v>862</v>
      </c>
      <c r="D14" s="12"/>
    </row>
    <row r="15" spans="1:7" s="3" customFormat="1" ht="16" x14ac:dyDescent="0.2">
      <c r="A15" s="12" t="s">
        <v>15</v>
      </c>
      <c r="B15" s="12">
        <f>35/4</f>
        <v>8.75</v>
      </c>
      <c r="C15" s="2" t="s">
        <v>471</v>
      </c>
      <c r="D15" s="12"/>
    </row>
    <row r="16" spans="1:7" s="3" customFormat="1" ht="16" x14ac:dyDescent="0.2">
      <c r="A16" s="12" t="s">
        <v>16</v>
      </c>
      <c r="B16" s="12">
        <f>35/4</f>
        <v>8.75</v>
      </c>
      <c r="C16" s="2" t="s">
        <v>472</v>
      </c>
      <c r="D16" s="12"/>
    </row>
    <row r="17" spans="1:4" s="3" customFormat="1" ht="16" x14ac:dyDescent="0.2">
      <c r="A17" s="12" t="s">
        <v>44</v>
      </c>
      <c r="B17" s="12">
        <f>35/4</f>
        <v>8.75</v>
      </c>
      <c r="C17" s="2" t="s">
        <v>473</v>
      </c>
      <c r="D17" s="12"/>
    </row>
    <row r="18" spans="1:4" s="3" customFormat="1" ht="16" x14ac:dyDescent="0.2">
      <c r="A18" s="12" t="s">
        <v>45</v>
      </c>
      <c r="B18" s="12">
        <f>35/4</f>
        <v>8.75</v>
      </c>
      <c r="C18" s="2" t="s">
        <v>474</v>
      </c>
      <c r="D18" s="12"/>
    </row>
    <row r="19" spans="1:4" ht="16" x14ac:dyDescent="0.2">
      <c r="A19" s="12"/>
      <c r="B19" s="12"/>
      <c r="C19" s="2"/>
      <c r="D19" s="12"/>
    </row>
    <row r="20" spans="1:4" ht="16" x14ac:dyDescent="0.2">
      <c r="A20" s="12"/>
      <c r="B20" s="12"/>
      <c r="C20" s="5" t="s">
        <v>860</v>
      </c>
      <c r="D20" s="12"/>
    </row>
    <row r="21" spans="1:4" s="3" customFormat="1" ht="16" x14ac:dyDescent="0.2">
      <c r="A21" s="12" t="s">
        <v>46</v>
      </c>
      <c r="B21" s="12">
        <v>15</v>
      </c>
      <c r="C21" s="2" t="s">
        <v>475</v>
      </c>
      <c r="D21" s="12"/>
    </row>
    <row r="22" spans="1:4" s="3" customFormat="1" ht="16" x14ac:dyDescent="0.2">
      <c r="A22" s="12" t="s">
        <v>47</v>
      </c>
      <c r="B22" s="12">
        <v>15</v>
      </c>
      <c r="C22" s="2" t="s">
        <v>476</v>
      </c>
      <c r="D22" s="12"/>
    </row>
    <row r="23" spans="1:4" s="3" customFormat="1" ht="16" x14ac:dyDescent="0.2">
      <c r="A23" s="12" t="s">
        <v>48</v>
      </c>
      <c r="B23" s="12">
        <v>15</v>
      </c>
      <c r="C23" s="2" t="s">
        <v>477</v>
      </c>
      <c r="D23" s="12"/>
    </row>
    <row r="24" spans="1:4" ht="16" x14ac:dyDescent="0.2">
      <c r="A24" s="12"/>
      <c r="B24" s="12"/>
      <c r="C24" s="2"/>
    </row>
    <row r="25" spans="1:4" ht="16" x14ac:dyDescent="0.2">
      <c r="A25" s="12"/>
      <c r="B25" s="12"/>
      <c r="C25" s="5"/>
    </row>
    <row r="26" spans="1:4" s="3" customFormat="1" ht="16" x14ac:dyDescent="0.2">
      <c r="A26" s="12"/>
      <c r="B26" s="12"/>
      <c r="C26" s="2"/>
    </row>
    <row r="27" spans="1:4" s="3" customFormat="1" ht="16" x14ac:dyDescent="0.2">
      <c r="A27" s="12"/>
      <c r="B27" s="12"/>
      <c r="C27" s="2"/>
    </row>
    <row r="28" spans="1:4" ht="16" x14ac:dyDescent="0.2">
      <c r="A28" s="12"/>
      <c r="B28" s="12"/>
      <c r="C28" s="2"/>
    </row>
    <row r="29" spans="1:4" ht="16" x14ac:dyDescent="0.2">
      <c r="A29" s="12"/>
      <c r="B29" s="12"/>
      <c r="C29" s="5"/>
    </row>
    <row r="30" spans="1:4" ht="16" x14ac:dyDescent="0.2">
      <c r="A30" s="12"/>
      <c r="B30" s="12"/>
      <c r="C30" s="2"/>
    </row>
    <row r="31" spans="1:4" ht="16" x14ac:dyDescent="0.2">
      <c r="A31" s="12"/>
      <c r="B31" s="12"/>
      <c r="C31" s="2"/>
    </row>
    <row r="32" spans="1:4" ht="16" x14ac:dyDescent="0.2">
      <c r="A32" s="12"/>
      <c r="B32" s="12"/>
      <c r="C32" s="2"/>
    </row>
    <row r="33" spans="1:3" ht="16" x14ac:dyDescent="0.2">
      <c r="A33" s="12"/>
      <c r="B33" s="12"/>
      <c r="C33" s="2"/>
    </row>
    <row r="34" spans="1:3" ht="16" x14ac:dyDescent="0.2">
      <c r="A34" s="12"/>
      <c r="B34" s="12"/>
      <c r="C34" s="2"/>
    </row>
    <row r="35" spans="1:3" x14ac:dyDescent="0.2">
      <c r="A35" s="12"/>
      <c r="B35" s="12"/>
      <c r="C35" s="1"/>
    </row>
    <row r="36" spans="1:3" ht="16" x14ac:dyDescent="0.2">
      <c r="A36" s="12"/>
      <c r="B36" s="12"/>
      <c r="C36" s="2"/>
    </row>
    <row r="37" spans="1:3" ht="16" x14ac:dyDescent="0.2">
      <c r="A37" s="12"/>
      <c r="B37" s="12"/>
      <c r="C37" s="2"/>
    </row>
    <row r="38" spans="1:3" ht="16" x14ac:dyDescent="0.2">
      <c r="A38" s="12"/>
      <c r="B38" s="12"/>
      <c r="C38" s="2"/>
    </row>
    <row r="39" spans="1:3" ht="16" x14ac:dyDescent="0.2">
      <c r="A39" s="12"/>
      <c r="B39" s="12"/>
      <c r="C39" s="2"/>
    </row>
    <row r="40" spans="1:3" ht="16" x14ac:dyDescent="0.2">
      <c r="A40" s="12"/>
      <c r="B40" s="12"/>
      <c r="C40" s="2"/>
    </row>
    <row r="41" spans="1:3" ht="16" x14ac:dyDescent="0.2">
      <c r="A41" s="12"/>
      <c r="B41" s="12"/>
      <c r="C41" s="2"/>
    </row>
    <row r="42" spans="1:3" ht="16" x14ac:dyDescent="0.2">
      <c r="A42" s="12"/>
      <c r="B42" s="12"/>
      <c r="C42" s="2"/>
    </row>
    <row r="43" spans="1:3" ht="16" x14ac:dyDescent="0.2">
      <c r="A43" s="12"/>
      <c r="B43" s="12"/>
      <c r="C43" s="2"/>
    </row>
    <row r="44" spans="1:3" ht="16" x14ac:dyDescent="0.2">
      <c r="A44" s="12"/>
      <c r="B44" s="12"/>
      <c r="C44" s="2"/>
    </row>
    <row r="45" spans="1:3" x14ac:dyDescent="0.2">
      <c r="A45" s="12"/>
      <c r="B45" s="12"/>
      <c r="C45" s="1"/>
    </row>
    <row r="46" spans="1:3" ht="16" x14ac:dyDescent="0.2">
      <c r="A46" s="12"/>
      <c r="B46" s="12"/>
      <c r="C46" s="2"/>
    </row>
    <row r="47" spans="1:3" ht="16" x14ac:dyDescent="0.2">
      <c r="A47" s="12"/>
      <c r="B47" s="12"/>
      <c r="C47" s="2"/>
    </row>
    <row r="48" spans="1:3" ht="16" x14ac:dyDescent="0.2">
      <c r="A48" s="12"/>
      <c r="B48" s="12"/>
      <c r="C48" s="2"/>
    </row>
    <row r="49" spans="1:3" ht="16" x14ac:dyDescent="0.2">
      <c r="A49" s="12"/>
      <c r="B49" s="12"/>
      <c r="C49" s="2"/>
    </row>
    <row r="50" spans="1:3" ht="16" x14ac:dyDescent="0.2">
      <c r="A50" s="12"/>
      <c r="B50" s="12"/>
      <c r="C50" s="2"/>
    </row>
    <row r="51" spans="1:3" ht="16" x14ac:dyDescent="0.2">
      <c r="C51" s="2"/>
    </row>
    <row r="52" spans="1:3" ht="16" x14ac:dyDescent="0.2">
      <c r="C52" s="2"/>
    </row>
    <row r="53" spans="1:3" ht="16" x14ac:dyDescent="0.2">
      <c r="C53" s="2"/>
    </row>
    <row r="54" spans="1:3" ht="16" x14ac:dyDescent="0.2">
      <c r="C54" s="2"/>
    </row>
    <row r="55" spans="1:3" ht="16" x14ac:dyDescent="0.2">
      <c r="C55" s="2"/>
    </row>
    <row r="56" spans="1:3" ht="16" x14ac:dyDescent="0.2">
      <c r="C56" s="2"/>
    </row>
    <row r="57" spans="1:3" ht="16" x14ac:dyDescent="0.2">
      <c r="C57" s="2"/>
    </row>
    <row r="58" spans="1:3" ht="16" x14ac:dyDescent="0.2">
      <c r="C58" s="2"/>
    </row>
  </sheetData>
  <mergeCells count="4">
    <mergeCell ref="A1:C1"/>
    <mergeCell ref="A3:C3"/>
    <mergeCell ref="A5:C5"/>
    <mergeCell ref="A7:C7"/>
  </mergeCells>
  <conditionalFormatting sqref="C8">
    <cfRule type="expression" dxfId="67" priority="2">
      <formula>SUM($B$10:$B$90)&lt;&gt;100</formula>
    </cfRule>
  </conditionalFormatting>
  <conditionalFormatting sqref="B10:B217">
    <cfRule type="expression" dxfId="66" priority="1">
      <formula>SEARCH(".??*",B10)</formula>
    </cfRule>
  </conditionalFormatting>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dimension ref="A1:BD87"/>
  <sheetViews>
    <sheetView workbookViewId="0">
      <pane ySplit="3" topLeftCell="A4" activePane="bottomLeft" state="frozen"/>
      <selection pane="bottomLeft" activeCell="A4" sqref="A4"/>
    </sheetView>
  </sheetViews>
  <sheetFormatPr baseColWidth="10" defaultColWidth="13" defaultRowHeight="16" x14ac:dyDescent="0.2"/>
  <cols>
    <col min="1" max="1" width="22" customWidth="1"/>
    <col min="2" max="2" width="38.5" style="9" customWidth="1"/>
    <col min="3" max="3" width="9.1640625" bestFit="1" customWidth="1"/>
    <col min="4" max="4" width="5.6640625" customWidth="1"/>
    <col min="5" max="5" width="6.33203125" customWidth="1"/>
    <col min="6" max="7" width="6.5" customWidth="1"/>
    <col min="8" max="8" width="5.83203125" customWidth="1"/>
    <col min="9" max="9" width="4.83203125" style="25" customWidth="1"/>
    <col min="10" max="10" width="5.5" style="33" customWidth="1"/>
    <col min="11" max="18" width="5.83203125" style="33" customWidth="1"/>
    <col min="19" max="41" width="5.5" style="33" customWidth="1"/>
    <col min="42" max="42" width="1.6640625" style="33" customWidth="1"/>
    <col min="43" max="43" width="1.6640625" style="205" customWidth="1"/>
    <col min="44" max="44" width="4.1640625" style="33" customWidth="1"/>
    <col min="45" max="45" width="4.83203125" customWidth="1"/>
    <col min="46" max="46" width="8.33203125" bestFit="1" customWidth="1"/>
    <col min="47" max="47" width="4.5" customWidth="1"/>
    <col min="48" max="48" width="11.6640625" bestFit="1" customWidth="1"/>
    <col min="49" max="49" width="5" customWidth="1"/>
    <col min="50" max="56" width="4.5" style="160" customWidth="1"/>
  </cols>
  <sheetData>
    <row r="1" spans="1:56" ht="31.5" customHeight="1" x14ac:dyDescent="0.2">
      <c r="A1" s="12"/>
      <c r="B1" s="13"/>
      <c r="C1" s="14" t="s">
        <v>11</v>
      </c>
      <c r="D1" s="212" t="s">
        <v>7</v>
      </c>
      <c r="E1" s="212"/>
      <c r="F1" s="212"/>
      <c r="G1" s="212"/>
      <c r="H1" s="212"/>
      <c r="I1" s="24"/>
      <c r="J1" s="12" t="s">
        <v>8</v>
      </c>
      <c r="K1"/>
      <c r="L1"/>
      <c r="M1" s="161" t="str">
        <f ca="1">IF(SUM(J3:AO3)&gt;0,"Enter a mapping for at least one indicator for the highlighted column","Indicate what the instructional level (I,D,A) is for the indicator (see CourseInfo page for description)")</f>
        <v>Indicate what the instructional level (I,D,A) is for the indicator (see CourseInfo page for description)</v>
      </c>
      <c r="N1" s="12"/>
      <c r="O1" s="12"/>
      <c r="P1" s="12"/>
      <c r="Q1" s="12"/>
      <c r="R1" s="12"/>
      <c r="S1" s="12"/>
      <c r="T1" s="12"/>
      <c r="U1" s="12"/>
      <c r="V1" s="12"/>
      <c r="W1" s="12"/>
      <c r="X1" s="3"/>
      <c r="Y1" s="3"/>
      <c r="Z1" s="3"/>
      <c r="AA1" s="3"/>
      <c r="AB1" s="3"/>
      <c r="AC1" s="3"/>
      <c r="AD1" s="3"/>
      <c r="AE1" s="3"/>
      <c r="AF1" s="3"/>
      <c r="AG1" s="3"/>
      <c r="AH1" s="3"/>
      <c r="AI1" s="3"/>
      <c r="AJ1" s="3"/>
      <c r="AK1" s="3"/>
      <c r="AL1" s="3"/>
      <c r="AM1" s="3"/>
      <c r="AN1" s="3"/>
      <c r="AO1" s="3"/>
      <c r="AP1"/>
      <c r="AQ1" s="161"/>
      <c r="AR1" s="3"/>
    </row>
    <row r="2" spans="1:56" thickBot="1" x14ac:dyDescent="0.25">
      <c r="A2" t="s">
        <v>2</v>
      </c>
      <c r="B2" s="16" t="s">
        <v>3</v>
      </c>
      <c r="C2" s="9">
        <f>IF(A4="",1,SUMIF($I$4:$I$15,A4,$C$4:$C$15))</f>
        <v>0</v>
      </c>
      <c r="D2" s="9" t="s">
        <v>0</v>
      </c>
      <c r="E2" s="9" t="s">
        <v>4</v>
      </c>
      <c r="F2" s="9" t="s">
        <v>5</v>
      </c>
      <c r="G2" s="9" t="s">
        <v>6</v>
      </c>
      <c r="H2" s="9" t="s">
        <v>1</v>
      </c>
      <c r="I2" s="55">
        <v>0</v>
      </c>
      <c r="J2" s="3" t="str">
        <f>INDEX('Assessment Documentation'!$A$10:$A$50,MATCH("*",'Assessment Documentation'!$A$10:$A$50,0))</f>
        <v>A1</v>
      </c>
      <c r="K2" s="3" t="str">
        <f ca="1">IFERROR(INDEX(OFFSET(INDEX('Assessment Documentation'!$A$10:$A$90,MATCH(J2,'Assessment Documentation'!$A$10:$A$90,0)),1,0):'Assessment Documentation'!$A$90,MATCH("*",OFFSET(INDEX('Assessment Documentation'!$A$10:$A$90,MATCH(J2,'Assessment Documentation'!$A$10:$A$90,0)),1,0):'Assessment Documentation'!$A$90,0)),"")</f>
        <v>A2</v>
      </c>
      <c r="L2" s="3" t="str">
        <f ca="1">IFERROR(INDEX(OFFSET(INDEX('Assessment Documentation'!$A$10:$A$90,MATCH(K2,'Assessment Documentation'!$A$10:$A$90,0)),1,0):'Assessment Documentation'!$A$90,MATCH("*",OFFSET(INDEX('Assessment Documentation'!$A$10:$A$90,MATCH(K2,'Assessment Documentation'!$A$10:$A$90,0)),1,0):'Assessment Documentation'!$A$90,0)),"")</f>
        <v>Q1-a</v>
      </c>
      <c r="M2" s="3" t="str">
        <f ca="1">IFERROR(INDEX(OFFSET(INDEX('Assessment Documentation'!$A$10:$A$90,MATCH(L2,'Assessment Documentation'!$A$10:$A$90,0)),1,0):'Assessment Documentation'!$A$90,MATCH("*",OFFSET(INDEX('Assessment Documentation'!$A$10:$A$90,MATCH(L2,'Assessment Documentation'!$A$10:$A$90,0)),1,0):'Assessment Documentation'!$A$90,0)),"")</f>
        <v>Q1-b</v>
      </c>
      <c r="N2" s="3" t="str">
        <f ca="1">IFERROR(INDEX(OFFSET(INDEX('Assessment Documentation'!$A$10:$A$90,MATCH(M2,'Assessment Documentation'!$A$10:$A$90,0)),1,0):'Assessment Documentation'!$A$90,MATCH("*",OFFSET(INDEX('Assessment Documentation'!$A$10:$A$90,MATCH(M2,'Assessment Documentation'!$A$10:$A$90,0)),1,0):'Assessment Documentation'!$A$90,0)),"")</f>
        <v>Q2-c</v>
      </c>
      <c r="O2" s="3" t="str">
        <f ca="1">IFERROR(INDEX(OFFSET(INDEX('Assessment Documentation'!$A$10:$A$90,MATCH(N2,'Assessment Documentation'!$A$10:$A$90,0)),1,0):'Assessment Documentation'!$A$90,MATCH("*",OFFSET(INDEX('Assessment Documentation'!$A$10:$A$90,MATCH(N2,'Assessment Documentation'!$A$10:$A$90,0)),1,0):'Assessment Documentation'!$A$90,0)),"")</f>
        <v>Q2-d</v>
      </c>
      <c r="P2" s="3" t="str">
        <f ca="1">IFERROR(INDEX(OFFSET(INDEX('Assessment Documentation'!$A$10:$A$90,MATCH(O2,'Assessment Documentation'!$A$10:$A$90,0)),1,0):'Assessment Documentation'!$A$90,MATCH("*",OFFSET(INDEX('Assessment Documentation'!$A$10:$A$90,MATCH(O2,'Assessment Documentation'!$A$10:$A$90,0)),1,0):'Assessment Documentation'!$A$90,0)),"")</f>
        <v>P1</v>
      </c>
      <c r="Q2" s="3" t="str">
        <f ca="1">IFERROR(INDEX(OFFSET(INDEX('Assessment Documentation'!$A$10:$A$90,MATCH(P2,'Assessment Documentation'!$A$10:$A$90,0)),1,0):'Assessment Documentation'!$A$90,MATCH("*",OFFSET(INDEX('Assessment Documentation'!$A$10:$A$90,MATCH(P2,'Assessment Documentation'!$A$10:$A$90,0)),1,0):'Assessment Documentation'!$A$90,0)),"")</f>
        <v>P2</v>
      </c>
      <c r="R2" s="3" t="str">
        <f ca="1">IFERROR(INDEX(OFFSET(INDEX('Assessment Documentation'!$A$10:$A$90,MATCH(Q2,'Assessment Documentation'!$A$10:$A$90,0)),1,0):'Assessment Documentation'!$A$90,MATCH("*",OFFSET(INDEX('Assessment Documentation'!$A$10:$A$90,MATCH(Q2,'Assessment Documentation'!$A$10:$A$90,0)),1,0):'Assessment Documentation'!$A$90,0)),"")</f>
        <v>P3</v>
      </c>
      <c r="S2" s="3" t="str">
        <f ca="1">IFERROR(INDEX(OFFSET(INDEX('Assessment Documentation'!$A$10:$A$90,MATCH(R2,'Assessment Documentation'!$A$10:$A$90,0)),1,0):'Assessment Documentation'!$A$90,MATCH("*",OFFSET(INDEX('Assessment Documentation'!$A$10:$A$90,MATCH(R2,'Assessment Documentation'!$A$10:$A$90,0)),1,0):'Assessment Documentation'!$A$90,0)),"")</f>
        <v/>
      </c>
      <c r="T2" s="3" t="str">
        <f ca="1">IFERROR(INDEX(OFFSET(INDEX('Assessment Documentation'!$A$10:$A$90,MATCH(S2,'Assessment Documentation'!$A$10:$A$90,0)),1,0):'Assessment Documentation'!$A$90,MATCH("*",OFFSET(INDEX('Assessment Documentation'!$A$10:$A$90,MATCH(S2,'Assessment Documentation'!$A$10:$A$90,0)),1,0):'Assessment Documentation'!$A$90,0)),"")</f>
        <v/>
      </c>
      <c r="U2" s="3" t="str">
        <f ca="1">IFERROR(INDEX(OFFSET(INDEX('Assessment Documentation'!$A$10:$A$90,MATCH(T2,'Assessment Documentation'!$A$10:$A$90,0)),1,0):'Assessment Documentation'!$A$90,MATCH("*",OFFSET(INDEX('Assessment Documentation'!$A$10:$A$90,MATCH(T2,'Assessment Documentation'!$A$10:$A$90,0)),1,0):'Assessment Documentation'!$A$90,0)),"")</f>
        <v/>
      </c>
      <c r="V2" s="3" t="str">
        <f ca="1">IFERROR(INDEX(OFFSET(INDEX('Assessment Documentation'!$A$10:$A$90,MATCH(U2,'Assessment Documentation'!$A$10:$A$90,0)),1,0):'Assessment Documentation'!$A$90,MATCH("*",OFFSET(INDEX('Assessment Documentation'!$A$10:$A$90,MATCH(U2,'Assessment Documentation'!$A$10:$A$90,0)),1,0):'Assessment Documentation'!$A$90,0)),"")</f>
        <v/>
      </c>
      <c r="W2" s="3" t="str">
        <f ca="1">IFERROR(INDEX(OFFSET(INDEX('Assessment Documentation'!$A$10:$A$90,MATCH(V2,'Assessment Documentation'!$A$10:$A$90,0)),1,0):'Assessment Documentation'!$A$90,MATCH("*",OFFSET(INDEX('Assessment Documentation'!$A$10:$A$90,MATCH(V2,'Assessment Documentation'!$A$10:$A$90,0)),1,0):'Assessment Documentation'!$A$90,0)),"")</f>
        <v/>
      </c>
      <c r="X2" s="9" t="str">
        <f ca="1">IFERROR(INDEX(OFFSET(INDEX('Assessment Documentation'!$A$10:$A$90,MATCH(W2,'Assessment Documentation'!$A$10:$A$90,0)),1,0):'Assessment Documentation'!$A$90,MATCH("*",OFFSET(INDEX('Assessment Documentation'!$A$10:$A$90,MATCH(W2,'Assessment Documentation'!$A$10:$A$90,0)),1,0):'Assessment Documentation'!$A$90,0)),"")</f>
        <v/>
      </c>
      <c r="Y2" s="9" t="str">
        <f ca="1">IFERROR(INDEX(OFFSET(INDEX('Assessment Documentation'!$A$10:$A$90,MATCH(X2,'Assessment Documentation'!$A$10:$A$90,0)),1,0):'Assessment Documentation'!$A$90,MATCH("*",OFFSET(INDEX('Assessment Documentation'!$A$10:$A$90,MATCH(X2,'Assessment Documentation'!$A$10:$A$90,0)),1,0):'Assessment Documentation'!$A$90,0)),"")</f>
        <v/>
      </c>
      <c r="Z2" s="9" t="str">
        <f ca="1">IFERROR(INDEX(OFFSET(INDEX('Assessment Documentation'!$A$10:$A$90,MATCH(Y2,'Assessment Documentation'!$A$10:$A$90,0)),1,0):'Assessment Documentation'!$A$90,MATCH("*",OFFSET(INDEX('Assessment Documentation'!$A$10:$A$90,MATCH(Y2,'Assessment Documentation'!$A$10:$A$90,0)),1,0):'Assessment Documentation'!$A$90,0)),"")</f>
        <v/>
      </c>
      <c r="AA2" s="9" t="str">
        <f ca="1">IFERROR(INDEX(OFFSET(INDEX('Assessment Documentation'!$A$10:$A$90,MATCH(Z2,'Assessment Documentation'!$A$10:$A$90,0)),1,0):'Assessment Documentation'!$A$90,MATCH("*",OFFSET(INDEX('Assessment Documentation'!$A$10:$A$90,MATCH(Z2,'Assessment Documentation'!$A$10:$A$90,0)),1,0):'Assessment Documentation'!$A$90,0)),"")</f>
        <v/>
      </c>
      <c r="AB2" s="9" t="str">
        <f ca="1">IFERROR(INDEX(OFFSET(INDEX('Assessment Documentation'!$A$10:$A$90,MATCH(AA2,'Assessment Documentation'!$A$10:$A$90,0)),1,0):'Assessment Documentation'!$A$90,MATCH("*",OFFSET(INDEX('Assessment Documentation'!$A$10:$A$90,MATCH(AA2,'Assessment Documentation'!$A$10:$A$90,0)),1,0):'Assessment Documentation'!$A$90,0)),"")</f>
        <v/>
      </c>
      <c r="AC2" s="9" t="str">
        <f ca="1">IFERROR(INDEX(OFFSET(INDEX('Assessment Documentation'!$A$10:$A$90,MATCH(AB2,'Assessment Documentation'!$A$10:$A$90,0)),1,0):'Assessment Documentation'!$A$90,MATCH("*",OFFSET(INDEX('Assessment Documentation'!$A$10:$A$90,MATCH(AB2,'Assessment Documentation'!$A$10:$A$90,0)),1,0):'Assessment Documentation'!$A$90,0)),"")</f>
        <v/>
      </c>
      <c r="AD2" s="9" t="str">
        <f ca="1">IFERROR(INDEX(OFFSET(INDEX('Assessment Documentation'!$A$10:$A$90,MATCH(AC2,'Assessment Documentation'!$A$10:$A$90,0)),1,0):'Assessment Documentation'!$A$90,MATCH("*",OFFSET(INDEX('Assessment Documentation'!$A$10:$A$90,MATCH(AC2,'Assessment Documentation'!$A$10:$A$90,0)),1,0):'Assessment Documentation'!$A$90,0)),"")</f>
        <v/>
      </c>
      <c r="AE2" s="9" t="str">
        <f ca="1">IFERROR(INDEX(OFFSET(INDEX('Assessment Documentation'!$A$10:$A$90,MATCH(AD2,'Assessment Documentation'!$A$10:$A$90,0)),1,0):'Assessment Documentation'!$A$90,MATCH("*",OFFSET(INDEX('Assessment Documentation'!$A$10:$A$90,MATCH(AD2,'Assessment Documentation'!$A$10:$A$90,0)),1,0):'Assessment Documentation'!$A$90,0)),"")</f>
        <v/>
      </c>
      <c r="AF2" s="9" t="str">
        <f ca="1">IFERROR(INDEX(OFFSET(INDEX('Assessment Documentation'!$A$10:$A$90,MATCH(AE2,'Assessment Documentation'!$A$10:$A$90,0)),1,0):'Assessment Documentation'!$A$90,MATCH("*",OFFSET(INDEX('Assessment Documentation'!$A$10:$A$90,MATCH(AE2,'Assessment Documentation'!$A$10:$A$90,0)),1,0):'Assessment Documentation'!$A$90,0)),"")</f>
        <v/>
      </c>
      <c r="AG2" s="9" t="str">
        <f ca="1">IFERROR(INDEX(OFFSET(INDEX('Assessment Documentation'!$A$10:$A$90,MATCH(AF2,'Assessment Documentation'!$A$10:$A$90,0)),1,0):'Assessment Documentation'!$A$90,MATCH("*",OFFSET(INDEX('Assessment Documentation'!$A$10:$A$90,MATCH(AF2,'Assessment Documentation'!$A$10:$A$90,0)),1,0):'Assessment Documentation'!$A$90,0)),"")</f>
        <v/>
      </c>
      <c r="AH2" s="9" t="str">
        <f ca="1">IFERROR(INDEX(OFFSET(INDEX('Assessment Documentation'!$A$10:$A$90,MATCH(AG2,'Assessment Documentation'!$A$10:$A$90,0)),1,0):'Assessment Documentation'!$A$90,MATCH("*",OFFSET(INDEX('Assessment Documentation'!$A$10:$A$90,MATCH(AG2,'Assessment Documentation'!$A$10:$A$90,0)),1,0):'Assessment Documentation'!$A$90,0)),"")</f>
        <v/>
      </c>
      <c r="AI2" s="9" t="str">
        <f ca="1">IFERROR(INDEX(OFFSET(INDEX('Assessment Documentation'!$A$10:$A$90,MATCH(AH2,'Assessment Documentation'!$A$10:$A$90,0)),1,0):'Assessment Documentation'!$A$90,MATCH("*",OFFSET(INDEX('Assessment Documentation'!$A$10:$A$90,MATCH(AH2,'Assessment Documentation'!$A$10:$A$90,0)),1,0):'Assessment Documentation'!$A$90,0)),"")</f>
        <v/>
      </c>
      <c r="AJ2" s="9" t="str">
        <f ca="1">IFERROR(INDEX(OFFSET(INDEX('Assessment Documentation'!$A$10:$A$90,MATCH(AI2,'Assessment Documentation'!$A$10:$A$90,0)),1,0):'Assessment Documentation'!$A$90,MATCH("*",OFFSET(INDEX('Assessment Documentation'!$A$10:$A$90,MATCH(AI2,'Assessment Documentation'!$A$10:$A$90,0)),1,0):'Assessment Documentation'!$A$90,0)),"")</f>
        <v/>
      </c>
      <c r="AK2" s="9" t="str">
        <f ca="1">IFERROR(INDEX(OFFSET(INDEX('Assessment Documentation'!$A$10:$A$90,MATCH(AJ2,'Assessment Documentation'!$A$10:$A$90,0)),1,0):'Assessment Documentation'!$A$90,MATCH("*",OFFSET(INDEX('Assessment Documentation'!$A$10:$A$90,MATCH(AJ2,'Assessment Documentation'!$A$10:$A$90,0)),1,0):'Assessment Documentation'!$A$90,0)),"")</f>
        <v/>
      </c>
      <c r="AL2" s="9" t="str">
        <f ca="1">IFERROR(INDEX(OFFSET(INDEX('Assessment Documentation'!$A$10:$A$90,MATCH(AK2,'Assessment Documentation'!$A$10:$A$90,0)),1,0):'Assessment Documentation'!$A$90,MATCH("*",OFFSET(INDEX('Assessment Documentation'!$A$10:$A$90,MATCH(AK2,'Assessment Documentation'!$A$10:$A$90,0)),1,0):'Assessment Documentation'!$A$90,0)),"")</f>
        <v/>
      </c>
      <c r="AM2" s="9" t="str">
        <f ca="1">IFERROR(INDEX(OFFSET(INDEX('Assessment Documentation'!$A$10:$A$90,MATCH(AL2,'Assessment Documentation'!$A$10:$A$90,0)),1,0):'Assessment Documentation'!$A$90,MATCH("*",OFFSET(INDEX('Assessment Documentation'!$A$10:$A$90,MATCH(AL2,'Assessment Documentation'!$A$10:$A$90,0)),1,0):'Assessment Documentation'!$A$90,0)),"")</f>
        <v/>
      </c>
      <c r="AN2" s="9" t="str">
        <f ca="1">IFERROR(INDEX(OFFSET(INDEX('Assessment Documentation'!$A$10:$A$90,MATCH(AM2,'Assessment Documentation'!$A$10:$A$90,0)),1,0):'Assessment Documentation'!$A$90,MATCH("*",OFFSET(INDEX('Assessment Documentation'!$A$10:$A$90,MATCH(AM2,'Assessment Documentation'!$A$10:$A$90,0)),1,0):'Assessment Documentation'!$A$90,0)),"")</f>
        <v/>
      </c>
      <c r="AO2" s="9" t="str">
        <f ca="1">IFERROR(INDEX(OFFSET(INDEX('Assessment Documentation'!$A$10:$A$90,MATCH(AN2,'Assessment Documentation'!$A$10:$A$90,0)),1,0):'Assessment Documentation'!$A$90,MATCH("*",OFFSET(INDEX('Assessment Documentation'!$A$10:$A$90,MATCH(AN2,'Assessment Documentation'!$A$10:$A$90,0)),1,0):'Assessment Documentation'!$A$90,0)),"")</f>
        <v/>
      </c>
      <c r="AP2"/>
      <c r="AQ2" s="161"/>
      <c r="AR2" s="213" t="s">
        <v>989</v>
      </c>
      <c r="AS2" s="213"/>
      <c r="AT2" s="213"/>
      <c r="AV2" s="213" t="s">
        <v>990</v>
      </c>
      <c r="AW2" s="213"/>
    </row>
    <row r="3" spans="1:56" ht="9" customHeight="1" thickBot="1" x14ac:dyDescent="0.25">
      <c r="A3" s="116"/>
      <c r="B3" s="117"/>
      <c r="C3" s="118"/>
      <c r="D3" s="116"/>
      <c r="E3" s="116"/>
      <c r="F3" s="116"/>
      <c r="G3" s="116"/>
      <c r="H3" s="116"/>
      <c r="I3" s="119"/>
      <c r="J3" s="142" t="str">
        <f t="shared" ref="J3:K3" si="0">IF(AND(J2&lt;&gt;"",COUNTA(J4:J78)=0),1,"")</f>
        <v/>
      </c>
      <c r="K3" s="142" t="str">
        <f t="shared" ca="1" si="0"/>
        <v/>
      </c>
      <c r="L3" s="142" t="str">
        <f ca="1">IF(AND(L2&lt;&gt;"",COUNTA(L4:L78)=0),1,"")</f>
        <v/>
      </c>
      <c r="M3" s="142" t="str">
        <f t="shared" ref="M3:AO3" ca="1" si="1">IF(AND(M2&lt;&gt;"",COUNTA(M4:M78)=0),1,"")</f>
        <v/>
      </c>
      <c r="N3" s="142" t="str">
        <f ca="1">IF(AND(N2&lt;&gt;"",COUNTA(N4:N78)=0),1,"")</f>
        <v/>
      </c>
      <c r="O3" s="142" t="str">
        <f t="shared" ca="1" si="1"/>
        <v/>
      </c>
      <c r="P3" s="142" t="str">
        <f t="shared" ca="1" si="1"/>
        <v/>
      </c>
      <c r="Q3" s="142" t="str">
        <f t="shared" ca="1" si="1"/>
        <v/>
      </c>
      <c r="R3" s="142" t="str">
        <f t="shared" ca="1" si="1"/>
        <v/>
      </c>
      <c r="S3" s="142" t="str">
        <f t="shared" ca="1" si="1"/>
        <v/>
      </c>
      <c r="T3" s="142" t="str">
        <f t="shared" ca="1" si="1"/>
        <v/>
      </c>
      <c r="U3" s="142" t="str">
        <f t="shared" ca="1" si="1"/>
        <v/>
      </c>
      <c r="V3" s="142" t="str">
        <f t="shared" ca="1" si="1"/>
        <v/>
      </c>
      <c r="W3" s="142" t="str">
        <f t="shared" ca="1" si="1"/>
        <v/>
      </c>
      <c r="X3" s="142" t="str">
        <f t="shared" ca="1" si="1"/>
        <v/>
      </c>
      <c r="Y3" s="142" t="str">
        <f t="shared" ca="1" si="1"/>
        <v/>
      </c>
      <c r="Z3" s="142" t="str">
        <f t="shared" ca="1" si="1"/>
        <v/>
      </c>
      <c r="AA3" s="142" t="str">
        <f t="shared" ca="1" si="1"/>
        <v/>
      </c>
      <c r="AB3" s="142" t="str">
        <f t="shared" ca="1" si="1"/>
        <v/>
      </c>
      <c r="AC3" s="142" t="str">
        <f t="shared" ca="1" si="1"/>
        <v/>
      </c>
      <c r="AD3" s="142" t="str">
        <f t="shared" ca="1" si="1"/>
        <v/>
      </c>
      <c r="AE3" s="142" t="str">
        <f t="shared" ca="1" si="1"/>
        <v/>
      </c>
      <c r="AF3" s="142" t="str">
        <f t="shared" ca="1" si="1"/>
        <v/>
      </c>
      <c r="AG3" s="142" t="str">
        <f t="shared" ca="1" si="1"/>
        <v/>
      </c>
      <c r="AH3" s="142" t="str">
        <f t="shared" ca="1" si="1"/>
        <v/>
      </c>
      <c r="AI3" s="142" t="str">
        <f t="shared" ca="1" si="1"/>
        <v/>
      </c>
      <c r="AJ3" s="142" t="str">
        <f t="shared" ca="1" si="1"/>
        <v/>
      </c>
      <c r="AK3" s="142" t="str">
        <f t="shared" ca="1" si="1"/>
        <v/>
      </c>
      <c r="AL3" s="156" t="str">
        <f t="shared" ca="1" si="1"/>
        <v/>
      </c>
      <c r="AM3" s="156" t="str">
        <f t="shared" ca="1" si="1"/>
        <v/>
      </c>
      <c r="AN3" s="156" t="str">
        <f t="shared" ca="1" si="1"/>
        <v/>
      </c>
      <c r="AO3" s="156" t="str">
        <f t="shared" ca="1" si="1"/>
        <v/>
      </c>
      <c r="AP3" s="21"/>
      <c r="AQ3" s="173" t="str">
        <f t="shared" ref="AQ3:AQ6" si="2">IF(AND(A3="",B3=""),"",IF(AND(A3&lt;&gt;"",B3=""),"",IF(AND(B3&lt;&gt;"",A2&lt;&gt;""),A2,AQ2)))</f>
        <v/>
      </c>
      <c r="AR3" s="23" t="s">
        <v>488</v>
      </c>
      <c r="AS3" s="23" t="s">
        <v>975</v>
      </c>
      <c r="AT3" s="23" t="s">
        <v>987</v>
      </c>
      <c r="AU3" s="159"/>
      <c r="AV3" s="23" t="s">
        <v>988</v>
      </c>
      <c r="AW3" s="23" t="s">
        <v>975</v>
      </c>
      <c r="AX3" s="192" t="s">
        <v>969</v>
      </c>
      <c r="AY3" s="193" t="s">
        <v>970</v>
      </c>
      <c r="AZ3" s="193" t="s">
        <v>971</v>
      </c>
      <c r="BA3" s="193" t="s">
        <v>972</v>
      </c>
      <c r="BB3" s="193" t="s">
        <v>973</v>
      </c>
      <c r="BC3" s="194" t="s">
        <v>974</v>
      </c>
      <c r="BD3" s="195" t="s">
        <v>975</v>
      </c>
    </row>
    <row r="4" spans="1:56" thickBot="1" x14ac:dyDescent="0.25">
      <c r="A4" s="120" t="s">
        <v>478</v>
      </c>
      <c r="B4" s="121"/>
      <c r="C4" s="122"/>
      <c r="D4" s="123"/>
      <c r="E4" s="123"/>
      <c r="F4" s="123"/>
      <c r="G4" s="123"/>
      <c r="H4" s="124"/>
      <c r="I4" s="125"/>
      <c r="J4" s="141"/>
      <c r="K4" s="141"/>
      <c r="L4" s="141"/>
      <c r="M4" s="141"/>
      <c r="N4" s="141"/>
      <c r="O4" s="141"/>
      <c r="P4" s="141"/>
      <c r="Q4" s="141"/>
      <c r="R4" s="141"/>
      <c r="S4" s="141"/>
      <c r="T4" s="141"/>
      <c r="U4" s="141"/>
      <c r="V4" s="141"/>
      <c r="W4" s="141"/>
      <c r="X4" s="141"/>
      <c r="Y4" s="141"/>
      <c r="Z4" s="141"/>
      <c r="AA4" s="141"/>
      <c r="AB4" s="141"/>
      <c r="AC4" s="141"/>
      <c r="AD4" s="141"/>
      <c r="AE4" s="141"/>
      <c r="AF4" s="141"/>
      <c r="AG4" s="141"/>
      <c r="AH4" s="141"/>
      <c r="AI4" s="141"/>
      <c r="AJ4" s="141"/>
      <c r="AK4" s="141"/>
      <c r="AL4" s="157"/>
      <c r="AM4" s="157"/>
      <c r="AN4" s="157"/>
      <c r="AO4" s="157"/>
      <c r="AP4" s="171" t="str">
        <f>IF(AND($A4="",$B4=""),"",IF($A4&lt;&gt;"",$A4,$C4+IF($A3="",AP3,0)))</f>
        <v>Knowledge Base</v>
      </c>
      <c r="AQ4" s="173" t="str">
        <f t="shared" si="2"/>
        <v/>
      </c>
      <c r="AR4" s="4"/>
      <c r="AS4" s="21" t="str">
        <f>IF(ISNA(MATCH("*I*",J4:AO4,0)),"","I")&amp;IF(ISNA(MATCH("*D*",J4:AO4,0)),"","D")&amp;IF(ISNA(MATCH("*A*",J4:AO4,0)),"","A")</f>
        <v/>
      </c>
      <c r="AT4" s="4" t="str">
        <f>IF(COUNTA(J4:AO4)=0,"",COUNTA(J4:AO4))</f>
        <v/>
      </c>
      <c r="AV4" s="9" t="str">
        <f>IF(AT4="","",SUMIF(Master!$AR$4:$AR$64,AR4,Master!$AT$4:$AT$64))</f>
        <v/>
      </c>
      <c r="AW4" s="158" t="str">
        <f>IF(COUNTIFS(Master!$AR$4:$AR$64,AR4,Master!$AS$4:$AS$64,"*I*")&gt;0,"I","")&amp;IF(COUNTIFS(Master!$AR$4:$AR$64,AR4,Master!$AS$4:$AS$64,"*D*")&gt;0,"D","")&amp;IF(COUNTIFS(Master!$AR$4:$AR$64,AR4,Master!$AS$4:$AS$64,"*A*")&gt;0,"A","")</f>
        <v/>
      </c>
      <c r="AX4" s="160" t="str">
        <f>IF(COUNTIF($J4:$AO4,AX$3)=0,"",COUNTIF($J4:$AO4,AX$3))</f>
        <v/>
      </c>
      <c r="AY4" s="160" t="str">
        <f t="shared" ref="AY4:BD19" si="3">IF(COUNTIF($J4:$AO4,AY$3)=0,"",COUNTIF($J4:$AO4,AY$3))</f>
        <v/>
      </c>
      <c r="AZ4" s="160" t="str">
        <f t="shared" si="3"/>
        <v/>
      </c>
      <c r="BA4" s="160" t="str">
        <f t="shared" si="3"/>
        <v/>
      </c>
      <c r="BB4" s="160" t="str">
        <f t="shared" si="3"/>
        <v/>
      </c>
      <c r="BC4" s="160" t="str">
        <f t="shared" si="3"/>
        <v/>
      </c>
      <c r="BD4" s="160" t="str">
        <f t="shared" si="3"/>
        <v/>
      </c>
    </row>
    <row r="5" spans="1:56" ht="31" thickBot="1" x14ac:dyDescent="0.25">
      <c r="A5" s="120"/>
      <c r="B5" s="129" t="s">
        <v>276</v>
      </c>
      <c r="C5" s="130">
        <v>0.5</v>
      </c>
      <c r="D5" s="131"/>
      <c r="E5" s="131"/>
      <c r="F5" s="131"/>
      <c r="G5" s="131"/>
      <c r="H5" s="132"/>
      <c r="I5" s="125"/>
      <c r="J5" s="143" t="s">
        <v>969</v>
      </c>
      <c r="K5" s="144"/>
      <c r="L5" s="144" t="s">
        <v>969</v>
      </c>
      <c r="M5" s="144"/>
      <c r="N5" s="144" t="s">
        <v>969</v>
      </c>
      <c r="O5" s="144"/>
      <c r="P5" s="144"/>
      <c r="Q5" s="144"/>
      <c r="R5" s="144" t="s">
        <v>971</v>
      </c>
      <c r="S5" s="144"/>
      <c r="T5" s="144"/>
      <c r="U5" s="144"/>
      <c r="V5" s="144"/>
      <c r="W5" s="145"/>
      <c r="X5" s="145"/>
      <c r="Y5" s="145"/>
      <c r="Z5" s="145"/>
      <c r="AA5" s="145"/>
      <c r="AB5" s="145"/>
      <c r="AC5" s="145"/>
      <c r="AD5" s="145"/>
      <c r="AE5" s="145"/>
      <c r="AF5" s="145"/>
      <c r="AG5" s="145"/>
      <c r="AH5" s="145"/>
      <c r="AI5" s="145"/>
      <c r="AJ5" s="145"/>
      <c r="AK5" s="145"/>
      <c r="AL5" s="145"/>
      <c r="AM5" s="145"/>
      <c r="AN5" s="145"/>
      <c r="AO5" s="145"/>
      <c r="AP5" s="171">
        <f>IF(AND($A5="",$B5=""),"",IF($A5&lt;&gt;"",$A5,$C5+IF($A4="",AP4,0)))</f>
        <v>0.5</v>
      </c>
      <c r="AQ5" s="173" t="str">
        <f t="shared" si="2"/>
        <v>Knowledge Base</v>
      </c>
      <c r="AR5" s="4" t="str">
        <f>IFERROR(VLOOKUP(B5,Mapping!$A$2:$C$52,3,FALSE),"")</f>
        <v>1a</v>
      </c>
      <c r="AS5" s="21" t="str">
        <f>IF(ISNA(MATCH("*I*",J5:AO5,0)),"","I")&amp;IF(ISNA(MATCH("*D*",J5:AO5,0)),"","D")&amp;IF(ISNA(MATCH("*A*",J5:AO5,0)),"","A")</f>
        <v>IA</v>
      </c>
      <c r="AT5" s="4">
        <f t="shared" ref="AT5:AT64" si="4">IF(COUNTA(J5:AO5)=0,"",COUNTA(J5:AO5))</f>
        <v>4</v>
      </c>
      <c r="AV5" s="9">
        <f>IF(AT5="","",SUMIF(Master!$AR$4:$AR$64,AR5,Master!$AT$4:$AT$64))</f>
        <v>10</v>
      </c>
      <c r="AW5" s="158" t="str">
        <f>IF(COUNTIFS(Master!$AR$4:$AR$64,AR5,Master!$AS$4:$AS$64,"*I*")&gt;0,"I","")&amp;IF(COUNTIFS(Master!$AR$4:$AR$64,AR5,Master!$AS$4:$AS$64,"*D*")&gt;0,"D","")&amp;IF(COUNTIFS(Master!$AR$4:$AR$64,AR5,Master!$AS$4:$AS$64,"*A*")&gt;0,"A","")</f>
        <v>IDA</v>
      </c>
      <c r="AX5" s="160">
        <f t="shared" ref="AX5:BD20" si="5">IF(COUNTIF($J5:$AO5,AX$3)=0,"",COUNTIF($J5:$AO5,AX$3))</f>
        <v>3</v>
      </c>
      <c r="AY5" s="160" t="str">
        <f t="shared" si="3"/>
        <v/>
      </c>
      <c r="AZ5" s="160">
        <f t="shared" si="3"/>
        <v>1</v>
      </c>
      <c r="BA5" s="160" t="str">
        <f t="shared" si="3"/>
        <v/>
      </c>
      <c r="BB5" s="160" t="str">
        <f t="shared" si="3"/>
        <v/>
      </c>
      <c r="BC5" s="160" t="str">
        <f t="shared" si="3"/>
        <v/>
      </c>
      <c r="BD5" s="160" t="str">
        <f t="shared" si="3"/>
        <v/>
      </c>
    </row>
    <row r="6" spans="1:56" s="3" customFormat="1" ht="31" thickBot="1" x14ac:dyDescent="0.25">
      <c r="A6" s="120"/>
      <c r="B6" s="129" t="s">
        <v>247</v>
      </c>
      <c r="C6" s="130">
        <v>0.5</v>
      </c>
      <c r="D6" s="131"/>
      <c r="E6" s="131"/>
      <c r="F6" s="131"/>
      <c r="G6" s="131"/>
      <c r="H6" s="132"/>
      <c r="I6" s="125"/>
      <c r="J6" s="143" t="s">
        <v>974</v>
      </c>
      <c r="K6" s="144" t="s">
        <v>969</v>
      </c>
      <c r="L6" s="144"/>
      <c r="M6" s="144" t="s">
        <v>969</v>
      </c>
      <c r="N6" s="146"/>
      <c r="O6" s="146" t="s">
        <v>969</v>
      </c>
      <c r="P6" s="146" t="s">
        <v>970</v>
      </c>
      <c r="Q6" s="146"/>
      <c r="R6" s="146" t="s">
        <v>970</v>
      </c>
      <c r="S6" s="146"/>
      <c r="T6" s="146"/>
      <c r="U6" s="146"/>
      <c r="V6" s="146"/>
      <c r="W6" s="146"/>
      <c r="X6" s="146"/>
      <c r="Y6" s="146"/>
      <c r="Z6" s="146"/>
      <c r="AA6" s="146"/>
      <c r="AB6" s="146"/>
      <c r="AC6" s="146"/>
      <c r="AD6" s="146"/>
      <c r="AE6" s="146"/>
      <c r="AF6" s="146"/>
      <c r="AG6" s="146"/>
      <c r="AH6" s="145"/>
      <c r="AI6" s="145"/>
      <c r="AJ6" s="145"/>
      <c r="AK6" s="145"/>
      <c r="AL6" s="145"/>
      <c r="AM6" s="145"/>
      <c r="AN6" s="145"/>
      <c r="AO6" s="145"/>
      <c r="AP6" s="171">
        <f t="shared" ref="AP6:AP64" si="6">IF(AND($A6="",$B6=""),"",IF($A6&lt;&gt;"",$A6,$C6+IF($A5="",AP5,0)))</f>
        <v>1</v>
      </c>
      <c r="AQ6" s="173" t="str">
        <f t="shared" si="2"/>
        <v>Knowledge Base</v>
      </c>
      <c r="AR6" s="4" t="str">
        <f>IFERROR(VLOOKUP(B6,Mapping!$A$2:$C$52,3,FALSE),"")</f>
        <v>1a</v>
      </c>
      <c r="AS6" s="21" t="str">
        <f>IF(ISNA(MATCH("*I*",J6:AO6,0)),"","I")&amp;IF(ISNA(MATCH("*D*",J6:AO6,0)),"","D")&amp;IF(ISNA(MATCH("*A*",J6:AO6,0)),"","A")</f>
        <v>IDA</v>
      </c>
      <c r="AT6" s="4">
        <f t="shared" si="4"/>
        <v>6</v>
      </c>
      <c r="AV6" s="9">
        <f>IF(AT6="","",SUMIF(Master!$AR$4:$AR$64,AR6,Master!$AT$4:$AT$64))</f>
        <v>10</v>
      </c>
      <c r="AW6" s="158" t="str">
        <f>IF(COUNTIFS(Master!$AR$4:$AR$64,AR6,Master!$AS$4:$AS$64,"*I*")&gt;0,"I","")&amp;IF(COUNTIFS(Master!$AR$4:$AR$64,AR6,Master!$AS$4:$AS$64,"*D*")&gt;0,"D","")&amp;IF(COUNTIFS(Master!$AR$4:$AR$64,AR6,Master!$AS$4:$AS$64,"*A*")&gt;0,"A","")</f>
        <v>IDA</v>
      </c>
      <c r="AX6" s="160">
        <f t="shared" si="5"/>
        <v>3</v>
      </c>
      <c r="AY6" s="160">
        <f t="shared" si="3"/>
        <v>2</v>
      </c>
      <c r="AZ6" s="160" t="str">
        <f t="shared" si="3"/>
        <v/>
      </c>
      <c r="BA6" s="160" t="str">
        <f t="shared" si="3"/>
        <v/>
      </c>
      <c r="BB6" s="160" t="str">
        <f t="shared" si="3"/>
        <v/>
      </c>
      <c r="BC6" s="160">
        <f t="shared" si="3"/>
        <v>1</v>
      </c>
      <c r="BD6" s="160" t="str">
        <f t="shared" si="3"/>
        <v/>
      </c>
    </row>
    <row r="7" spans="1:56" s="3" customFormat="1" thickBot="1" x14ac:dyDescent="0.25">
      <c r="A7" s="120" t="s">
        <v>40</v>
      </c>
      <c r="B7" s="121"/>
      <c r="C7" s="130"/>
      <c r="D7" s="123"/>
      <c r="E7" s="123"/>
      <c r="F7" s="123"/>
      <c r="G7" s="123"/>
      <c r="H7" s="124"/>
      <c r="I7" s="125"/>
      <c r="J7" s="143"/>
      <c r="K7" s="144"/>
      <c r="L7" s="144"/>
      <c r="M7" s="144"/>
      <c r="N7" s="144"/>
      <c r="O7" s="144"/>
      <c r="P7" s="144"/>
      <c r="Q7" s="144"/>
      <c r="R7" s="144"/>
      <c r="S7" s="144"/>
      <c r="T7" s="144"/>
      <c r="U7" s="144"/>
      <c r="V7" s="144"/>
      <c r="W7" s="145"/>
      <c r="X7" s="145"/>
      <c r="Y7" s="145"/>
      <c r="Z7" s="145"/>
      <c r="AA7" s="145"/>
      <c r="AB7" s="145"/>
      <c r="AC7" s="145"/>
      <c r="AD7" s="145"/>
      <c r="AE7" s="145"/>
      <c r="AF7" s="145"/>
      <c r="AG7" s="145"/>
      <c r="AH7" s="145"/>
      <c r="AI7" s="145"/>
      <c r="AJ7" s="145"/>
      <c r="AK7" s="145"/>
      <c r="AL7" s="145"/>
      <c r="AM7" s="145"/>
      <c r="AN7" s="145"/>
      <c r="AO7" s="145"/>
      <c r="AP7" s="171" t="str">
        <f t="shared" si="6"/>
        <v>Problem Analysis</v>
      </c>
      <c r="AQ7" s="173" t="str">
        <f>IF(AND(A7="",B7=""),"",IF(AND(A7&lt;&gt;"",B7=""),"",IF(AND(B7&lt;&gt;"",A6&lt;&gt;""),A6,AQ6)))</f>
        <v/>
      </c>
      <c r="AR7" s="4" t="str">
        <f>IFERROR(VLOOKUP(B7,Mapping!$A$2:$C$52,3,FALSE),"")</f>
        <v/>
      </c>
      <c r="AS7" s="21" t="str">
        <f t="shared" ref="AS7:AS64" si="7">IF(ISNA(MATCH("*I*",J7:AO7,0)),"","I")&amp;IF(ISNA(MATCH("*D*",J7:AO7,0)),"","D")&amp;IF(ISNA(MATCH("*A*",J7:AO7,0)),"","A")</f>
        <v/>
      </c>
      <c r="AT7" s="4" t="str">
        <f t="shared" si="4"/>
        <v/>
      </c>
      <c r="AV7" s="9" t="str">
        <f>IF(AT7="","",SUMIF(Master!$AR$4:$AR$64,AR7,Master!$AT$4:$AT$64))</f>
        <v/>
      </c>
      <c r="AW7" s="158" t="str">
        <f>IF(COUNTIFS(Master!$AR$4:$AR$64,AR7,Master!$AS$4:$AS$64,"*I*")&gt;0,"I","")&amp;IF(COUNTIFS(Master!$AR$4:$AR$64,AR7,Master!$AS$4:$AS$64,"*D*")&gt;0,"D","")&amp;IF(COUNTIFS(Master!$AR$4:$AR$64,AR7,Master!$AS$4:$AS$64,"*A*")&gt;0,"A","")</f>
        <v/>
      </c>
      <c r="AX7" s="160" t="str">
        <f t="shared" si="5"/>
        <v/>
      </c>
      <c r="AY7" s="160" t="str">
        <f t="shared" si="3"/>
        <v/>
      </c>
      <c r="AZ7" s="160" t="str">
        <f t="shared" si="3"/>
        <v/>
      </c>
      <c r="BA7" s="160" t="str">
        <f t="shared" si="3"/>
        <v/>
      </c>
      <c r="BB7" s="160" t="str">
        <f t="shared" si="3"/>
        <v/>
      </c>
      <c r="BC7" s="160" t="str">
        <f t="shared" si="3"/>
        <v/>
      </c>
      <c r="BD7" s="160" t="str">
        <f t="shared" si="3"/>
        <v/>
      </c>
    </row>
    <row r="8" spans="1:56" s="3" customFormat="1" thickBot="1" x14ac:dyDescent="0.25">
      <c r="A8" s="120"/>
      <c r="B8" s="134" t="s">
        <v>435</v>
      </c>
      <c r="C8" s="130">
        <v>1</v>
      </c>
      <c r="D8" s="131"/>
      <c r="E8" s="131"/>
      <c r="F8" s="131"/>
      <c r="G8" s="131"/>
      <c r="H8" s="132"/>
      <c r="I8" s="125"/>
      <c r="J8" s="143" t="s">
        <v>971</v>
      </c>
      <c r="K8" s="144"/>
      <c r="L8" s="144" t="s">
        <v>970</v>
      </c>
      <c r="M8" s="144"/>
      <c r="N8" s="144"/>
      <c r="O8" s="144" t="s">
        <v>969</v>
      </c>
      <c r="P8" s="144"/>
      <c r="Q8" s="144" t="s">
        <v>969</v>
      </c>
      <c r="R8" s="144"/>
      <c r="S8" s="144"/>
      <c r="T8" s="144"/>
      <c r="U8" s="144"/>
      <c r="V8" s="144"/>
      <c r="W8" s="145"/>
      <c r="X8" s="145"/>
      <c r="Y8" s="145"/>
      <c r="Z8" s="145"/>
      <c r="AA8" s="145"/>
      <c r="AB8" s="145"/>
      <c r="AC8" s="145"/>
      <c r="AD8" s="145"/>
      <c r="AE8" s="145"/>
      <c r="AF8" s="145"/>
      <c r="AG8" s="145"/>
      <c r="AH8" s="145"/>
      <c r="AI8" s="145"/>
      <c r="AJ8" s="145"/>
      <c r="AK8" s="145"/>
      <c r="AL8" s="145"/>
      <c r="AM8" s="145"/>
      <c r="AN8" s="145"/>
      <c r="AO8" s="145"/>
      <c r="AP8" s="171">
        <f t="shared" si="6"/>
        <v>1</v>
      </c>
      <c r="AQ8" s="173" t="str">
        <f t="shared" ref="AQ8:AQ64" si="8">IF(AND(A8="",B8=""),"",IF(AND(A8&lt;&gt;"",B8=""),"",IF(AND(B8&lt;&gt;"",A7&lt;&gt;""),A7,AQ7)))</f>
        <v>Problem Analysis</v>
      </c>
      <c r="AR8" s="4" t="str">
        <f>IFERROR(VLOOKUP(B8,Mapping!$A$2:$C$52,3,FALSE),"")</f>
        <v>2a</v>
      </c>
      <c r="AS8" s="21" t="str">
        <f>IF(ISNA(MATCH("*I*",J8:AO8,0)),"","I")&amp;IF(ISNA(MATCH("*D*",J8:AO8,0)),"","D")&amp;IF(ISNA(MATCH("*A*",J8:AO8,0)),"","A")</f>
        <v>IDA</v>
      </c>
      <c r="AT8" s="4">
        <f t="shared" si="4"/>
        <v>4</v>
      </c>
      <c r="AV8" s="9">
        <f>IF(AT8="","",SUMIF(Master!$AR$4:$AR$64,AR8,Master!$AT$4:$AT$64))</f>
        <v>4</v>
      </c>
      <c r="AW8" s="158" t="str">
        <f>IF(COUNTIFS(Master!$AR$4:$AR$64,AR8,Master!$AS$4:$AS$64,"*I*")&gt;0,"I","")&amp;IF(COUNTIFS(Master!$AR$4:$AR$64,AR8,Master!$AS$4:$AS$64,"*D*")&gt;0,"D","")&amp;IF(COUNTIFS(Master!$AR$4:$AR$64,AR8,Master!$AS$4:$AS$64,"*A*")&gt;0,"A","")</f>
        <v>IDA</v>
      </c>
      <c r="AX8" s="160">
        <f t="shared" si="5"/>
        <v>2</v>
      </c>
      <c r="AY8" s="160">
        <f t="shared" si="3"/>
        <v>1</v>
      </c>
      <c r="AZ8" s="160">
        <f t="shared" si="3"/>
        <v>1</v>
      </c>
      <c r="BA8" s="160" t="str">
        <f t="shared" si="3"/>
        <v/>
      </c>
      <c r="BB8" s="160" t="str">
        <f t="shared" si="3"/>
        <v/>
      </c>
      <c r="BC8" s="160" t="str">
        <f t="shared" si="3"/>
        <v/>
      </c>
      <c r="BD8" s="160" t="str">
        <f t="shared" si="3"/>
        <v/>
      </c>
    </row>
    <row r="9" spans="1:56" s="3" customFormat="1" thickBot="1" x14ac:dyDescent="0.25">
      <c r="A9" s="120"/>
      <c r="B9" s="134" t="s">
        <v>992</v>
      </c>
      <c r="C9" s="130"/>
      <c r="D9" s="131"/>
      <c r="E9" s="131"/>
      <c r="F9" s="131"/>
      <c r="G9" s="131"/>
      <c r="H9" s="132"/>
      <c r="I9" s="125"/>
      <c r="J9" s="126"/>
      <c r="K9" s="127"/>
      <c r="L9" s="127"/>
      <c r="M9" s="127"/>
      <c r="N9" s="127"/>
      <c r="O9" s="127"/>
      <c r="P9" s="127"/>
      <c r="Q9" s="127"/>
      <c r="R9" s="127"/>
      <c r="S9" s="127"/>
      <c r="T9" s="127"/>
      <c r="U9" s="127"/>
      <c r="V9" s="127"/>
      <c r="W9" s="128"/>
      <c r="X9" s="128"/>
      <c r="Y9" s="128"/>
      <c r="Z9" s="128"/>
      <c r="AA9" s="128"/>
      <c r="AB9" s="128"/>
      <c r="AC9" s="128"/>
      <c r="AD9" s="128"/>
      <c r="AE9" s="128"/>
      <c r="AF9" s="128"/>
      <c r="AG9" s="128"/>
      <c r="AH9" s="128"/>
      <c r="AI9" s="128"/>
      <c r="AJ9" s="128"/>
      <c r="AK9" s="128"/>
      <c r="AL9" s="145"/>
      <c r="AM9" s="145"/>
      <c r="AN9" s="145"/>
      <c r="AO9" s="145"/>
      <c r="AP9" s="171">
        <f t="shared" si="6"/>
        <v>1</v>
      </c>
      <c r="AQ9" s="173" t="str">
        <f t="shared" si="8"/>
        <v>Problem Analysis</v>
      </c>
      <c r="AR9" s="4" t="str">
        <f>IFERROR(VLOOKUP(B9,Mapping!$A$2:$C$52,3,FALSE),"")</f>
        <v/>
      </c>
      <c r="AS9" s="21" t="str">
        <f t="shared" si="7"/>
        <v/>
      </c>
      <c r="AT9" s="4" t="str">
        <f t="shared" si="4"/>
        <v/>
      </c>
      <c r="AV9" s="9" t="str">
        <f>IF(AT9="","",SUMIF(Master!$AR$4:$AR$64,AR9,Master!$AT$4:$AT$64))</f>
        <v/>
      </c>
      <c r="AW9" s="158" t="str">
        <f>IF(COUNTIFS(Master!$AR$4:$AR$64,AR9,Master!$AS$4:$AS$64,"*I*")&gt;0,"I","")&amp;IF(COUNTIFS(Master!$AR$4:$AR$64,AR9,Master!$AS$4:$AS$64,"*D*")&gt;0,"D","")&amp;IF(COUNTIFS(Master!$AR$4:$AR$64,AR9,Master!$AS$4:$AS$64,"*A*")&gt;0,"A","")</f>
        <v/>
      </c>
      <c r="AX9" s="160" t="str">
        <f t="shared" si="5"/>
        <v/>
      </c>
      <c r="AY9" s="160" t="str">
        <f t="shared" si="3"/>
        <v/>
      </c>
      <c r="AZ9" s="160" t="str">
        <f t="shared" si="3"/>
        <v/>
      </c>
      <c r="BA9" s="160" t="str">
        <f t="shared" si="3"/>
        <v/>
      </c>
      <c r="BB9" s="160" t="str">
        <f t="shared" si="3"/>
        <v/>
      </c>
      <c r="BC9" s="160" t="str">
        <f t="shared" si="3"/>
        <v/>
      </c>
      <c r="BD9" s="160" t="str">
        <f t="shared" si="3"/>
        <v/>
      </c>
    </row>
    <row r="10" spans="1:56" s="3" customFormat="1" thickBot="1" x14ac:dyDescent="0.25">
      <c r="A10" s="120" t="s">
        <v>42</v>
      </c>
      <c r="B10" s="134"/>
      <c r="C10" s="130"/>
      <c r="D10" s="123"/>
      <c r="E10" s="123"/>
      <c r="F10" s="123"/>
      <c r="G10" s="123"/>
      <c r="H10" s="124"/>
      <c r="I10" s="125"/>
      <c r="J10" s="126"/>
      <c r="K10" s="127"/>
      <c r="L10" s="127"/>
      <c r="M10" s="127"/>
      <c r="N10" s="127"/>
      <c r="O10" s="127"/>
      <c r="P10" s="127"/>
      <c r="Q10" s="127"/>
      <c r="R10" s="127"/>
      <c r="S10" s="127"/>
      <c r="T10" s="127"/>
      <c r="U10" s="127"/>
      <c r="V10" s="127"/>
      <c r="W10" s="128"/>
      <c r="X10" s="128"/>
      <c r="Y10" s="128"/>
      <c r="Z10" s="128"/>
      <c r="AA10" s="128"/>
      <c r="AB10" s="128"/>
      <c r="AC10" s="128"/>
      <c r="AD10" s="128"/>
      <c r="AE10" s="128"/>
      <c r="AF10" s="128"/>
      <c r="AG10" s="128"/>
      <c r="AH10" s="128"/>
      <c r="AI10" s="128"/>
      <c r="AJ10" s="128"/>
      <c r="AK10" s="128"/>
      <c r="AL10" s="145"/>
      <c r="AM10" s="145"/>
      <c r="AN10" s="145"/>
      <c r="AO10" s="145"/>
      <c r="AP10" s="171" t="str">
        <f t="shared" si="6"/>
        <v>Design</v>
      </c>
      <c r="AQ10" s="173" t="str">
        <f t="shared" si="8"/>
        <v/>
      </c>
      <c r="AR10" s="4" t="str">
        <f>IFERROR(VLOOKUP(B10,Mapping!$A$2:$C$52,3,FALSE),"")</f>
        <v/>
      </c>
      <c r="AS10" s="21" t="str">
        <f t="shared" si="7"/>
        <v/>
      </c>
      <c r="AT10" s="4" t="str">
        <f t="shared" si="4"/>
        <v/>
      </c>
      <c r="AV10" s="9" t="str">
        <f>IF(AT10="","",SUMIF(Master!$AR$4:$AR$64,AR10,Master!$AT$4:$AT$64))</f>
        <v/>
      </c>
      <c r="AW10" s="158" t="str">
        <f>IF(COUNTIFS(Master!$AR$4:$AR$64,AR10,Master!$AS$4:$AS$64,"*I*")&gt;0,"I","")&amp;IF(COUNTIFS(Master!$AR$4:$AR$64,AR10,Master!$AS$4:$AS$64,"*D*")&gt;0,"D","")&amp;IF(COUNTIFS(Master!$AR$4:$AR$64,AR10,Master!$AS$4:$AS$64,"*A*")&gt;0,"A","")</f>
        <v/>
      </c>
      <c r="AX10" s="160" t="str">
        <f t="shared" si="5"/>
        <v/>
      </c>
      <c r="AY10" s="160" t="str">
        <f t="shared" si="3"/>
        <v/>
      </c>
      <c r="AZ10" s="160" t="str">
        <f t="shared" si="3"/>
        <v/>
      </c>
      <c r="BA10" s="160" t="str">
        <f t="shared" si="3"/>
        <v/>
      </c>
      <c r="BB10" s="160" t="str">
        <f t="shared" si="3"/>
        <v/>
      </c>
      <c r="BC10" s="160" t="str">
        <f t="shared" si="3"/>
        <v/>
      </c>
      <c r="BD10" s="160" t="str">
        <f t="shared" si="3"/>
        <v/>
      </c>
    </row>
    <row r="11" spans="1:56" thickBot="1" x14ac:dyDescent="0.25">
      <c r="A11" s="120"/>
      <c r="B11" s="121" t="s">
        <v>993</v>
      </c>
      <c r="C11" s="135"/>
      <c r="D11" s="131"/>
      <c r="E11" s="131"/>
      <c r="F11" s="131"/>
      <c r="G11" s="131"/>
      <c r="H11" s="132"/>
      <c r="I11" s="125"/>
      <c r="J11" s="126"/>
      <c r="K11" s="127"/>
      <c r="L11" s="127"/>
      <c r="M11" s="127"/>
      <c r="N11" s="127"/>
      <c r="O11" s="127"/>
      <c r="P11" s="127"/>
      <c r="Q11" s="127"/>
      <c r="R11" s="127"/>
      <c r="S11" s="127"/>
      <c r="T11" s="127"/>
      <c r="U11" s="127"/>
      <c r="V11" s="127"/>
      <c r="W11" s="128"/>
      <c r="X11" s="128"/>
      <c r="Y11" s="128"/>
      <c r="Z11" s="128"/>
      <c r="AA11" s="128"/>
      <c r="AB11" s="128"/>
      <c r="AC11" s="128"/>
      <c r="AD11" s="128"/>
      <c r="AE11" s="128"/>
      <c r="AF11" s="128"/>
      <c r="AG11" s="128"/>
      <c r="AH11" s="128"/>
      <c r="AI11" s="128"/>
      <c r="AJ11" s="128"/>
      <c r="AK11" s="128"/>
      <c r="AL11" s="128"/>
      <c r="AM11" s="128"/>
      <c r="AN11" s="128"/>
      <c r="AO11" s="128"/>
      <c r="AP11" s="172">
        <f t="shared" si="6"/>
        <v>0</v>
      </c>
      <c r="AQ11" s="173" t="str">
        <f t="shared" si="8"/>
        <v>Design</v>
      </c>
      <c r="AR11" s="4" t="str">
        <f>IFERROR(VLOOKUP(B11,Mapping!$A$2:$C$52,3,FALSE),"")</f>
        <v/>
      </c>
      <c r="AS11" s="3" t="str">
        <f t="shared" si="7"/>
        <v/>
      </c>
      <c r="AT11" s="4" t="str">
        <f t="shared" si="4"/>
        <v/>
      </c>
      <c r="AU11" s="3"/>
      <c r="AV11" s="9" t="str">
        <f>IF(AT11="","",SUMIF(Master!$AR$4:$AR$64,AR11,Master!$AT$4:$AT$64))</f>
        <v/>
      </c>
      <c r="AW11" s="158" t="str">
        <f>IF(COUNTIFS(Master!$AR$4:$AR$64,AR11,Master!$AS$4:$AS$64,"*I*")&gt;0,"I","")&amp;IF(COUNTIFS(Master!$AR$4:$AR$64,AR11,Master!$AS$4:$AS$64,"*D*")&gt;0,"D","")&amp;IF(COUNTIFS(Master!$AR$4:$AR$64,AR11,Master!$AS$4:$AS$64,"*A*")&gt;0,"A","")</f>
        <v/>
      </c>
      <c r="AX11" s="160" t="str">
        <f t="shared" si="5"/>
        <v/>
      </c>
      <c r="AY11" s="160" t="str">
        <f t="shared" si="3"/>
        <v/>
      </c>
      <c r="AZ11" s="160" t="str">
        <f t="shared" si="3"/>
        <v/>
      </c>
      <c r="BA11" s="160" t="str">
        <f t="shared" si="3"/>
        <v/>
      </c>
      <c r="BB11" s="160" t="str">
        <f t="shared" si="3"/>
        <v/>
      </c>
      <c r="BC11" s="160" t="str">
        <f t="shared" si="3"/>
        <v/>
      </c>
      <c r="BD11" s="160" t="str">
        <f t="shared" si="3"/>
        <v/>
      </c>
    </row>
    <row r="12" spans="1:56" thickBot="1" x14ac:dyDescent="0.25">
      <c r="A12" s="120" t="s">
        <v>481</v>
      </c>
      <c r="B12" s="129"/>
      <c r="C12" s="130"/>
      <c r="D12" s="131"/>
      <c r="E12" s="131"/>
      <c r="F12" s="131"/>
      <c r="G12" s="131"/>
      <c r="H12" s="132"/>
      <c r="I12" s="125"/>
      <c r="J12" s="126"/>
      <c r="K12" s="127"/>
      <c r="L12" s="127"/>
      <c r="M12" s="127"/>
      <c r="N12" s="127"/>
      <c r="O12" s="127"/>
      <c r="P12" s="127"/>
      <c r="Q12" s="127"/>
      <c r="R12" s="127"/>
      <c r="S12" s="127"/>
      <c r="T12" s="127"/>
      <c r="U12" s="127"/>
      <c r="V12" s="127"/>
      <c r="W12" s="128"/>
      <c r="X12" s="128"/>
      <c r="Y12" s="128"/>
      <c r="Z12" s="128"/>
      <c r="AA12" s="128"/>
      <c r="AB12" s="128"/>
      <c r="AC12" s="128"/>
      <c r="AD12" s="128"/>
      <c r="AE12" s="128"/>
      <c r="AF12" s="128"/>
      <c r="AG12" s="128"/>
      <c r="AH12" s="128"/>
      <c r="AI12" s="128"/>
      <c r="AJ12" s="128"/>
      <c r="AK12" s="128"/>
      <c r="AL12" s="128"/>
      <c r="AM12" s="128"/>
      <c r="AN12" s="128"/>
      <c r="AO12" s="128"/>
      <c r="AP12" s="172" t="str">
        <f t="shared" si="6"/>
        <v>Communication Skills</v>
      </c>
      <c r="AQ12" s="173" t="str">
        <f t="shared" si="8"/>
        <v/>
      </c>
      <c r="AR12" s="4" t="str">
        <f>IFERROR(VLOOKUP(B12,Mapping!$A$2:$C$52,3,FALSE),"")</f>
        <v/>
      </c>
      <c r="AS12" s="3" t="str">
        <f t="shared" si="7"/>
        <v/>
      </c>
      <c r="AT12" s="4" t="str">
        <f t="shared" si="4"/>
        <v/>
      </c>
      <c r="AV12" s="9" t="str">
        <f>IF(AT12="","",SUMIF(Master!$AR$4:$AR$64,AR12,Master!$AT$4:$AT$64))</f>
        <v/>
      </c>
      <c r="AW12" s="158" t="str">
        <f>IF(COUNTIFS(Master!$AR$4:$AR$64,AR12,Master!$AS$4:$AS$64,"*I*")&gt;0,"I","")&amp;IF(COUNTIFS(Master!$AR$4:$AR$64,AR12,Master!$AS$4:$AS$64,"*D*")&gt;0,"D","")&amp;IF(COUNTIFS(Master!$AR$4:$AR$64,AR12,Master!$AS$4:$AS$64,"*A*")&gt;0,"A","")</f>
        <v/>
      </c>
      <c r="AX12" s="160" t="str">
        <f t="shared" si="5"/>
        <v/>
      </c>
      <c r="AY12" s="160" t="str">
        <f t="shared" si="3"/>
        <v/>
      </c>
      <c r="AZ12" s="160" t="str">
        <f t="shared" si="3"/>
        <v/>
      </c>
      <c r="BA12" s="160" t="str">
        <f t="shared" si="3"/>
        <v/>
      </c>
      <c r="BB12" s="160" t="str">
        <f t="shared" si="3"/>
        <v/>
      </c>
      <c r="BC12" s="160" t="str">
        <f t="shared" si="3"/>
        <v/>
      </c>
      <c r="BD12" s="160" t="str">
        <f t="shared" si="3"/>
        <v/>
      </c>
    </row>
    <row r="13" spans="1:56" thickBot="1" x14ac:dyDescent="0.25">
      <c r="A13" s="120"/>
      <c r="B13" s="121" t="s">
        <v>994</v>
      </c>
      <c r="C13" s="130"/>
      <c r="D13" s="131"/>
      <c r="E13" s="131"/>
      <c r="F13" s="131"/>
      <c r="G13" s="131"/>
      <c r="H13" s="132"/>
      <c r="I13" s="125"/>
      <c r="J13" s="126"/>
      <c r="K13" s="127"/>
      <c r="L13" s="127"/>
      <c r="M13" s="127"/>
      <c r="N13" s="127"/>
      <c r="O13" s="127"/>
      <c r="P13" s="127"/>
      <c r="Q13" s="127"/>
      <c r="R13" s="127"/>
      <c r="S13" s="127"/>
      <c r="T13" s="127"/>
      <c r="U13" s="127"/>
      <c r="V13" s="127"/>
      <c r="W13" s="128"/>
      <c r="X13" s="128"/>
      <c r="Y13" s="128"/>
      <c r="Z13" s="128"/>
      <c r="AA13" s="128"/>
      <c r="AB13" s="128"/>
      <c r="AC13" s="128"/>
      <c r="AD13" s="128"/>
      <c r="AE13" s="128"/>
      <c r="AF13" s="128"/>
      <c r="AG13" s="128"/>
      <c r="AH13" s="128"/>
      <c r="AI13" s="128"/>
      <c r="AJ13" s="128"/>
      <c r="AK13" s="128"/>
      <c r="AL13" s="128"/>
      <c r="AM13" s="128"/>
      <c r="AN13" s="128"/>
      <c r="AO13" s="128"/>
      <c r="AP13" s="172">
        <f t="shared" si="6"/>
        <v>0</v>
      </c>
      <c r="AQ13" s="173" t="str">
        <f t="shared" si="8"/>
        <v>Communication Skills</v>
      </c>
      <c r="AR13" s="4" t="str">
        <f>IFERROR(VLOOKUP(B13,Mapping!$A$2:$C$52,3,FALSE),"")</f>
        <v/>
      </c>
      <c r="AS13" s="3" t="str">
        <f t="shared" si="7"/>
        <v/>
      </c>
      <c r="AT13" s="4" t="str">
        <f t="shared" si="4"/>
        <v/>
      </c>
      <c r="AV13" s="9" t="str">
        <f>IF(AT13="","",SUMIF(Master!$AR$4:$AR$64,AR13,Master!$AT$4:$AT$64))</f>
        <v/>
      </c>
      <c r="AW13" s="158" t="str">
        <f>IF(COUNTIFS(Master!$AR$4:$AR$64,AR13,Master!$AS$4:$AS$64,"*I*")&gt;0,"I","")&amp;IF(COUNTIFS(Master!$AR$4:$AR$64,AR13,Master!$AS$4:$AS$64,"*D*")&gt;0,"D","")&amp;IF(COUNTIFS(Master!$AR$4:$AR$64,AR13,Master!$AS$4:$AS$64,"*A*")&gt;0,"A","")</f>
        <v/>
      </c>
      <c r="AX13" s="160" t="str">
        <f t="shared" si="5"/>
        <v/>
      </c>
      <c r="AY13" s="160" t="str">
        <f t="shared" si="3"/>
        <v/>
      </c>
      <c r="AZ13" s="160" t="str">
        <f t="shared" si="3"/>
        <v/>
      </c>
      <c r="BA13" s="160" t="str">
        <f t="shared" si="3"/>
        <v/>
      </c>
      <c r="BB13" s="160" t="str">
        <f t="shared" si="3"/>
        <v/>
      </c>
      <c r="BC13" s="160" t="str">
        <f t="shared" si="3"/>
        <v/>
      </c>
      <c r="BD13" s="160" t="str">
        <f t="shared" si="3"/>
        <v/>
      </c>
    </row>
    <row r="14" spans="1:56" s="3" customFormat="1" thickBot="1" x14ac:dyDescent="0.25">
      <c r="A14" s="120"/>
      <c r="B14" s="121" t="s">
        <v>995</v>
      </c>
      <c r="C14" s="130"/>
      <c r="D14" s="123"/>
      <c r="E14" s="123"/>
      <c r="F14" s="123"/>
      <c r="G14" s="123"/>
      <c r="H14" s="124"/>
      <c r="I14" s="125"/>
      <c r="J14" s="126"/>
      <c r="K14" s="127"/>
      <c r="L14" s="127"/>
      <c r="M14" s="127"/>
      <c r="N14" s="127"/>
      <c r="O14" s="127"/>
      <c r="P14" s="127"/>
      <c r="Q14" s="127"/>
      <c r="R14" s="127"/>
      <c r="S14" s="127"/>
      <c r="T14" s="127"/>
      <c r="U14" s="127"/>
      <c r="V14" s="127"/>
      <c r="W14" s="128"/>
      <c r="X14" s="128"/>
      <c r="Y14" s="128"/>
      <c r="Z14" s="128"/>
      <c r="AA14" s="128"/>
      <c r="AB14" s="128"/>
      <c r="AC14" s="128"/>
      <c r="AD14" s="128"/>
      <c r="AE14" s="128"/>
      <c r="AF14" s="128"/>
      <c r="AG14" s="128"/>
      <c r="AH14" s="128"/>
      <c r="AI14" s="128"/>
      <c r="AJ14" s="128"/>
      <c r="AK14" s="128"/>
      <c r="AL14" s="128"/>
      <c r="AM14" s="128"/>
      <c r="AN14" s="128"/>
      <c r="AO14" s="128"/>
      <c r="AP14" s="172">
        <f t="shared" si="6"/>
        <v>0</v>
      </c>
      <c r="AQ14" s="173" t="str">
        <f t="shared" si="8"/>
        <v>Communication Skills</v>
      </c>
      <c r="AR14" s="4" t="str">
        <f>IFERROR(VLOOKUP(B14,Mapping!$A$2:$C$52,3,FALSE),"")</f>
        <v/>
      </c>
      <c r="AS14" s="3" t="str">
        <f t="shared" si="7"/>
        <v/>
      </c>
      <c r="AT14" s="4" t="str">
        <f t="shared" si="4"/>
        <v/>
      </c>
      <c r="AV14" s="9" t="str">
        <f>IF(AT14="","",SUMIF(Master!$AR$4:$AR$64,AR14,Master!$AT$4:$AT$64))</f>
        <v/>
      </c>
      <c r="AW14" s="158" t="str">
        <f>IF(COUNTIFS(Master!$AR$4:$AR$64,AR14,Master!$AS$4:$AS$64,"*I*")&gt;0,"I","")&amp;IF(COUNTIFS(Master!$AR$4:$AR$64,AR14,Master!$AS$4:$AS$64,"*D*")&gt;0,"D","")&amp;IF(COUNTIFS(Master!$AR$4:$AR$64,AR14,Master!$AS$4:$AS$64,"*A*")&gt;0,"A","")</f>
        <v/>
      </c>
      <c r="AX14" s="160" t="str">
        <f t="shared" si="5"/>
        <v/>
      </c>
      <c r="AY14" s="160" t="str">
        <f t="shared" si="3"/>
        <v/>
      </c>
      <c r="AZ14" s="160" t="str">
        <f t="shared" si="3"/>
        <v/>
      </c>
      <c r="BA14" s="160" t="str">
        <f t="shared" si="3"/>
        <v/>
      </c>
      <c r="BB14" s="160" t="str">
        <f t="shared" si="3"/>
        <v/>
      </c>
      <c r="BC14" s="160" t="str">
        <f t="shared" si="3"/>
        <v/>
      </c>
      <c r="BD14" s="160" t="str">
        <f t="shared" si="3"/>
        <v/>
      </c>
    </row>
    <row r="15" spans="1:56" s="3" customFormat="1" thickBot="1" x14ac:dyDescent="0.25">
      <c r="A15" s="120"/>
      <c r="B15" s="121" t="s">
        <v>994</v>
      </c>
      <c r="C15" s="130"/>
      <c r="D15" s="131"/>
      <c r="E15" s="131"/>
      <c r="F15" s="131"/>
      <c r="G15" s="131"/>
      <c r="H15" s="132"/>
      <c r="I15" s="125"/>
      <c r="J15" s="126"/>
      <c r="K15" s="127"/>
      <c r="L15" s="127"/>
      <c r="M15" s="127"/>
      <c r="N15" s="127"/>
      <c r="O15" s="127"/>
      <c r="P15" s="127"/>
      <c r="Q15" s="127"/>
      <c r="R15" s="127"/>
      <c r="S15" s="127"/>
      <c r="T15" s="127"/>
      <c r="U15" s="127"/>
      <c r="V15" s="127"/>
      <c r="W15" s="128"/>
      <c r="X15" s="128"/>
      <c r="Y15" s="128"/>
      <c r="Z15" s="128"/>
      <c r="AA15" s="128"/>
      <c r="AB15" s="128"/>
      <c r="AC15" s="128"/>
      <c r="AD15" s="128"/>
      <c r="AE15" s="128"/>
      <c r="AF15" s="128"/>
      <c r="AG15" s="128"/>
      <c r="AH15" s="128"/>
      <c r="AI15" s="128"/>
      <c r="AJ15" s="128"/>
      <c r="AK15" s="128"/>
      <c r="AL15" s="128"/>
      <c r="AM15" s="128"/>
      <c r="AN15" s="128"/>
      <c r="AO15" s="128"/>
      <c r="AP15" s="172">
        <f t="shared" si="6"/>
        <v>0</v>
      </c>
      <c r="AQ15" s="173" t="str">
        <f t="shared" si="8"/>
        <v>Communication Skills</v>
      </c>
      <c r="AR15" s="4" t="str">
        <f>IFERROR(VLOOKUP(B15,Mapping!$A$2:$C$52,3,FALSE),"")</f>
        <v/>
      </c>
      <c r="AS15" s="3" t="str">
        <f t="shared" si="7"/>
        <v/>
      </c>
      <c r="AT15" s="4" t="str">
        <f t="shared" si="4"/>
        <v/>
      </c>
      <c r="AV15" s="9" t="str">
        <f>IF(AT15="","",SUMIF(Master!$AR$4:$AR$64,AR15,Master!$AT$4:$AT$64))</f>
        <v/>
      </c>
      <c r="AW15" s="158" t="str">
        <f>IF(COUNTIFS(Master!$AR$4:$AR$64,AR15,Master!$AS$4:$AS$64,"*I*")&gt;0,"I","")&amp;IF(COUNTIFS(Master!$AR$4:$AR$64,AR15,Master!$AS$4:$AS$64,"*D*")&gt;0,"D","")&amp;IF(COUNTIFS(Master!$AR$4:$AR$64,AR15,Master!$AS$4:$AS$64,"*A*")&gt;0,"A","")</f>
        <v/>
      </c>
      <c r="AX15" s="160" t="str">
        <f t="shared" si="5"/>
        <v/>
      </c>
      <c r="AY15" s="160" t="str">
        <f t="shared" si="3"/>
        <v/>
      </c>
      <c r="AZ15" s="160" t="str">
        <f t="shared" si="3"/>
        <v/>
      </c>
      <c r="BA15" s="160" t="str">
        <f t="shared" si="3"/>
        <v/>
      </c>
      <c r="BB15" s="160" t="str">
        <f t="shared" si="3"/>
        <v/>
      </c>
      <c r="BC15" s="160" t="str">
        <f t="shared" si="3"/>
        <v/>
      </c>
      <c r="BD15" s="160" t="str">
        <f t="shared" si="3"/>
        <v/>
      </c>
    </row>
    <row r="16" spans="1:56" s="3" customFormat="1" thickBot="1" x14ac:dyDescent="0.25">
      <c r="A16" s="120"/>
      <c r="B16" s="121" t="s">
        <v>996</v>
      </c>
      <c r="C16" s="130"/>
      <c r="D16" s="131"/>
      <c r="E16" s="131"/>
      <c r="F16" s="131"/>
      <c r="G16" s="131"/>
      <c r="H16" s="132"/>
      <c r="I16" s="125"/>
      <c r="J16" s="126"/>
      <c r="K16" s="127"/>
      <c r="L16" s="127"/>
      <c r="M16" s="127"/>
      <c r="N16" s="127"/>
      <c r="O16" s="127"/>
      <c r="P16" s="127"/>
      <c r="Q16" s="127"/>
      <c r="R16" s="127"/>
      <c r="S16" s="127"/>
      <c r="T16" s="127"/>
      <c r="U16" s="127"/>
      <c r="V16" s="127"/>
      <c r="W16" s="128"/>
      <c r="X16" s="128"/>
      <c r="Y16" s="128"/>
      <c r="Z16" s="128"/>
      <c r="AA16" s="128"/>
      <c r="AB16" s="128"/>
      <c r="AC16" s="128"/>
      <c r="AD16" s="128"/>
      <c r="AE16" s="128"/>
      <c r="AF16" s="128"/>
      <c r="AG16" s="128"/>
      <c r="AH16" s="128"/>
      <c r="AI16" s="128"/>
      <c r="AJ16" s="128"/>
      <c r="AK16" s="128"/>
      <c r="AL16" s="128"/>
      <c r="AM16" s="128"/>
      <c r="AN16" s="128"/>
      <c r="AO16" s="128"/>
      <c r="AP16" s="172">
        <f t="shared" si="6"/>
        <v>0</v>
      </c>
      <c r="AQ16" s="173" t="str">
        <f t="shared" si="8"/>
        <v>Communication Skills</v>
      </c>
      <c r="AR16" s="4" t="str">
        <f>IFERROR(VLOOKUP(B16,Mapping!$A$2:$C$52,3,FALSE),"")</f>
        <v/>
      </c>
      <c r="AS16" s="3" t="str">
        <f t="shared" si="7"/>
        <v/>
      </c>
      <c r="AT16" s="4" t="str">
        <f t="shared" si="4"/>
        <v/>
      </c>
      <c r="AV16" s="9" t="str">
        <f>IF(AT16="","",SUMIF(Master!$AR$4:$AR$64,AR16,Master!$AT$4:$AT$64))</f>
        <v/>
      </c>
      <c r="AW16" s="158" t="str">
        <f>IF(COUNTIFS(Master!$AR$4:$AR$64,AR16,Master!$AS$4:$AS$64,"*I*")&gt;0,"I","")&amp;IF(COUNTIFS(Master!$AR$4:$AR$64,AR16,Master!$AS$4:$AS$64,"*D*")&gt;0,"D","")&amp;IF(COUNTIFS(Master!$AR$4:$AR$64,AR16,Master!$AS$4:$AS$64,"*A*")&gt;0,"A","")</f>
        <v/>
      </c>
      <c r="AX16" s="160" t="str">
        <f t="shared" si="5"/>
        <v/>
      </c>
      <c r="AY16" s="160" t="str">
        <f t="shared" si="3"/>
        <v/>
      </c>
      <c r="AZ16" s="160" t="str">
        <f t="shared" si="3"/>
        <v/>
      </c>
      <c r="BA16" s="160" t="str">
        <f t="shared" si="3"/>
        <v/>
      </c>
      <c r="BB16" s="160" t="str">
        <f t="shared" si="3"/>
        <v/>
      </c>
      <c r="BC16" s="160" t="str">
        <f t="shared" si="3"/>
        <v/>
      </c>
      <c r="BD16" s="160" t="str">
        <f t="shared" si="3"/>
        <v/>
      </c>
    </row>
    <row r="17" spans="1:56" s="3" customFormat="1" thickBot="1" x14ac:dyDescent="0.25">
      <c r="A17" s="120" t="s">
        <v>480</v>
      </c>
      <c r="B17" s="121"/>
      <c r="C17" s="130"/>
      <c r="D17" s="131"/>
      <c r="E17" s="131"/>
      <c r="F17" s="131"/>
      <c r="G17" s="131"/>
      <c r="H17" s="132"/>
      <c r="I17" s="125"/>
      <c r="J17" s="126"/>
      <c r="K17" s="127"/>
      <c r="L17" s="127"/>
      <c r="M17" s="127"/>
      <c r="N17" s="127"/>
      <c r="O17" s="127"/>
      <c r="P17" s="127"/>
      <c r="Q17" s="127"/>
      <c r="R17" s="127"/>
      <c r="S17" s="127"/>
      <c r="T17" s="127"/>
      <c r="U17" s="127"/>
      <c r="V17" s="127"/>
      <c r="W17" s="128"/>
      <c r="X17" s="128"/>
      <c r="Y17" s="128"/>
      <c r="Z17" s="128"/>
      <c r="AA17" s="128"/>
      <c r="AB17" s="128"/>
      <c r="AC17" s="128"/>
      <c r="AD17" s="128"/>
      <c r="AE17" s="128"/>
      <c r="AF17" s="128"/>
      <c r="AG17" s="128"/>
      <c r="AH17" s="128"/>
      <c r="AI17" s="128"/>
      <c r="AJ17" s="128"/>
      <c r="AK17" s="128"/>
      <c r="AL17" s="128"/>
      <c r="AM17" s="128"/>
      <c r="AN17" s="128"/>
      <c r="AO17" s="128"/>
      <c r="AP17" s="172" t="str">
        <f t="shared" si="6"/>
        <v>Individual and Team Work</v>
      </c>
      <c r="AQ17" s="173" t="str">
        <f t="shared" si="8"/>
        <v/>
      </c>
      <c r="AR17" s="4" t="str">
        <f>IFERROR(VLOOKUP(B17,Mapping!$A$2:$C$52,3,FALSE),"")</f>
        <v/>
      </c>
      <c r="AS17" s="3" t="str">
        <f t="shared" si="7"/>
        <v/>
      </c>
      <c r="AT17" s="4" t="str">
        <f t="shared" si="4"/>
        <v/>
      </c>
      <c r="AV17" s="9" t="str">
        <f>IF(AT17="","",SUMIF(Master!$AR$4:$AR$64,AR17,Master!$AT$4:$AT$64))</f>
        <v/>
      </c>
      <c r="AW17" s="158" t="str">
        <f>IF(COUNTIFS(Master!$AR$4:$AR$64,AR17,Master!$AS$4:$AS$64,"*I*")&gt;0,"I","")&amp;IF(COUNTIFS(Master!$AR$4:$AR$64,AR17,Master!$AS$4:$AS$64,"*D*")&gt;0,"D","")&amp;IF(COUNTIFS(Master!$AR$4:$AR$64,AR17,Master!$AS$4:$AS$64,"*A*")&gt;0,"A","")</f>
        <v/>
      </c>
      <c r="AX17" s="160" t="str">
        <f t="shared" si="5"/>
        <v/>
      </c>
      <c r="AY17" s="160" t="str">
        <f t="shared" si="3"/>
        <v/>
      </c>
      <c r="AZ17" s="160" t="str">
        <f t="shared" si="3"/>
        <v/>
      </c>
      <c r="BA17" s="160" t="str">
        <f t="shared" si="3"/>
        <v/>
      </c>
      <c r="BB17" s="160" t="str">
        <f t="shared" si="3"/>
        <v/>
      </c>
      <c r="BC17" s="160" t="str">
        <f t="shared" si="3"/>
        <v/>
      </c>
      <c r="BD17" s="160" t="str">
        <f t="shared" si="3"/>
        <v/>
      </c>
    </row>
    <row r="18" spans="1:56" s="3" customFormat="1" thickBot="1" x14ac:dyDescent="0.25">
      <c r="A18" s="120"/>
      <c r="B18" s="121"/>
      <c r="C18" s="130"/>
      <c r="D18" s="131"/>
      <c r="E18" s="131"/>
      <c r="F18" s="131"/>
      <c r="G18" s="131"/>
      <c r="H18" s="132"/>
      <c r="I18" s="125"/>
      <c r="J18" s="126"/>
      <c r="K18" s="127"/>
      <c r="L18" s="127"/>
      <c r="M18" s="127"/>
      <c r="N18" s="127"/>
      <c r="O18" s="127"/>
      <c r="P18" s="127"/>
      <c r="Q18" s="127"/>
      <c r="R18" s="127"/>
      <c r="S18" s="127"/>
      <c r="T18" s="127"/>
      <c r="U18" s="127"/>
      <c r="V18" s="127"/>
      <c r="W18" s="128"/>
      <c r="X18" s="128"/>
      <c r="Y18" s="128"/>
      <c r="Z18" s="128"/>
      <c r="AA18" s="128"/>
      <c r="AB18" s="128"/>
      <c r="AC18" s="128"/>
      <c r="AD18" s="128"/>
      <c r="AE18" s="128"/>
      <c r="AF18" s="128"/>
      <c r="AG18" s="128"/>
      <c r="AH18" s="128"/>
      <c r="AI18" s="128"/>
      <c r="AJ18" s="128"/>
      <c r="AK18" s="128"/>
      <c r="AL18" s="128"/>
      <c r="AM18" s="128"/>
      <c r="AN18" s="128"/>
      <c r="AO18" s="128"/>
      <c r="AP18" s="172" t="str">
        <f t="shared" si="6"/>
        <v/>
      </c>
      <c r="AQ18" s="173" t="str">
        <f t="shared" si="8"/>
        <v/>
      </c>
      <c r="AR18" s="4" t="str">
        <f>IFERROR(VLOOKUP(B18,Mapping!$A$2:$C$52,3,FALSE),"")</f>
        <v/>
      </c>
      <c r="AS18" s="3" t="str">
        <f t="shared" si="7"/>
        <v/>
      </c>
      <c r="AT18" s="4" t="str">
        <f t="shared" si="4"/>
        <v/>
      </c>
      <c r="AV18" s="9" t="str">
        <f>IF(AT18="","",SUMIF(Master!$AR$4:$AR$64,AR18,Master!$AT$4:$AT$64))</f>
        <v/>
      </c>
      <c r="AW18" s="158" t="str">
        <f>IF(COUNTIFS(Master!$AR$4:$AR$64,AR18,Master!$AS$4:$AS$64,"*I*")&gt;0,"I","")&amp;IF(COUNTIFS(Master!$AR$4:$AR$64,AR18,Master!$AS$4:$AS$64,"*D*")&gt;0,"D","")&amp;IF(COUNTIFS(Master!$AR$4:$AR$64,AR18,Master!$AS$4:$AS$64,"*A*")&gt;0,"A","")</f>
        <v/>
      </c>
      <c r="AX18" s="160" t="str">
        <f t="shared" si="5"/>
        <v/>
      </c>
      <c r="AY18" s="160" t="str">
        <f t="shared" si="3"/>
        <v/>
      </c>
      <c r="AZ18" s="160" t="str">
        <f t="shared" si="3"/>
        <v/>
      </c>
      <c r="BA18" s="160" t="str">
        <f t="shared" si="3"/>
        <v/>
      </c>
      <c r="BB18" s="160" t="str">
        <f t="shared" si="3"/>
        <v/>
      </c>
      <c r="BC18" s="160" t="str">
        <f t="shared" si="3"/>
        <v/>
      </c>
      <c r="BD18" s="160" t="str">
        <f t="shared" si="3"/>
        <v/>
      </c>
    </row>
    <row r="19" spans="1:56" s="3" customFormat="1" thickBot="1" x14ac:dyDescent="0.25">
      <c r="A19" s="120"/>
      <c r="B19" s="121"/>
      <c r="C19" s="130"/>
      <c r="D19" s="123"/>
      <c r="E19" s="123"/>
      <c r="F19" s="123"/>
      <c r="G19" s="123"/>
      <c r="H19" s="124"/>
      <c r="I19" s="125"/>
      <c r="J19" s="126"/>
      <c r="K19" s="127"/>
      <c r="L19" s="127"/>
      <c r="M19" s="127"/>
      <c r="N19" s="127"/>
      <c r="O19" s="127"/>
      <c r="P19" s="127"/>
      <c r="Q19" s="127"/>
      <c r="R19" s="127"/>
      <c r="S19" s="127"/>
      <c r="T19" s="127"/>
      <c r="U19" s="127"/>
      <c r="V19" s="127"/>
      <c r="W19" s="128"/>
      <c r="X19" s="128"/>
      <c r="Y19" s="128"/>
      <c r="Z19" s="128"/>
      <c r="AA19" s="128"/>
      <c r="AB19" s="128"/>
      <c r="AC19" s="128"/>
      <c r="AD19" s="128"/>
      <c r="AE19" s="128"/>
      <c r="AF19" s="128"/>
      <c r="AG19" s="128"/>
      <c r="AH19" s="128"/>
      <c r="AI19" s="128"/>
      <c r="AJ19" s="128"/>
      <c r="AK19" s="128"/>
      <c r="AL19" s="128"/>
      <c r="AM19" s="128"/>
      <c r="AN19" s="128"/>
      <c r="AO19" s="128"/>
      <c r="AP19" s="172" t="str">
        <f t="shared" si="6"/>
        <v/>
      </c>
      <c r="AQ19" s="173" t="str">
        <f t="shared" si="8"/>
        <v/>
      </c>
      <c r="AR19" s="4" t="str">
        <f>IFERROR(VLOOKUP(B19,Mapping!$A$2:$C$52,3,FALSE),"")</f>
        <v/>
      </c>
      <c r="AS19" s="3" t="str">
        <f t="shared" si="7"/>
        <v/>
      </c>
      <c r="AT19" s="4" t="str">
        <f t="shared" si="4"/>
        <v/>
      </c>
      <c r="AV19" s="9" t="str">
        <f>IF(AT19="","",SUMIF(Master!$AR$4:$AR$64,AR19,Master!$AT$4:$AT$64))</f>
        <v/>
      </c>
      <c r="AW19" s="158" t="str">
        <f>IF(COUNTIFS(Master!$AR$4:$AR$64,AR19,Master!$AS$4:$AS$64,"*I*")&gt;0,"I","")&amp;IF(COUNTIFS(Master!$AR$4:$AR$64,AR19,Master!$AS$4:$AS$64,"*D*")&gt;0,"D","")&amp;IF(COUNTIFS(Master!$AR$4:$AR$64,AR19,Master!$AS$4:$AS$64,"*A*")&gt;0,"A","")</f>
        <v/>
      </c>
      <c r="AX19" s="160" t="str">
        <f t="shared" si="5"/>
        <v/>
      </c>
      <c r="AY19" s="160" t="str">
        <f t="shared" si="3"/>
        <v/>
      </c>
      <c r="AZ19" s="160" t="str">
        <f t="shared" si="3"/>
        <v/>
      </c>
      <c r="BA19" s="160" t="str">
        <f t="shared" si="3"/>
        <v/>
      </c>
      <c r="BB19" s="160" t="str">
        <f t="shared" si="3"/>
        <v/>
      </c>
      <c r="BC19" s="160" t="str">
        <f t="shared" si="3"/>
        <v/>
      </c>
      <c r="BD19" s="160" t="str">
        <f t="shared" si="3"/>
        <v/>
      </c>
    </row>
    <row r="20" spans="1:56" s="3" customFormat="1" thickBot="1" x14ac:dyDescent="0.25">
      <c r="A20" s="120"/>
      <c r="B20" s="121"/>
      <c r="C20" s="130"/>
      <c r="D20" s="131"/>
      <c r="E20" s="131"/>
      <c r="F20" s="131"/>
      <c r="G20" s="131"/>
      <c r="H20" s="132"/>
      <c r="I20" s="125"/>
      <c r="J20" s="126"/>
      <c r="K20" s="127"/>
      <c r="L20" s="127"/>
      <c r="M20" s="127"/>
      <c r="N20" s="127"/>
      <c r="O20" s="127"/>
      <c r="P20" s="127"/>
      <c r="Q20" s="127"/>
      <c r="R20" s="127"/>
      <c r="S20" s="127"/>
      <c r="T20" s="127"/>
      <c r="U20" s="127"/>
      <c r="V20" s="127"/>
      <c r="W20" s="128"/>
      <c r="X20" s="128"/>
      <c r="Y20" s="128"/>
      <c r="Z20" s="128"/>
      <c r="AA20" s="128"/>
      <c r="AB20" s="128"/>
      <c r="AC20" s="128"/>
      <c r="AD20" s="128"/>
      <c r="AE20" s="128"/>
      <c r="AF20" s="128"/>
      <c r="AG20" s="128"/>
      <c r="AH20" s="128"/>
      <c r="AI20" s="128"/>
      <c r="AJ20" s="128"/>
      <c r="AK20" s="128"/>
      <c r="AL20" s="128"/>
      <c r="AM20" s="128"/>
      <c r="AN20" s="128"/>
      <c r="AO20" s="128"/>
      <c r="AP20" s="172" t="str">
        <f t="shared" si="6"/>
        <v/>
      </c>
      <c r="AQ20" s="173" t="str">
        <f t="shared" si="8"/>
        <v/>
      </c>
      <c r="AR20" s="4" t="str">
        <f>IFERROR(VLOOKUP(B20,Mapping!$A$2:$C$52,3,FALSE),"")</f>
        <v/>
      </c>
      <c r="AS20" s="3" t="str">
        <f t="shared" si="7"/>
        <v/>
      </c>
      <c r="AT20" s="4" t="str">
        <f t="shared" si="4"/>
        <v/>
      </c>
      <c r="AV20" s="9" t="str">
        <f>IF(AT20="","",SUMIF(Master!$AR$4:$AR$64,AR20,Master!$AT$4:$AT$64))</f>
        <v/>
      </c>
      <c r="AW20" s="158" t="str">
        <f>IF(COUNTIFS(Master!$AR$4:$AR$64,AR20,Master!$AS$4:$AS$64,"*I*")&gt;0,"I","")&amp;IF(COUNTIFS(Master!$AR$4:$AR$64,AR20,Master!$AS$4:$AS$64,"*D*")&gt;0,"D","")&amp;IF(COUNTIFS(Master!$AR$4:$AR$64,AR20,Master!$AS$4:$AS$64,"*A*")&gt;0,"A","")</f>
        <v/>
      </c>
      <c r="AX20" s="160" t="str">
        <f t="shared" si="5"/>
        <v/>
      </c>
      <c r="AY20" s="160" t="str">
        <f t="shared" si="5"/>
        <v/>
      </c>
      <c r="AZ20" s="160" t="str">
        <f t="shared" si="5"/>
        <v/>
      </c>
      <c r="BA20" s="160" t="str">
        <f t="shared" si="5"/>
        <v/>
      </c>
      <c r="BB20" s="160" t="str">
        <f t="shared" si="5"/>
        <v/>
      </c>
      <c r="BC20" s="160" t="str">
        <f t="shared" si="5"/>
        <v/>
      </c>
      <c r="BD20" s="160" t="str">
        <f t="shared" si="5"/>
        <v/>
      </c>
    </row>
    <row r="21" spans="1:56" s="3" customFormat="1" thickBot="1" x14ac:dyDescent="0.25">
      <c r="A21" s="120"/>
      <c r="B21" s="121"/>
      <c r="C21" s="130"/>
      <c r="D21" s="131"/>
      <c r="E21" s="131"/>
      <c r="F21" s="131"/>
      <c r="G21" s="131"/>
      <c r="H21" s="132"/>
      <c r="I21" s="125"/>
      <c r="J21" s="126"/>
      <c r="K21" s="127"/>
      <c r="L21" s="127"/>
      <c r="M21" s="127"/>
      <c r="N21" s="127"/>
      <c r="O21" s="127"/>
      <c r="P21" s="127"/>
      <c r="Q21" s="127"/>
      <c r="R21" s="127"/>
      <c r="S21" s="127"/>
      <c r="T21" s="127"/>
      <c r="U21" s="127"/>
      <c r="V21" s="127"/>
      <c r="W21" s="128"/>
      <c r="X21" s="128"/>
      <c r="Y21" s="128"/>
      <c r="Z21" s="128"/>
      <c r="AA21" s="128"/>
      <c r="AB21" s="128"/>
      <c r="AC21" s="128"/>
      <c r="AD21" s="128"/>
      <c r="AE21" s="128"/>
      <c r="AF21" s="128"/>
      <c r="AG21" s="128"/>
      <c r="AH21" s="128"/>
      <c r="AI21" s="128"/>
      <c r="AJ21" s="128"/>
      <c r="AK21" s="128"/>
      <c r="AL21" s="128"/>
      <c r="AM21" s="128"/>
      <c r="AN21" s="128"/>
      <c r="AO21" s="128"/>
      <c r="AP21" s="172" t="str">
        <f t="shared" si="6"/>
        <v/>
      </c>
      <c r="AQ21" s="173" t="str">
        <f t="shared" si="8"/>
        <v/>
      </c>
      <c r="AR21" s="4" t="str">
        <f>IFERROR(VLOOKUP(B21,Mapping!$A$2:$C$52,3,FALSE),"")</f>
        <v/>
      </c>
      <c r="AS21" s="3" t="str">
        <f t="shared" si="7"/>
        <v/>
      </c>
      <c r="AT21" s="4" t="str">
        <f t="shared" si="4"/>
        <v/>
      </c>
      <c r="AV21" s="9" t="str">
        <f>IF(AT21="","",SUMIF(Master!$AR$4:$AR$64,AR21,Master!$AT$4:$AT$64))</f>
        <v/>
      </c>
      <c r="AW21" s="158" t="str">
        <f>IF(COUNTIFS(Master!$AR$4:$AR$64,AR21,Master!$AS$4:$AS$64,"*I*")&gt;0,"I","")&amp;IF(COUNTIFS(Master!$AR$4:$AR$64,AR21,Master!$AS$4:$AS$64,"*D*")&gt;0,"D","")&amp;IF(COUNTIFS(Master!$AR$4:$AR$64,AR21,Master!$AS$4:$AS$64,"*A*")&gt;0,"A","")</f>
        <v/>
      </c>
      <c r="AX21" s="160" t="str">
        <f t="shared" ref="AX21:BD36" si="9">IF(COUNTIF($J21:$AO21,AX$3)=0,"",COUNTIF($J21:$AO21,AX$3))</f>
        <v/>
      </c>
      <c r="AY21" s="160" t="str">
        <f t="shared" si="9"/>
        <v/>
      </c>
      <c r="AZ21" s="160" t="str">
        <f t="shared" si="9"/>
        <v/>
      </c>
      <c r="BA21" s="160" t="str">
        <f t="shared" si="9"/>
        <v/>
      </c>
      <c r="BB21" s="160" t="str">
        <f t="shared" si="9"/>
        <v/>
      </c>
      <c r="BC21" s="160" t="str">
        <f t="shared" si="9"/>
        <v/>
      </c>
      <c r="BD21" s="160" t="str">
        <f t="shared" si="9"/>
        <v/>
      </c>
    </row>
    <row r="22" spans="1:56" s="3" customFormat="1" thickBot="1" x14ac:dyDescent="0.25">
      <c r="A22" s="120"/>
      <c r="B22" s="121"/>
      <c r="C22" s="130"/>
      <c r="D22" s="123"/>
      <c r="E22" s="123"/>
      <c r="F22" s="123"/>
      <c r="G22" s="123"/>
      <c r="H22" s="124"/>
      <c r="I22" s="125"/>
      <c r="J22" s="126"/>
      <c r="K22" s="127"/>
      <c r="L22" s="127"/>
      <c r="M22" s="127"/>
      <c r="N22" s="127"/>
      <c r="O22" s="127"/>
      <c r="P22" s="127"/>
      <c r="Q22" s="127"/>
      <c r="R22" s="127"/>
      <c r="S22" s="127"/>
      <c r="T22" s="127"/>
      <c r="U22" s="127"/>
      <c r="V22" s="127"/>
      <c r="W22" s="128"/>
      <c r="X22" s="128"/>
      <c r="Y22" s="128"/>
      <c r="Z22" s="128"/>
      <c r="AA22" s="128"/>
      <c r="AB22" s="128"/>
      <c r="AC22" s="128"/>
      <c r="AD22" s="128"/>
      <c r="AE22" s="128"/>
      <c r="AF22" s="128"/>
      <c r="AG22" s="128"/>
      <c r="AH22" s="128"/>
      <c r="AI22" s="128"/>
      <c r="AJ22" s="128"/>
      <c r="AK22" s="128"/>
      <c r="AL22" s="128"/>
      <c r="AM22" s="128"/>
      <c r="AN22" s="128"/>
      <c r="AO22" s="128"/>
      <c r="AP22" s="172" t="str">
        <f t="shared" si="6"/>
        <v/>
      </c>
      <c r="AQ22" s="173" t="str">
        <f t="shared" si="8"/>
        <v/>
      </c>
      <c r="AR22" s="4" t="str">
        <f>IFERROR(VLOOKUP(B22,Mapping!$A$2:$C$52,3,FALSE),"")</f>
        <v/>
      </c>
      <c r="AS22" s="3" t="str">
        <f t="shared" si="7"/>
        <v/>
      </c>
      <c r="AT22" s="4" t="str">
        <f t="shared" si="4"/>
        <v/>
      </c>
      <c r="AV22" s="9" t="str">
        <f>IF(AT22="","",SUMIF(Master!$AR$4:$AR$64,AR22,Master!$AT$4:$AT$64))</f>
        <v/>
      </c>
      <c r="AW22" s="158" t="str">
        <f>IF(COUNTIFS(Master!$AR$4:$AR$64,AR22,Master!$AS$4:$AS$64,"*I*")&gt;0,"I","")&amp;IF(COUNTIFS(Master!$AR$4:$AR$64,AR22,Master!$AS$4:$AS$64,"*D*")&gt;0,"D","")&amp;IF(COUNTIFS(Master!$AR$4:$AR$64,AR22,Master!$AS$4:$AS$64,"*A*")&gt;0,"A","")</f>
        <v/>
      </c>
      <c r="AX22" s="160" t="str">
        <f t="shared" si="9"/>
        <v/>
      </c>
      <c r="AY22" s="160" t="str">
        <f t="shared" si="9"/>
        <v/>
      </c>
      <c r="AZ22" s="160" t="str">
        <f t="shared" si="9"/>
        <v/>
      </c>
      <c r="BA22" s="160" t="str">
        <f t="shared" si="9"/>
        <v/>
      </c>
      <c r="BB22" s="160" t="str">
        <f t="shared" si="9"/>
        <v/>
      </c>
      <c r="BC22" s="160" t="str">
        <f t="shared" si="9"/>
        <v/>
      </c>
      <c r="BD22" s="160" t="str">
        <f t="shared" si="9"/>
        <v/>
      </c>
    </row>
    <row r="23" spans="1:56" s="3" customFormat="1" thickBot="1" x14ac:dyDescent="0.25">
      <c r="A23" s="120"/>
      <c r="B23" s="121"/>
      <c r="C23" s="130"/>
      <c r="D23" s="131"/>
      <c r="E23" s="131"/>
      <c r="F23" s="131"/>
      <c r="G23" s="131"/>
      <c r="H23" s="132"/>
      <c r="I23" s="125"/>
      <c r="J23" s="126"/>
      <c r="K23" s="127"/>
      <c r="L23" s="127"/>
      <c r="M23" s="127"/>
      <c r="N23" s="127"/>
      <c r="O23" s="127"/>
      <c r="P23" s="127"/>
      <c r="Q23" s="127"/>
      <c r="R23" s="127"/>
      <c r="S23" s="127"/>
      <c r="T23" s="127"/>
      <c r="U23" s="127"/>
      <c r="V23" s="127"/>
      <c r="W23" s="128"/>
      <c r="X23" s="128"/>
      <c r="Y23" s="128"/>
      <c r="Z23" s="128"/>
      <c r="AA23" s="128"/>
      <c r="AB23" s="128"/>
      <c r="AC23" s="128"/>
      <c r="AD23" s="128"/>
      <c r="AE23" s="128"/>
      <c r="AF23" s="128"/>
      <c r="AG23" s="128"/>
      <c r="AH23" s="128"/>
      <c r="AI23" s="128"/>
      <c r="AJ23" s="128"/>
      <c r="AK23" s="128"/>
      <c r="AL23" s="128"/>
      <c r="AM23" s="128"/>
      <c r="AN23" s="128"/>
      <c r="AO23" s="128"/>
      <c r="AP23" s="172" t="str">
        <f t="shared" si="6"/>
        <v/>
      </c>
      <c r="AQ23" s="173" t="str">
        <f t="shared" si="8"/>
        <v/>
      </c>
      <c r="AR23" s="4" t="str">
        <f>IFERROR(VLOOKUP(B23,Mapping!$A$2:$C$52,3,FALSE),"")</f>
        <v/>
      </c>
      <c r="AS23" s="3" t="str">
        <f t="shared" si="7"/>
        <v/>
      </c>
      <c r="AT23" s="4" t="str">
        <f t="shared" si="4"/>
        <v/>
      </c>
      <c r="AV23" s="9" t="str">
        <f>IF(AT23="","",SUMIF(Master!$AR$4:$AR$64,AR23,Master!$AT$4:$AT$64))</f>
        <v/>
      </c>
      <c r="AW23" s="158" t="str">
        <f>IF(COUNTIFS(Master!$AR$4:$AR$64,AR23,Master!$AS$4:$AS$64,"*I*")&gt;0,"I","")&amp;IF(COUNTIFS(Master!$AR$4:$AR$64,AR23,Master!$AS$4:$AS$64,"*D*")&gt;0,"D","")&amp;IF(COUNTIFS(Master!$AR$4:$AR$64,AR23,Master!$AS$4:$AS$64,"*A*")&gt;0,"A","")</f>
        <v/>
      </c>
      <c r="AX23" s="160" t="str">
        <f t="shared" si="9"/>
        <v/>
      </c>
      <c r="AY23" s="160" t="str">
        <f t="shared" si="9"/>
        <v/>
      </c>
      <c r="AZ23" s="160" t="str">
        <f t="shared" si="9"/>
        <v/>
      </c>
      <c r="BA23" s="160" t="str">
        <f t="shared" si="9"/>
        <v/>
      </c>
      <c r="BB23" s="160" t="str">
        <f t="shared" si="9"/>
        <v/>
      </c>
      <c r="BC23" s="160" t="str">
        <f t="shared" si="9"/>
        <v/>
      </c>
      <c r="BD23" s="160" t="str">
        <f t="shared" si="9"/>
        <v/>
      </c>
    </row>
    <row r="24" spans="1:56" s="3" customFormat="1" thickBot="1" x14ac:dyDescent="0.25">
      <c r="A24" s="120"/>
      <c r="B24" s="121"/>
      <c r="C24" s="130"/>
      <c r="D24" s="131"/>
      <c r="E24" s="131"/>
      <c r="F24" s="131"/>
      <c r="G24" s="131"/>
      <c r="H24" s="132"/>
      <c r="I24" s="125"/>
      <c r="J24" s="126"/>
      <c r="K24" s="127"/>
      <c r="L24" s="127"/>
      <c r="M24" s="127"/>
      <c r="N24" s="127"/>
      <c r="O24" s="127"/>
      <c r="P24" s="127"/>
      <c r="Q24" s="127"/>
      <c r="R24" s="127"/>
      <c r="S24" s="127"/>
      <c r="T24" s="127"/>
      <c r="U24" s="127"/>
      <c r="V24" s="127"/>
      <c r="W24" s="128"/>
      <c r="X24" s="128"/>
      <c r="Y24" s="128"/>
      <c r="Z24" s="128"/>
      <c r="AA24" s="128"/>
      <c r="AB24" s="128"/>
      <c r="AC24" s="128"/>
      <c r="AD24" s="128"/>
      <c r="AE24" s="128"/>
      <c r="AF24" s="128"/>
      <c r="AG24" s="128"/>
      <c r="AH24" s="128"/>
      <c r="AI24" s="128"/>
      <c r="AJ24" s="128"/>
      <c r="AK24" s="128"/>
      <c r="AL24" s="128"/>
      <c r="AM24" s="128"/>
      <c r="AN24" s="128"/>
      <c r="AO24" s="128"/>
      <c r="AP24" s="172" t="str">
        <f t="shared" si="6"/>
        <v/>
      </c>
      <c r="AQ24" s="173" t="str">
        <f t="shared" si="8"/>
        <v/>
      </c>
      <c r="AR24" s="4" t="str">
        <f>IFERROR(VLOOKUP(B24,Mapping!$A$2:$C$52,3,FALSE),"")</f>
        <v/>
      </c>
      <c r="AS24" s="3" t="str">
        <f t="shared" si="7"/>
        <v/>
      </c>
      <c r="AT24" s="4" t="str">
        <f t="shared" si="4"/>
        <v/>
      </c>
      <c r="AV24" s="9" t="str">
        <f>IF(AT24="","",SUMIF(Master!$AR$4:$AR$64,AR24,Master!$AT$4:$AT$64))</f>
        <v/>
      </c>
      <c r="AW24" s="158" t="str">
        <f>IF(COUNTIFS(Master!$AR$4:$AR$64,AR24,Master!$AS$4:$AS$64,"*I*")&gt;0,"I","")&amp;IF(COUNTIFS(Master!$AR$4:$AR$64,AR24,Master!$AS$4:$AS$64,"*D*")&gt;0,"D","")&amp;IF(COUNTIFS(Master!$AR$4:$AR$64,AR24,Master!$AS$4:$AS$64,"*A*")&gt;0,"A","")</f>
        <v/>
      </c>
      <c r="AX24" s="160" t="str">
        <f t="shared" si="9"/>
        <v/>
      </c>
      <c r="AY24" s="160" t="str">
        <f t="shared" si="9"/>
        <v/>
      </c>
      <c r="AZ24" s="160" t="str">
        <f t="shared" si="9"/>
        <v/>
      </c>
      <c r="BA24" s="160" t="str">
        <f t="shared" si="9"/>
        <v/>
      </c>
      <c r="BB24" s="160" t="str">
        <f t="shared" si="9"/>
        <v/>
      </c>
      <c r="BC24" s="160" t="str">
        <f t="shared" si="9"/>
        <v/>
      </c>
      <c r="BD24" s="160" t="str">
        <f t="shared" si="9"/>
        <v/>
      </c>
    </row>
    <row r="25" spans="1:56" s="3" customFormat="1" thickBot="1" x14ac:dyDescent="0.25">
      <c r="A25" s="120"/>
      <c r="B25" s="121"/>
      <c r="C25" s="130"/>
      <c r="D25" s="123"/>
      <c r="E25" s="123"/>
      <c r="F25" s="123"/>
      <c r="G25" s="123"/>
      <c r="H25" s="124"/>
      <c r="I25" s="125"/>
      <c r="J25" s="126"/>
      <c r="K25" s="127"/>
      <c r="L25" s="127"/>
      <c r="M25" s="127"/>
      <c r="N25" s="127"/>
      <c r="O25" s="127"/>
      <c r="P25" s="127"/>
      <c r="Q25" s="127"/>
      <c r="R25" s="127"/>
      <c r="S25" s="127"/>
      <c r="T25" s="127"/>
      <c r="U25" s="127"/>
      <c r="V25" s="127"/>
      <c r="W25" s="128"/>
      <c r="X25" s="128"/>
      <c r="Y25" s="128"/>
      <c r="Z25" s="128"/>
      <c r="AA25" s="128"/>
      <c r="AB25" s="128"/>
      <c r="AC25" s="128"/>
      <c r="AD25" s="128"/>
      <c r="AE25" s="128"/>
      <c r="AF25" s="128"/>
      <c r="AG25" s="128"/>
      <c r="AH25" s="128"/>
      <c r="AI25" s="128"/>
      <c r="AJ25" s="128"/>
      <c r="AK25" s="128"/>
      <c r="AL25" s="128"/>
      <c r="AM25" s="128"/>
      <c r="AN25" s="128"/>
      <c r="AO25" s="128"/>
      <c r="AP25" s="172" t="str">
        <f t="shared" si="6"/>
        <v/>
      </c>
      <c r="AQ25" s="173" t="str">
        <f t="shared" si="8"/>
        <v/>
      </c>
      <c r="AR25" s="4" t="str">
        <f>IFERROR(VLOOKUP(B25,Mapping!$A$2:$C$52,3,FALSE),"")</f>
        <v/>
      </c>
      <c r="AS25" s="3" t="str">
        <f t="shared" si="7"/>
        <v/>
      </c>
      <c r="AT25" s="4" t="str">
        <f t="shared" si="4"/>
        <v/>
      </c>
      <c r="AV25" s="9" t="str">
        <f>IF(AT25="","",SUMIF(Master!$AR$4:$AR$64,AR25,Master!$AT$4:$AT$64))</f>
        <v/>
      </c>
      <c r="AW25" s="158" t="str">
        <f>IF(COUNTIFS(Master!$AR$4:$AR$64,AR25,Master!$AS$4:$AS$64,"*I*")&gt;0,"I","")&amp;IF(COUNTIFS(Master!$AR$4:$AR$64,AR25,Master!$AS$4:$AS$64,"*D*")&gt;0,"D","")&amp;IF(COUNTIFS(Master!$AR$4:$AR$64,AR25,Master!$AS$4:$AS$64,"*A*")&gt;0,"A","")</f>
        <v/>
      </c>
      <c r="AX25" s="160" t="str">
        <f t="shared" si="9"/>
        <v/>
      </c>
      <c r="AY25" s="160" t="str">
        <f t="shared" si="9"/>
        <v/>
      </c>
      <c r="AZ25" s="160" t="str">
        <f t="shared" si="9"/>
        <v/>
      </c>
      <c r="BA25" s="160" t="str">
        <f t="shared" si="9"/>
        <v/>
      </c>
      <c r="BB25" s="160" t="str">
        <f t="shared" si="9"/>
        <v/>
      </c>
      <c r="BC25" s="160" t="str">
        <f t="shared" si="9"/>
        <v/>
      </c>
      <c r="BD25" s="160" t="str">
        <f t="shared" si="9"/>
        <v/>
      </c>
    </row>
    <row r="26" spans="1:56" s="3" customFormat="1" thickBot="1" x14ac:dyDescent="0.25">
      <c r="A26" s="120"/>
      <c r="B26" s="121"/>
      <c r="C26" s="130"/>
      <c r="D26" s="131"/>
      <c r="E26" s="131"/>
      <c r="F26" s="131"/>
      <c r="G26" s="131"/>
      <c r="H26" s="132"/>
      <c r="I26" s="125"/>
      <c r="J26" s="126"/>
      <c r="K26" s="127"/>
      <c r="L26" s="127"/>
      <c r="M26" s="127"/>
      <c r="N26" s="127"/>
      <c r="O26" s="127"/>
      <c r="P26" s="127"/>
      <c r="Q26" s="127"/>
      <c r="R26" s="127"/>
      <c r="S26" s="127"/>
      <c r="T26" s="127"/>
      <c r="U26" s="127"/>
      <c r="V26" s="127"/>
      <c r="W26" s="128"/>
      <c r="X26" s="128"/>
      <c r="Y26" s="128"/>
      <c r="Z26" s="128"/>
      <c r="AA26" s="128"/>
      <c r="AB26" s="128"/>
      <c r="AC26" s="128"/>
      <c r="AD26" s="128"/>
      <c r="AE26" s="128"/>
      <c r="AF26" s="128"/>
      <c r="AG26" s="128"/>
      <c r="AH26" s="128"/>
      <c r="AI26" s="128"/>
      <c r="AJ26" s="128"/>
      <c r="AK26" s="128"/>
      <c r="AL26" s="128"/>
      <c r="AM26" s="128"/>
      <c r="AN26" s="128"/>
      <c r="AO26" s="128"/>
      <c r="AP26" s="172" t="str">
        <f t="shared" si="6"/>
        <v/>
      </c>
      <c r="AQ26" s="173" t="str">
        <f t="shared" si="8"/>
        <v/>
      </c>
      <c r="AR26" s="4" t="str">
        <f>IFERROR(VLOOKUP(B26,Mapping!$A$2:$C$52,3,FALSE),"")</f>
        <v/>
      </c>
      <c r="AS26" s="3" t="str">
        <f t="shared" si="7"/>
        <v/>
      </c>
      <c r="AT26" s="4" t="str">
        <f t="shared" si="4"/>
        <v/>
      </c>
      <c r="AV26" s="9" t="str">
        <f>IF(AT26="","",SUMIF(Master!$AR$4:$AR$64,AR26,Master!$AT$4:$AT$64))</f>
        <v/>
      </c>
      <c r="AW26" s="158" t="str">
        <f>IF(COUNTIFS(Master!$AR$4:$AR$64,AR26,Master!$AS$4:$AS$64,"*I*")&gt;0,"I","")&amp;IF(COUNTIFS(Master!$AR$4:$AR$64,AR26,Master!$AS$4:$AS$64,"*D*")&gt;0,"D","")&amp;IF(COUNTIFS(Master!$AR$4:$AR$64,AR26,Master!$AS$4:$AS$64,"*A*")&gt;0,"A","")</f>
        <v/>
      </c>
      <c r="AX26" s="160" t="str">
        <f t="shared" si="9"/>
        <v/>
      </c>
      <c r="AY26" s="160" t="str">
        <f t="shared" si="9"/>
        <v/>
      </c>
      <c r="AZ26" s="160" t="str">
        <f t="shared" si="9"/>
        <v/>
      </c>
      <c r="BA26" s="160" t="str">
        <f t="shared" si="9"/>
        <v/>
      </c>
      <c r="BB26" s="160" t="str">
        <f t="shared" si="9"/>
        <v/>
      </c>
      <c r="BC26" s="160" t="str">
        <f t="shared" si="9"/>
        <v/>
      </c>
      <c r="BD26" s="160" t="str">
        <f t="shared" si="9"/>
        <v/>
      </c>
    </row>
    <row r="27" spans="1:56" s="3" customFormat="1" thickBot="1" x14ac:dyDescent="0.25">
      <c r="A27" s="120"/>
      <c r="B27" s="121"/>
      <c r="C27" s="130"/>
      <c r="D27" s="131"/>
      <c r="E27" s="131"/>
      <c r="F27" s="131"/>
      <c r="G27" s="131"/>
      <c r="H27" s="132"/>
      <c r="I27" s="125"/>
      <c r="J27" s="126"/>
      <c r="K27" s="127"/>
      <c r="L27" s="127"/>
      <c r="M27" s="127"/>
      <c r="N27" s="127"/>
      <c r="O27" s="127"/>
      <c r="P27" s="127"/>
      <c r="Q27" s="127"/>
      <c r="R27" s="127"/>
      <c r="S27" s="127"/>
      <c r="T27" s="127"/>
      <c r="U27" s="127"/>
      <c r="V27" s="127"/>
      <c r="W27" s="128"/>
      <c r="X27" s="128"/>
      <c r="Y27" s="128"/>
      <c r="Z27" s="128"/>
      <c r="AA27" s="128"/>
      <c r="AB27" s="128"/>
      <c r="AC27" s="128"/>
      <c r="AD27" s="128"/>
      <c r="AE27" s="128"/>
      <c r="AF27" s="128"/>
      <c r="AG27" s="128"/>
      <c r="AH27" s="128"/>
      <c r="AI27" s="128"/>
      <c r="AJ27" s="128"/>
      <c r="AK27" s="128"/>
      <c r="AL27" s="128"/>
      <c r="AM27" s="128"/>
      <c r="AN27" s="128"/>
      <c r="AO27" s="128"/>
      <c r="AP27" s="172" t="str">
        <f t="shared" si="6"/>
        <v/>
      </c>
      <c r="AQ27" s="173" t="str">
        <f t="shared" si="8"/>
        <v/>
      </c>
      <c r="AR27" s="4" t="str">
        <f>IFERROR(VLOOKUP(B27,Mapping!$A$2:$C$52,3,FALSE),"")</f>
        <v/>
      </c>
      <c r="AS27" s="3" t="str">
        <f t="shared" si="7"/>
        <v/>
      </c>
      <c r="AT27" s="4" t="str">
        <f t="shared" si="4"/>
        <v/>
      </c>
      <c r="AV27" s="9" t="str">
        <f>IF(AT27="","",SUMIF(Master!$AR$4:$AR$64,AR27,Master!$AT$4:$AT$64))</f>
        <v/>
      </c>
      <c r="AW27" s="158" t="str">
        <f>IF(COUNTIFS(Master!$AR$4:$AR$64,AR27,Master!$AS$4:$AS$64,"*I*")&gt;0,"I","")&amp;IF(COUNTIFS(Master!$AR$4:$AR$64,AR27,Master!$AS$4:$AS$64,"*D*")&gt;0,"D","")&amp;IF(COUNTIFS(Master!$AR$4:$AR$64,AR27,Master!$AS$4:$AS$64,"*A*")&gt;0,"A","")</f>
        <v/>
      </c>
      <c r="AX27" s="160" t="str">
        <f t="shared" si="9"/>
        <v/>
      </c>
      <c r="AY27" s="160" t="str">
        <f t="shared" si="9"/>
        <v/>
      </c>
      <c r="AZ27" s="160" t="str">
        <f t="shared" si="9"/>
        <v/>
      </c>
      <c r="BA27" s="160" t="str">
        <f t="shared" si="9"/>
        <v/>
      </c>
      <c r="BB27" s="160" t="str">
        <f t="shared" si="9"/>
        <v/>
      </c>
      <c r="BC27" s="160" t="str">
        <f t="shared" si="9"/>
        <v/>
      </c>
      <c r="BD27" s="160" t="str">
        <f t="shared" si="9"/>
        <v/>
      </c>
    </row>
    <row r="28" spans="1:56" s="3" customFormat="1" thickBot="1" x14ac:dyDescent="0.25">
      <c r="A28" s="120"/>
      <c r="B28" s="121"/>
      <c r="C28" s="130"/>
      <c r="D28" s="123"/>
      <c r="E28" s="123"/>
      <c r="F28" s="123"/>
      <c r="G28" s="123"/>
      <c r="H28" s="124"/>
      <c r="I28" s="125"/>
      <c r="J28" s="126"/>
      <c r="K28" s="127"/>
      <c r="L28" s="127"/>
      <c r="M28" s="127"/>
      <c r="N28" s="127"/>
      <c r="O28" s="127"/>
      <c r="P28" s="127"/>
      <c r="Q28" s="127"/>
      <c r="R28" s="127"/>
      <c r="S28" s="127"/>
      <c r="T28" s="127"/>
      <c r="U28" s="127"/>
      <c r="V28" s="127"/>
      <c r="W28" s="128"/>
      <c r="X28" s="128"/>
      <c r="Y28" s="128"/>
      <c r="Z28" s="128"/>
      <c r="AA28" s="128"/>
      <c r="AB28" s="128"/>
      <c r="AC28" s="128"/>
      <c r="AD28" s="128"/>
      <c r="AE28" s="128"/>
      <c r="AF28" s="128"/>
      <c r="AG28" s="128"/>
      <c r="AH28" s="128"/>
      <c r="AI28" s="128"/>
      <c r="AJ28" s="128"/>
      <c r="AK28" s="128"/>
      <c r="AL28" s="128"/>
      <c r="AM28" s="128"/>
      <c r="AN28" s="128"/>
      <c r="AO28" s="128"/>
      <c r="AP28" s="172" t="str">
        <f t="shared" si="6"/>
        <v/>
      </c>
      <c r="AQ28" s="173" t="str">
        <f t="shared" si="8"/>
        <v/>
      </c>
      <c r="AR28" s="4" t="str">
        <f>IFERROR(VLOOKUP(B28,Mapping!$A$2:$C$52,3,FALSE),"")</f>
        <v/>
      </c>
      <c r="AS28" s="3" t="str">
        <f t="shared" si="7"/>
        <v/>
      </c>
      <c r="AT28" s="4" t="str">
        <f t="shared" si="4"/>
        <v/>
      </c>
      <c r="AV28" s="9" t="str">
        <f>IF(AT28="","",SUMIF(Master!$AR$4:$AR$64,AR28,Master!$AT$4:$AT$64))</f>
        <v/>
      </c>
      <c r="AW28" s="158" t="str">
        <f>IF(COUNTIFS(Master!$AR$4:$AR$64,AR28,Master!$AS$4:$AS$64,"*I*")&gt;0,"I","")&amp;IF(COUNTIFS(Master!$AR$4:$AR$64,AR28,Master!$AS$4:$AS$64,"*D*")&gt;0,"D","")&amp;IF(COUNTIFS(Master!$AR$4:$AR$64,AR28,Master!$AS$4:$AS$64,"*A*")&gt;0,"A","")</f>
        <v/>
      </c>
      <c r="AX28" s="160" t="str">
        <f t="shared" si="9"/>
        <v/>
      </c>
      <c r="AY28" s="160" t="str">
        <f t="shared" si="9"/>
        <v/>
      </c>
      <c r="AZ28" s="160" t="str">
        <f t="shared" si="9"/>
        <v/>
      </c>
      <c r="BA28" s="160" t="str">
        <f t="shared" si="9"/>
        <v/>
      </c>
      <c r="BB28" s="160" t="str">
        <f t="shared" si="9"/>
        <v/>
      </c>
      <c r="BC28" s="160" t="str">
        <f t="shared" si="9"/>
        <v/>
      </c>
      <c r="BD28" s="160" t="str">
        <f t="shared" si="9"/>
        <v/>
      </c>
    </row>
    <row r="29" spans="1:56" s="3" customFormat="1" thickBot="1" x14ac:dyDescent="0.25">
      <c r="A29" s="120"/>
      <c r="B29" s="121"/>
      <c r="C29" s="130"/>
      <c r="D29" s="131"/>
      <c r="E29" s="131"/>
      <c r="F29" s="131"/>
      <c r="G29" s="131"/>
      <c r="H29" s="132"/>
      <c r="I29" s="125"/>
      <c r="J29" s="126"/>
      <c r="K29" s="127"/>
      <c r="L29" s="127"/>
      <c r="M29" s="127"/>
      <c r="N29" s="127"/>
      <c r="O29" s="127"/>
      <c r="P29" s="127"/>
      <c r="Q29" s="127"/>
      <c r="R29" s="127"/>
      <c r="S29" s="127"/>
      <c r="T29" s="127"/>
      <c r="U29" s="127"/>
      <c r="V29" s="127"/>
      <c r="W29" s="128"/>
      <c r="X29" s="128"/>
      <c r="Y29" s="128"/>
      <c r="Z29" s="128"/>
      <c r="AA29" s="128"/>
      <c r="AB29" s="128"/>
      <c r="AC29" s="128"/>
      <c r="AD29" s="128"/>
      <c r="AE29" s="128"/>
      <c r="AF29" s="128"/>
      <c r="AG29" s="128"/>
      <c r="AH29" s="128"/>
      <c r="AI29" s="128"/>
      <c r="AJ29" s="128"/>
      <c r="AK29" s="128"/>
      <c r="AL29" s="128"/>
      <c r="AM29" s="128"/>
      <c r="AN29" s="128"/>
      <c r="AO29" s="128"/>
      <c r="AP29" s="172" t="str">
        <f t="shared" si="6"/>
        <v/>
      </c>
      <c r="AQ29" s="173" t="str">
        <f t="shared" si="8"/>
        <v/>
      </c>
      <c r="AR29" s="4" t="str">
        <f>IFERROR(VLOOKUP(B29,Mapping!$A$2:$C$52,3,FALSE),"")</f>
        <v/>
      </c>
      <c r="AS29" s="3" t="str">
        <f t="shared" si="7"/>
        <v/>
      </c>
      <c r="AT29" s="4" t="str">
        <f t="shared" si="4"/>
        <v/>
      </c>
      <c r="AV29" s="9" t="str">
        <f>IF(AT29="","",SUMIF(Master!$AR$4:$AR$64,AR29,Master!$AT$4:$AT$64))</f>
        <v/>
      </c>
      <c r="AW29" s="158" t="str">
        <f>IF(COUNTIFS(Master!$AR$4:$AR$64,AR29,Master!$AS$4:$AS$64,"*I*")&gt;0,"I","")&amp;IF(COUNTIFS(Master!$AR$4:$AR$64,AR29,Master!$AS$4:$AS$64,"*D*")&gt;0,"D","")&amp;IF(COUNTIFS(Master!$AR$4:$AR$64,AR29,Master!$AS$4:$AS$64,"*A*")&gt;0,"A","")</f>
        <v/>
      </c>
      <c r="AX29" s="160" t="str">
        <f t="shared" si="9"/>
        <v/>
      </c>
      <c r="AY29" s="160" t="str">
        <f t="shared" si="9"/>
        <v/>
      </c>
      <c r="AZ29" s="160" t="str">
        <f t="shared" si="9"/>
        <v/>
      </c>
      <c r="BA29" s="160" t="str">
        <f t="shared" si="9"/>
        <v/>
      </c>
      <c r="BB29" s="160" t="str">
        <f t="shared" si="9"/>
        <v/>
      </c>
      <c r="BC29" s="160" t="str">
        <f t="shared" si="9"/>
        <v/>
      </c>
      <c r="BD29" s="160" t="str">
        <f t="shared" si="9"/>
        <v/>
      </c>
    </row>
    <row r="30" spans="1:56" s="3" customFormat="1" thickBot="1" x14ac:dyDescent="0.25">
      <c r="A30" s="120"/>
      <c r="B30" s="121"/>
      <c r="C30" s="130"/>
      <c r="D30" s="123"/>
      <c r="E30" s="123"/>
      <c r="F30" s="123"/>
      <c r="G30" s="123"/>
      <c r="H30" s="124"/>
      <c r="I30" s="125"/>
      <c r="J30" s="126"/>
      <c r="K30" s="127"/>
      <c r="L30" s="127"/>
      <c r="M30" s="127"/>
      <c r="N30" s="127"/>
      <c r="O30" s="127"/>
      <c r="P30" s="127"/>
      <c r="Q30" s="127"/>
      <c r="R30" s="127"/>
      <c r="S30" s="127"/>
      <c r="T30" s="127"/>
      <c r="U30" s="127"/>
      <c r="V30" s="127"/>
      <c r="W30" s="128"/>
      <c r="X30" s="128"/>
      <c r="Y30" s="128"/>
      <c r="Z30" s="128"/>
      <c r="AA30" s="128"/>
      <c r="AB30" s="128"/>
      <c r="AC30" s="128"/>
      <c r="AD30" s="128"/>
      <c r="AE30" s="128"/>
      <c r="AF30" s="128"/>
      <c r="AG30" s="128"/>
      <c r="AH30" s="128"/>
      <c r="AI30" s="128"/>
      <c r="AJ30" s="128"/>
      <c r="AK30" s="128"/>
      <c r="AL30" s="128"/>
      <c r="AM30" s="128"/>
      <c r="AN30" s="128"/>
      <c r="AO30" s="128"/>
      <c r="AP30" s="172" t="str">
        <f t="shared" si="6"/>
        <v/>
      </c>
      <c r="AQ30" s="173" t="str">
        <f t="shared" si="8"/>
        <v/>
      </c>
      <c r="AR30" s="4" t="str">
        <f>IFERROR(VLOOKUP(B30,Mapping!$A$2:$C$52,3,FALSE),"")</f>
        <v/>
      </c>
      <c r="AS30" s="3" t="str">
        <f t="shared" si="7"/>
        <v/>
      </c>
      <c r="AT30" s="4" t="str">
        <f t="shared" si="4"/>
        <v/>
      </c>
      <c r="AV30" s="9" t="str">
        <f>IF(AT30="","",SUMIF(Master!$AR$4:$AR$64,AR30,Master!$AT$4:$AT$64))</f>
        <v/>
      </c>
      <c r="AW30" s="158" t="str">
        <f>IF(COUNTIFS(Master!$AR$4:$AR$64,AR30,Master!$AS$4:$AS$64,"*I*")&gt;0,"I","")&amp;IF(COUNTIFS(Master!$AR$4:$AR$64,AR30,Master!$AS$4:$AS$64,"*D*")&gt;0,"D","")&amp;IF(COUNTIFS(Master!$AR$4:$AR$64,AR30,Master!$AS$4:$AS$64,"*A*")&gt;0,"A","")</f>
        <v/>
      </c>
      <c r="AX30" s="160" t="str">
        <f t="shared" si="9"/>
        <v/>
      </c>
      <c r="AY30" s="160" t="str">
        <f t="shared" si="9"/>
        <v/>
      </c>
      <c r="AZ30" s="160" t="str">
        <f t="shared" si="9"/>
        <v/>
      </c>
      <c r="BA30" s="160" t="str">
        <f t="shared" si="9"/>
        <v/>
      </c>
      <c r="BB30" s="160" t="str">
        <f t="shared" si="9"/>
        <v/>
      </c>
      <c r="BC30" s="160" t="str">
        <f t="shared" si="9"/>
        <v/>
      </c>
      <c r="BD30" s="160" t="str">
        <f t="shared" si="9"/>
        <v/>
      </c>
    </row>
    <row r="31" spans="1:56" s="3" customFormat="1" thickBot="1" x14ac:dyDescent="0.25">
      <c r="A31" s="120"/>
      <c r="B31" s="121"/>
      <c r="C31" s="130"/>
      <c r="D31" s="131"/>
      <c r="E31" s="131"/>
      <c r="F31" s="131"/>
      <c r="G31" s="131"/>
      <c r="H31" s="132"/>
      <c r="I31" s="125"/>
      <c r="J31" s="126"/>
      <c r="K31" s="127"/>
      <c r="L31" s="127"/>
      <c r="M31" s="127"/>
      <c r="N31" s="127"/>
      <c r="O31" s="127"/>
      <c r="P31" s="127"/>
      <c r="Q31" s="127"/>
      <c r="R31" s="127"/>
      <c r="S31" s="127"/>
      <c r="T31" s="127"/>
      <c r="U31" s="127"/>
      <c r="V31" s="127"/>
      <c r="W31" s="128"/>
      <c r="X31" s="128"/>
      <c r="Y31" s="128"/>
      <c r="Z31" s="128"/>
      <c r="AA31" s="128"/>
      <c r="AB31" s="128"/>
      <c r="AC31" s="128"/>
      <c r="AD31" s="128"/>
      <c r="AE31" s="128"/>
      <c r="AF31" s="128"/>
      <c r="AG31" s="128"/>
      <c r="AH31" s="128"/>
      <c r="AI31" s="128"/>
      <c r="AJ31" s="128"/>
      <c r="AK31" s="128"/>
      <c r="AL31" s="128"/>
      <c r="AM31" s="128"/>
      <c r="AN31" s="128"/>
      <c r="AO31" s="128"/>
      <c r="AP31" s="172" t="str">
        <f t="shared" si="6"/>
        <v/>
      </c>
      <c r="AQ31" s="173" t="str">
        <f t="shared" si="8"/>
        <v/>
      </c>
      <c r="AR31" s="4" t="str">
        <f>IFERROR(VLOOKUP(B31,Mapping!$A$2:$C$52,3,FALSE),"")</f>
        <v/>
      </c>
      <c r="AS31" s="3" t="str">
        <f t="shared" si="7"/>
        <v/>
      </c>
      <c r="AT31" s="4" t="str">
        <f t="shared" si="4"/>
        <v/>
      </c>
      <c r="AV31" s="9" t="str">
        <f>IF(AT31="","",SUMIF(Master!$AR$4:$AR$64,AR31,Master!$AT$4:$AT$64))</f>
        <v/>
      </c>
      <c r="AW31" s="158" t="str">
        <f>IF(COUNTIFS(Master!$AR$4:$AR$64,AR31,Master!$AS$4:$AS$64,"*I*")&gt;0,"I","")&amp;IF(COUNTIFS(Master!$AR$4:$AR$64,AR31,Master!$AS$4:$AS$64,"*D*")&gt;0,"D","")&amp;IF(COUNTIFS(Master!$AR$4:$AR$64,AR31,Master!$AS$4:$AS$64,"*A*")&gt;0,"A","")</f>
        <v/>
      </c>
      <c r="AX31" s="160" t="str">
        <f t="shared" si="9"/>
        <v/>
      </c>
      <c r="AY31" s="160" t="str">
        <f t="shared" si="9"/>
        <v/>
      </c>
      <c r="AZ31" s="160" t="str">
        <f t="shared" si="9"/>
        <v/>
      </c>
      <c r="BA31" s="160" t="str">
        <f t="shared" si="9"/>
        <v/>
      </c>
      <c r="BB31" s="160" t="str">
        <f t="shared" si="9"/>
        <v/>
      </c>
      <c r="BC31" s="160" t="str">
        <f t="shared" si="9"/>
        <v/>
      </c>
      <c r="BD31" s="160" t="str">
        <f t="shared" si="9"/>
        <v/>
      </c>
    </row>
    <row r="32" spans="1:56" s="3" customFormat="1" thickBot="1" x14ac:dyDescent="0.25">
      <c r="A32" s="120"/>
      <c r="B32" s="121"/>
      <c r="C32" s="130"/>
      <c r="D32" s="131"/>
      <c r="E32" s="131"/>
      <c r="F32" s="131"/>
      <c r="G32" s="131"/>
      <c r="H32" s="132"/>
      <c r="I32" s="125"/>
      <c r="J32" s="126"/>
      <c r="K32" s="127"/>
      <c r="L32" s="127"/>
      <c r="M32" s="127"/>
      <c r="N32" s="127"/>
      <c r="O32" s="127"/>
      <c r="P32" s="127"/>
      <c r="Q32" s="127"/>
      <c r="R32" s="127"/>
      <c r="S32" s="127"/>
      <c r="T32" s="127"/>
      <c r="U32" s="127"/>
      <c r="V32" s="127"/>
      <c r="W32" s="128"/>
      <c r="X32" s="128"/>
      <c r="Y32" s="128"/>
      <c r="Z32" s="128"/>
      <c r="AA32" s="128"/>
      <c r="AB32" s="128"/>
      <c r="AC32" s="128"/>
      <c r="AD32" s="128"/>
      <c r="AE32" s="128"/>
      <c r="AF32" s="128"/>
      <c r="AG32" s="128"/>
      <c r="AH32" s="128"/>
      <c r="AI32" s="128"/>
      <c r="AJ32" s="128"/>
      <c r="AK32" s="128"/>
      <c r="AL32" s="128"/>
      <c r="AM32" s="128"/>
      <c r="AN32" s="128"/>
      <c r="AO32" s="128"/>
      <c r="AP32" s="172" t="str">
        <f t="shared" si="6"/>
        <v/>
      </c>
      <c r="AQ32" s="173" t="str">
        <f t="shared" si="8"/>
        <v/>
      </c>
      <c r="AR32" s="4" t="str">
        <f>IFERROR(VLOOKUP(B32,Mapping!$A$2:$C$52,3,FALSE),"")</f>
        <v/>
      </c>
      <c r="AS32" s="3" t="str">
        <f t="shared" si="7"/>
        <v/>
      </c>
      <c r="AT32" s="4" t="str">
        <f t="shared" si="4"/>
        <v/>
      </c>
      <c r="AV32" s="9" t="str">
        <f>IF(AT32="","",SUMIF(Master!$AR$4:$AR$64,AR32,Master!$AT$4:$AT$64))</f>
        <v/>
      </c>
      <c r="AW32" s="158" t="str">
        <f>IF(COUNTIFS(Master!$AR$4:$AR$64,AR32,Master!$AS$4:$AS$64,"*I*")&gt;0,"I","")&amp;IF(COUNTIFS(Master!$AR$4:$AR$64,AR32,Master!$AS$4:$AS$64,"*D*")&gt;0,"D","")&amp;IF(COUNTIFS(Master!$AR$4:$AR$64,AR32,Master!$AS$4:$AS$64,"*A*")&gt;0,"A","")</f>
        <v/>
      </c>
      <c r="AX32" s="160" t="str">
        <f t="shared" si="9"/>
        <v/>
      </c>
      <c r="AY32" s="160" t="str">
        <f t="shared" si="9"/>
        <v/>
      </c>
      <c r="AZ32" s="160" t="str">
        <f t="shared" si="9"/>
        <v/>
      </c>
      <c r="BA32" s="160" t="str">
        <f t="shared" si="9"/>
        <v/>
      </c>
      <c r="BB32" s="160" t="str">
        <f t="shared" si="9"/>
        <v/>
      </c>
      <c r="BC32" s="160" t="str">
        <f t="shared" si="9"/>
        <v/>
      </c>
      <c r="BD32" s="160" t="str">
        <f t="shared" si="9"/>
        <v/>
      </c>
    </row>
    <row r="33" spans="1:56" s="3" customFormat="1" thickBot="1" x14ac:dyDescent="0.25">
      <c r="A33" s="120"/>
      <c r="B33" s="121"/>
      <c r="C33" s="130"/>
      <c r="D33" s="123"/>
      <c r="E33" s="123"/>
      <c r="F33" s="123"/>
      <c r="G33" s="123"/>
      <c r="H33" s="124"/>
      <c r="I33" s="125"/>
      <c r="J33" s="126"/>
      <c r="K33" s="127"/>
      <c r="L33" s="127"/>
      <c r="M33" s="127"/>
      <c r="N33" s="127"/>
      <c r="O33" s="127"/>
      <c r="P33" s="127"/>
      <c r="Q33" s="127"/>
      <c r="R33" s="127"/>
      <c r="S33" s="127"/>
      <c r="T33" s="127"/>
      <c r="U33" s="127"/>
      <c r="V33" s="127"/>
      <c r="W33" s="128"/>
      <c r="X33" s="128"/>
      <c r="Y33" s="128"/>
      <c r="Z33" s="128"/>
      <c r="AA33" s="128"/>
      <c r="AB33" s="128"/>
      <c r="AC33" s="128"/>
      <c r="AD33" s="128"/>
      <c r="AE33" s="128"/>
      <c r="AF33" s="128"/>
      <c r="AG33" s="128"/>
      <c r="AH33" s="128"/>
      <c r="AI33" s="128"/>
      <c r="AJ33" s="128"/>
      <c r="AK33" s="128"/>
      <c r="AL33" s="128"/>
      <c r="AM33" s="128"/>
      <c r="AN33" s="128"/>
      <c r="AO33" s="128"/>
      <c r="AP33" s="172" t="str">
        <f t="shared" si="6"/>
        <v/>
      </c>
      <c r="AQ33" s="173" t="str">
        <f t="shared" si="8"/>
        <v/>
      </c>
      <c r="AR33" s="4" t="str">
        <f>IFERROR(VLOOKUP(B33,Mapping!$A$2:$C$52,3,FALSE),"")</f>
        <v/>
      </c>
      <c r="AS33" s="3" t="str">
        <f t="shared" si="7"/>
        <v/>
      </c>
      <c r="AT33" s="4" t="str">
        <f t="shared" si="4"/>
        <v/>
      </c>
      <c r="AV33" s="9" t="str">
        <f>IF(AT33="","",SUMIF(Master!$AR$4:$AR$64,AR33,Master!$AT$4:$AT$64))</f>
        <v/>
      </c>
      <c r="AW33" s="158" t="str">
        <f>IF(COUNTIFS(Master!$AR$4:$AR$64,AR33,Master!$AS$4:$AS$64,"*I*")&gt;0,"I","")&amp;IF(COUNTIFS(Master!$AR$4:$AR$64,AR33,Master!$AS$4:$AS$64,"*D*")&gt;0,"D","")&amp;IF(COUNTIFS(Master!$AR$4:$AR$64,AR33,Master!$AS$4:$AS$64,"*A*")&gt;0,"A","")</f>
        <v/>
      </c>
      <c r="AX33" s="160" t="str">
        <f t="shared" si="9"/>
        <v/>
      </c>
      <c r="AY33" s="160" t="str">
        <f t="shared" si="9"/>
        <v/>
      </c>
      <c r="AZ33" s="160" t="str">
        <f t="shared" si="9"/>
        <v/>
      </c>
      <c r="BA33" s="160" t="str">
        <f t="shared" si="9"/>
        <v/>
      </c>
      <c r="BB33" s="160" t="str">
        <f t="shared" si="9"/>
        <v/>
      </c>
      <c r="BC33" s="160" t="str">
        <f t="shared" si="9"/>
        <v/>
      </c>
      <c r="BD33" s="160" t="str">
        <f t="shared" si="9"/>
        <v/>
      </c>
    </row>
    <row r="34" spans="1:56" s="3" customFormat="1" thickBot="1" x14ac:dyDescent="0.25">
      <c r="A34" s="120"/>
      <c r="B34" s="121"/>
      <c r="C34" s="130"/>
      <c r="D34" s="131"/>
      <c r="E34" s="131"/>
      <c r="F34" s="131"/>
      <c r="G34" s="131"/>
      <c r="H34" s="132"/>
      <c r="I34" s="125"/>
      <c r="J34" s="126"/>
      <c r="K34" s="127"/>
      <c r="L34" s="127"/>
      <c r="M34" s="127"/>
      <c r="N34" s="127"/>
      <c r="O34" s="127"/>
      <c r="P34" s="127"/>
      <c r="Q34" s="127"/>
      <c r="R34" s="127"/>
      <c r="S34" s="127"/>
      <c r="T34" s="127"/>
      <c r="U34" s="127"/>
      <c r="V34" s="127"/>
      <c r="W34" s="128"/>
      <c r="X34" s="128"/>
      <c r="Y34" s="128"/>
      <c r="Z34" s="128"/>
      <c r="AA34" s="128"/>
      <c r="AB34" s="128"/>
      <c r="AC34" s="128"/>
      <c r="AD34" s="128"/>
      <c r="AE34" s="128"/>
      <c r="AF34" s="128"/>
      <c r="AG34" s="128"/>
      <c r="AH34" s="128"/>
      <c r="AI34" s="128"/>
      <c r="AJ34" s="128"/>
      <c r="AK34" s="128"/>
      <c r="AL34" s="128"/>
      <c r="AM34" s="128"/>
      <c r="AN34" s="128"/>
      <c r="AO34" s="128"/>
      <c r="AP34" s="172" t="str">
        <f t="shared" si="6"/>
        <v/>
      </c>
      <c r="AQ34" s="173" t="str">
        <f t="shared" si="8"/>
        <v/>
      </c>
      <c r="AR34" s="4" t="str">
        <f>IFERROR(VLOOKUP(B34,Mapping!$A$2:$C$52,3,FALSE),"")</f>
        <v/>
      </c>
      <c r="AS34" s="3" t="str">
        <f t="shared" si="7"/>
        <v/>
      </c>
      <c r="AT34" s="4" t="str">
        <f t="shared" si="4"/>
        <v/>
      </c>
      <c r="AV34" s="9" t="str">
        <f>IF(AT34="","",SUMIF(Master!$AR$4:$AR$64,AR34,Master!$AT$4:$AT$64))</f>
        <v/>
      </c>
      <c r="AW34" s="158" t="str">
        <f>IF(COUNTIFS(Master!$AR$4:$AR$64,AR34,Master!$AS$4:$AS$64,"*I*")&gt;0,"I","")&amp;IF(COUNTIFS(Master!$AR$4:$AR$64,AR34,Master!$AS$4:$AS$64,"*D*")&gt;0,"D","")&amp;IF(COUNTIFS(Master!$AR$4:$AR$64,AR34,Master!$AS$4:$AS$64,"*A*")&gt;0,"A","")</f>
        <v/>
      </c>
      <c r="AX34" s="160" t="str">
        <f t="shared" si="9"/>
        <v/>
      </c>
      <c r="AY34" s="160" t="str">
        <f t="shared" si="9"/>
        <v/>
      </c>
      <c r="AZ34" s="160" t="str">
        <f t="shared" si="9"/>
        <v/>
      </c>
      <c r="BA34" s="160" t="str">
        <f t="shared" si="9"/>
        <v/>
      </c>
      <c r="BB34" s="160" t="str">
        <f t="shared" si="9"/>
        <v/>
      </c>
      <c r="BC34" s="160" t="str">
        <f t="shared" si="9"/>
        <v/>
      </c>
      <c r="BD34" s="160" t="str">
        <f t="shared" si="9"/>
        <v/>
      </c>
    </row>
    <row r="35" spans="1:56" s="3" customFormat="1" thickBot="1" x14ac:dyDescent="0.25">
      <c r="A35" s="120"/>
      <c r="B35" s="121"/>
      <c r="C35" s="130"/>
      <c r="D35" s="131"/>
      <c r="E35" s="131"/>
      <c r="F35" s="131"/>
      <c r="G35" s="131"/>
      <c r="H35" s="132"/>
      <c r="I35" s="125"/>
      <c r="J35" s="126"/>
      <c r="K35" s="127"/>
      <c r="L35" s="127"/>
      <c r="M35" s="127"/>
      <c r="N35" s="127"/>
      <c r="O35" s="127"/>
      <c r="P35" s="127"/>
      <c r="Q35" s="127"/>
      <c r="R35" s="127"/>
      <c r="S35" s="127"/>
      <c r="T35" s="127"/>
      <c r="U35" s="127"/>
      <c r="V35" s="127"/>
      <c r="W35" s="128"/>
      <c r="X35" s="128"/>
      <c r="Y35" s="128"/>
      <c r="Z35" s="128"/>
      <c r="AA35" s="128"/>
      <c r="AB35" s="128"/>
      <c r="AC35" s="128"/>
      <c r="AD35" s="128"/>
      <c r="AE35" s="128"/>
      <c r="AF35" s="128"/>
      <c r="AG35" s="128"/>
      <c r="AH35" s="128"/>
      <c r="AI35" s="128"/>
      <c r="AJ35" s="128"/>
      <c r="AK35" s="128"/>
      <c r="AL35" s="128"/>
      <c r="AM35" s="128"/>
      <c r="AN35" s="128"/>
      <c r="AO35" s="128"/>
      <c r="AP35" s="172" t="str">
        <f t="shared" si="6"/>
        <v/>
      </c>
      <c r="AQ35" s="173" t="str">
        <f t="shared" si="8"/>
        <v/>
      </c>
      <c r="AR35" s="4" t="str">
        <f>IFERROR(VLOOKUP(B35,Mapping!$A$2:$C$52,3,FALSE),"")</f>
        <v/>
      </c>
      <c r="AS35" s="3" t="str">
        <f t="shared" si="7"/>
        <v/>
      </c>
      <c r="AT35" s="4" t="str">
        <f t="shared" si="4"/>
        <v/>
      </c>
      <c r="AV35" s="9" t="str">
        <f>IF(AT35="","",SUMIF(Master!$AR$4:$AR$64,AR35,Master!$AT$4:$AT$64))</f>
        <v/>
      </c>
      <c r="AW35" s="158" t="str">
        <f>IF(COUNTIFS(Master!$AR$4:$AR$64,AR35,Master!$AS$4:$AS$64,"*I*")&gt;0,"I","")&amp;IF(COUNTIFS(Master!$AR$4:$AR$64,AR35,Master!$AS$4:$AS$64,"*D*")&gt;0,"D","")&amp;IF(COUNTIFS(Master!$AR$4:$AR$64,AR35,Master!$AS$4:$AS$64,"*A*")&gt;0,"A","")</f>
        <v/>
      </c>
      <c r="AX35" s="160" t="str">
        <f t="shared" si="9"/>
        <v/>
      </c>
      <c r="AY35" s="160" t="str">
        <f t="shared" si="9"/>
        <v/>
      </c>
      <c r="AZ35" s="160" t="str">
        <f t="shared" si="9"/>
        <v/>
      </c>
      <c r="BA35" s="160" t="str">
        <f t="shared" si="9"/>
        <v/>
      </c>
      <c r="BB35" s="160" t="str">
        <f t="shared" si="9"/>
        <v/>
      </c>
      <c r="BC35" s="160" t="str">
        <f t="shared" si="9"/>
        <v/>
      </c>
      <c r="BD35" s="160" t="str">
        <f t="shared" si="9"/>
        <v/>
      </c>
    </row>
    <row r="36" spans="1:56" s="3" customFormat="1" thickBot="1" x14ac:dyDescent="0.25">
      <c r="A36" s="120"/>
      <c r="B36" s="121"/>
      <c r="C36" s="130"/>
      <c r="D36" s="131"/>
      <c r="E36" s="131"/>
      <c r="F36" s="131"/>
      <c r="G36" s="131"/>
      <c r="H36" s="132"/>
      <c r="I36" s="125"/>
      <c r="J36" s="126"/>
      <c r="K36" s="127"/>
      <c r="L36" s="127"/>
      <c r="M36" s="127"/>
      <c r="N36" s="127"/>
      <c r="O36" s="127"/>
      <c r="P36" s="127"/>
      <c r="Q36" s="127"/>
      <c r="R36" s="127"/>
      <c r="S36" s="127"/>
      <c r="T36" s="127"/>
      <c r="U36" s="127"/>
      <c r="V36" s="127"/>
      <c r="W36" s="128"/>
      <c r="X36" s="128"/>
      <c r="Y36" s="128"/>
      <c r="Z36" s="128"/>
      <c r="AA36" s="128"/>
      <c r="AB36" s="128"/>
      <c r="AC36" s="128"/>
      <c r="AD36" s="128"/>
      <c r="AE36" s="128"/>
      <c r="AF36" s="128"/>
      <c r="AG36" s="128"/>
      <c r="AH36" s="128"/>
      <c r="AI36" s="128"/>
      <c r="AJ36" s="128"/>
      <c r="AK36" s="128"/>
      <c r="AL36" s="128"/>
      <c r="AM36" s="128"/>
      <c r="AN36" s="128"/>
      <c r="AO36" s="128"/>
      <c r="AP36" s="172" t="str">
        <f t="shared" si="6"/>
        <v/>
      </c>
      <c r="AQ36" s="173" t="str">
        <f t="shared" si="8"/>
        <v/>
      </c>
      <c r="AR36" s="4" t="str">
        <f>IFERROR(VLOOKUP(B36,Mapping!$A$2:$C$52,3,FALSE),"")</f>
        <v/>
      </c>
      <c r="AS36" s="3" t="str">
        <f t="shared" si="7"/>
        <v/>
      </c>
      <c r="AT36" s="4" t="str">
        <f t="shared" si="4"/>
        <v/>
      </c>
      <c r="AV36" s="9" t="str">
        <f>IF(AT36="","",SUMIF(Master!$AR$4:$AR$64,AR36,Master!$AT$4:$AT$64))</f>
        <v/>
      </c>
      <c r="AW36" s="158" t="str">
        <f>IF(COUNTIFS(Master!$AR$4:$AR$64,AR36,Master!$AS$4:$AS$64,"*I*")&gt;0,"I","")&amp;IF(COUNTIFS(Master!$AR$4:$AR$64,AR36,Master!$AS$4:$AS$64,"*D*")&gt;0,"D","")&amp;IF(COUNTIFS(Master!$AR$4:$AR$64,AR36,Master!$AS$4:$AS$64,"*A*")&gt;0,"A","")</f>
        <v/>
      </c>
      <c r="AX36" s="160" t="str">
        <f t="shared" si="9"/>
        <v/>
      </c>
      <c r="AY36" s="160" t="str">
        <f t="shared" si="9"/>
        <v/>
      </c>
      <c r="AZ36" s="160" t="str">
        <f t="shared" si="9"/>
        <v/>
      </c>
      <c r="BA36" s="160" t="str">
        <f t="shared" si="9"/>
        <v/>
      </c>
      <c r="BB36" s="160" t="str">
        <f t="shared" si="9"/>
        <v/>
      </c>
      <c r="BC36" s="160" t="str">
        <f t="shared" si="9"/>
        <v/>
      </c>
      <c r="BD36" s="160" t="str">
        <f t="shared" si="9"/>
        <v/>
      </c>
    </row>
    <row r="37" spans="1:56" s="3" customFormat="1" thickBot="1" x14ac:dyDescent="0.25">
      <c r="A37" s="120"/>
      <c r="B37" s="121"/>
      <c r="C37" s="130"/>
      <c r="D37" s="131"/>
      <c r="E37" s="131"/>
      <c r="F37" s="131"/>
      <c r="G37" s="131"/>
      <c r="H37" s="132"/>
      <c r="I37" s="125"/>
      <c r="J37" s="126"/>
      <c r="K37" s="127"/>
      <c r="L37" s="127"/>
      <c r="M37" s="127"/>
      <c r="N37" s="127"/>
      <c r="O37" s="127"/>
      <c r="P37" s="127"/>
      <c r="Q37" s="127"/>
      <c r="R37" s="127"/>
      <c r="S37" s="127"/>
      <c r="T37" s="127"/>
      <c r="U37" s="127"/>
      <c r="V37" s="127"/>
      <c r="W37" s="128"/>
      <c r="X37" s="128"/>
      <c r="Y37" s="128"/>
      <c r="Z37" s="128"/>
      <c r="AA37" s="128"/>
      <c r="AB37" s="128"/>
      <c r="AC37" s="128"/>
      <c r="AD37" s="128"/>
      <c r="AE37" s="128"/>
      <c r="AF37" s="128"/>
      <c r="AG37" s="128"/>
      <c r="AH37" s="128"/>
      <c r="AI37" s="128"/>
      <c r="AJ37" s="128"/>
      <c r="AK37" s="128"/>
      <c r="AL37" s="128"/>
      <c r="AM37" s="128"/>
      <c r="AN37" s="128"/>
      <c r="AO37" s="128"/>
      <c r="AP37" s="172" t="str">
        <f t="shared" si="6"/>
        <v/>
      </c>
      <c r="AQ37" s="173" t="str">
        <f t="shared" si="8"/>
        <v/>
      </c>
      <c r="AR37" s="4" t="str">
        <f>IFERROR(VLOOKUP(B37,Mapping!$A$2:$C$52,3,FALSE),"")</f>
        <v/>
      </c>
      <c r="AS37" s="3" t="str">
        <f t="shared" si="7"/>
        <v/>
      </c>
      <c r="AT37" s="4" t="str">
        <f t="shared" si="4"/>
        <v/>
      </c>
      <c r="AV37" s="9" t="str">
        <f>IF(AT37="","",SUMIF(Master!$AR$4:$AR$64,AR37,Master!$AT$4:$AT$64))</f>
        <v/>
      </c>
      <c r="AW37" s="158" t="str">
        <f>IF(COUNTIFS(Master!$AR$4:$AR$64,AR37,Master!$AS$4:$AS$64,"*I*")&gt;0,"I","")&amp;IF(COUNTIFS(Master!$AR$4:$AR$64,AR37,Master!$AS$4:$AS$64,"*D*")&gt;0,"D","")&amp;IF(COUNTIFS(Master!$AR$4:$AR$64,AR37,Master!$AS$4:$AS$64,"*A*")&gt;0,"A","")</f>
        <v/>
      </c>
      <c r="AX37" s="160" t="str">
        <f t="shared" ref="AX37:BD52" si="10">IF(COUNTIF($J37:$AO37,AX$3)=0,"",COUNTIF($J37:$AO37,AX$3))</f>
        <v/>
      </c>
      <c r="AY37" s="160" t="str">
        <f t="shared" si="10"/>
        <v/>
      </c>
      <c r="AZ37" s="160" t="str">
        <f t="shared" si="10"/>
        <v/>
      </c>
      <c r="BA37" s="160" t="str">
        <f t="shared" si="10"/>
        <v/>
      </c>
      <c r="BB37" s="160" t="str">
        <f t="shared" si="10"/>
        <v/>
      </c>
      <c r="BC37" s="160" t="str">
        <f t="shared" si="10"/>
        <v/>
      </c>
      <c r="BD37" s="160" t="str">
        <f t="shared" si="10"/>
        <v/>
      </c>
    </row>
    <row r="38" spans="1:56" s="3" customFormat="1" thickBot="1" x14ac:dyDescent="0.25">
      <c r="A38" s="120"/>
      <c r="B38" s="121"/>
      <c r="C38" s="130"/>
      <c r="D38" s="131"/>
      <c r="E38" s="131"/>
      <c r="F38" s="131"/>
      <c r="G38" s="131"/>
      <c r="H38" s="132"/>
      <c r="I38" s="125"/>
      <c r="J38" s="126"/>
      <c r="K38" s="127"/>
      <c r="L38" s="127"/>
      <c r="M38" s="127"/>
      <c r="N38" s="127"/>
      <c r="O38" s="127"/>
      <c r="P38" s="127"/>
      <c r="Q38" s="127"/>
      <c r="R38" s="127"/>
      <c r="S38" s="127"/>
      <c r="T38" s="127"/>
      <c r="U38" s="127"/>
      <c r="V38" s="127"/>
      <c r="W38" s="128"/>
      <c r="X38" s="128"/>
      <c r="Y38" s="128"/>
      <c r="Z38" s="128"/>
      <c r="AA38" s="128"/>
      <c r="AB38" s="128"/>
      <c r="AC38" s="128"/>
      <c r="AD38" s="128"/>
      <c r="AE38" s="128"/>
      <c r="AF38" s="128"/>
      <c r="AG38" s="128"/>
      <c r="AH38" s="128"/>
      <c r="AI38" s="128"/>
      <c r="AJ38" s="128"/>
      <c r="AK38" s="128"/>
      <c r="AL38" s="128"/>
      <c r="AM38" s="128"/>
      <c r="AN38" s="128"/>
      <c r="AO38" s="128"/>
      <c r="AP38" s="172" t="str">
        <f t="shared" si="6"/>
        <v/>
      </c>
      <c r="AQ38" s="173" t="str">
        <f t="shared" si="8"/>
        <v/>
      </c>
      <c r="AR38" s="4" t="str">
        <f>IFERROR(VLOOKUP(B38,Mapping!$A$2:$C$52,3,FALSE),"")</f>
        <v/>
      </c>
      <c r="AS38" s="3" t="str">
        <f t="shared" si="7"/>
        <v/>
      </c>
      <c r="AT38" s="4" t="str">
        <f t="shared" si="4"/>
        <v/>
      </c>
      <c r="AV38" s="9" t="str">
        <f>IF(AT38="","",SUMIF(Master!$AR$4:$AR$64,AR38,Master!$AT$4:$AT$64))</f>
        <v/>
      </c>
      <c r="AW38" s="158" t="str">
        <f>IF(COUNTIFS(Master!$AR$4:$AR$64,AR38,Master!$AS$4:$AS$64,"*I*")&gt;0,"I","")&amp;IF(COUNTIFS(Master!$AR$4:$AR$64,AR38,Master!$AS$4:$AS$64,"*D*")&gt;0,"D","")&amp;IF(COUNTIFS(Master!$AR$4:$AR$64,AR38,Master!$AS$4:$AS$64,"*A*")&gt;0,"A","")</f>
        <v/>
      </c>
      <c r="AX38" s="160" t="str">
        <f t="shared" si="10"/>
        <v/>
      </c>
      <c r="AY38" s="160" t="str">
        <f t="shared" si="10"/>
        <v/>
      </c>
      <c r="AZ38" s="160" t="str">
        <f t="shared" si="10"/>
        <v/>
      </c>
      <c r="BA38" s="160" t="str">
        <f t="shared" si="10"/>
        <v/>
      </c>
      <c r="BB38" s="160" t="str">
        <f t="shared" si="10"/>
        <v/>
      </c>
      <c r="BC38" s="160" t="str">
        <f t="shared" si="10"/>
        <v/>
      </c>
      <c r="BD38" s="160" t="str">
        <f t="shared" si="10"/>
        <v/>
      </c>
    </row>
    <row r="39" spans="1:56" s="3" customFormat="1" thickBot="1" x14ac:dyDescent="0.25">
      <c r="A39" s="120"/>
      <c r="B39" s="121"/>
      <c r="C39" s="130"/>
      <c r="D39" s="123"/>
      <c r="E39" s="123"/>
      <c r="F39" s="123"/>
      <c r="G39" s="123"/>
      <c r="H39" s="124"/>
      <c r="I39" s="125"/>
      <c r="J39" s="126"/>
      <c r="K39" s="127"/>
      <c r="L39" s="127"/>
      <c r="M39" s="127"/>
      <c r="N39" s="127"/>
      <c r="O39" s="127"/>
      <c r="P39" s="127"/>
      <c r="Q39" s="127"/>
      <c r="R39" s="127"/>
      <c r="S39" s="127"/>
      <c r="T39" s="127"/>
      <c r="U39" s="127"/>
      <c r="V39" s="127"/>
      <c r="W39" s="128"/>
      <c r="X39" s="128"/>
      <c r="Y39" s="128"/>
      <c r="Z39" s="128"/>
      <c r="AA39" s="128"/>
      <c r="AB39" s="128"/>
      <c r="AC39" s="128"/>
      <c r="AD39" s="128"/>
      <c r="AE39" s="128"/>
      <c r="AF39" s="128"/>
      <c r="AG39" s="128"/>
      <c r="AH39" s="128"/>
      <c r="AI39" s="128"/>
      <c r="AJ39" s="128"/>
      <c r="AK39" s="128"/>
      <c r="AL39" s="128"/>
      <c r="AM39" s="128"/>
      <c r="AN39" s="128"/>
      <c r="AO39" s="128"/>
      <c r="AP39" s="172" t="str">
        <f t="shared" si="6"/>
        <v/>
      </c>
      <c r="AQ39" s="173" t="str">
        <f t="shared" si="8"/>
        <v/>
      </c>
      <c r="AR39" s="4" t="str">
        <f>IFERROR(VLOOKUP(B39,Mapping!$A$2:$C$52,3,FALSE),"")</f>
        <v/>
      </c>
      <c r="AS39" s="3" t="str">
        <f t="shared" si="7"/>
        <v/>
      </c>
      <c r="AT39" s="4" t="str">
        <f t="shared" si="4"/>
        <v/>
      </c>
      <c r="AV39" s="9" t="str">
        <f>IF(AT39="","",SUMIF(Master!$AR$4:$AR$64,AR39,Master!$AT$4:$AT$64))</f>
        <v/>
      </c>
      <c r="AW39" s="158" t="str">
        <f>IF(COUNTIFS(Master!$AR$4:$AR$64,AR39,Master!$AS$4:$AS$64,"*I*")&gt;0,"I","")&amp;IF(COUNTIFS(Master!$AR$4:$AR$64,AR39,Master!$AS$4:$AS$64,"*D*")&gt;0,"D","")&amp;IF(COUNTIFS(Master!$AR$4:$AR$64,AR39,Master!$AS$4:$AS$64,"*A*")&gt;0,"A","")</f>
        <v/>
      </c>
      <c r="AX39" s="160" t="str">
        <f t="shared" si="10"/>
        <v/>
      </c>
      <c r="AY39" s="160" t="str">
        <f t="shared" si="10"/>
        <v/>
      </c>
      <c r="AZ39" s="160" t="str">
        <f t="shared" si="10"/>
        <v/>
      </c>
      <c r="BA39" s="160" t="str">
        <f t="shared" si="10"/>
        <v/>
      </c>
      <c r="BB39" s="160" t="str">
        <f t="shared" si="10"/>
        <v/>
      </c>
      <c r="BC39" s="160" t="str">
        <f t="shared" si="10"/>
        <v/>
      </c>
      <c r="BD39" s="160" t="str">
        <f t="shared" si="10"/>
        <v/>
      </c>
    </row>
    <row r="40" spans="1:56" s="3" customFormat="1" thickBot="1" x14ac:dyDescent="0.25">
      <c r="A40" s="120"/>
      <c r="B40" s="121"/>
      <c r="C40" s="130"/>
      <c r="D40" s="131"/>
      <c r="E40" s="131"/>
      <c r="F40" s="131"/>
      <c r="G40" s="131"/>
      <c r="H40" s="132"/>
      <c r="I40" s="125"/>
      <c r="J40" s="126"/>
      <c r="K40" s="127"/>
      <c r="L40" s="127"/>
      <c r="M40" s="127"/>
      <c r="N40" s="127"/>
      <c r="O40" s="127"/>
      <c r="P40" s="127"/>
      <c r="Q40" s="127"/>
      <c r="R40" s="127"/>
      <c r="S40" s="127"/>
      <c r="T40" s="127"/>
      <c r="U40" s="127"/>
      <c r="V40" s="127"/>
      <c r="W40" s="128"/>
      <c r="X40" s="128"/>
      <c r="Y40" s="128"/>
      <c r="Z40" s="128"/>
      <c r="AA40" s="128"/>
      <c r="AB40" s="128"/>
      <c r="AC40" s="128"/>
      <c r="AD40" s="128"/>
      <c r="AE40" s="128"/>
      <c r="AF40" s="128"/>
      <c r="AG40" s="128"/>
      <c r="AH40" s="128"/>
      <c r="AI40" s="128"/>
      <c r="AJ40" s="128"/>
      <c r="AK40" s="128"/>
      <c r="AL40" s="128"/>
      <c r="AM40" s="128"/>
      <c r="AN40" s="128"/>
      <c r="AO40" s="128"/>
      <c r="AP40" s="172" t="str">
        <f t="shared" si="6"/>
        <v/>
      </c>
      <c r="AQ40" s="173" t="str">
        <f t="shared" si="8"/>
        <v/>
      </c>
      <c r="AR40" s="4" t="str">
        <f>IFERROR(VLOOKUP(B40,Mapping!$A$2:$C$52,3,FALSE),"")</f>
        <v/>
      </c>
      <c r="AS40" s="3" t="str">
        <f t="shared" si="7"/>
        <v/>
      </c>
      <c r="AT40" s="4" t="str">
        <f t="shared" si="4"/>
        <v/>
      </c>
      <c r="AV40" s="9" t="str">
        <f>IF(AT40="","",SUMIF(Master!$AR$4:$AR$64,AR40,Master!$AT$4:$AT$64))</f>
        <v/>
      </c>
      <c r="AW40" s="158" t="str">
        <f>IF(COUNTIFS(Master!$AR$4:$AR$64,AR40,Master!$AS$4:$AS$64,"*I*")&gt;0,"I","")&amp;IF(COUNTIFS(Master!$AR$4:$AR$64,AR40,Master!$AS$4:$AS$64,"*D*")&gt;0,"D","")&amp;IF(COUNTIFS(Master!$AR$4:$AR$64,AR40,Master!$AS$4:$AS$64,"*A*")&gt;0,"A","")</f>
        <v/>
      </c>
      <c r="AX40" s="160" t="str">
        <f t="shared" si="10"/>
        <v/>
      </c>
      <c r="AY40" s="160" t="str">
        <f t="shared" si="10"/>
        <v/>
      </c>
      <c r="AZ40" s="160" t="str">
        <f t="shared" si="10"/>
        <v/>
      </c>
      <c r="BA40" s="160" t="str">
        <f t="shared" si="10"/>
        <v/>
      </c>
      <c r="BB40" s="160" t="str">
        <f t="shared" si="10"/>
        <v/>
      </c>
      <c r="BC40" s="160" t="str">
        <f t="shared" si="10"/>
        <v/>
      </c>
      <c r="BD40" s="160" t="str">
        <f t="shared" si="10"/>
        <v/>
      </c>
    </row>
    <row r="41" spans="1:56" s="3" customFormat="1" thickBot="1" x14ac:dyDescent="0.25">
      <c r="A41" s="120"/>
      <c r="B41" s="121"/>
      <c r="C41" s="130"/>
      <c r="D41" s="131"/>
      <c r="E41" s="131"/>
      <c r="F41" s="131"/>
      <c r="G41" s="131"/>
      <c r="H41" s="132"/>
      <c r="I41" s="125"/>
      <c r="J41" s="126"/>
      <c r="K41" s="127"/>
      <c r="L41" s="127"/>
      <c r="M41" s="127"/>
      <c r="N41" s="127"/>
      <c r="O41" s="127"/>
      <c r="P41" s="127"/>
      <c r="Q41" s="127"/>
      <c r="R41" s="127"/>
      <c r="S41" s="127"/>
      <c r="T41" s="127"/>
      <c r="U41" s="127"/>
      <c r="V41" s="127"/>
      <c r="W41" s="128"/>
      <c r="X41" s="128"/>
      <c r="Y41" s="128"/>
      <c r="Z41" s="128"/>
      <c r="AA41" s="128"/>
      <c r="AB41" s="128"/>
      <c r="AC41" s="128"/>
      <c r="AD41" s="128"/>
      <c r="AE41" s="128"/>
      <c r="AF41" s="128"/>
      <c r="AG41" s="128"/>
      <c r="AH41" s="128"/>
      <c r="AI41" s="128"/>
      <c r="AJ41" s="128"/>
      <c r="AK41" s="128"/>
      <c r="AL41" s="128"/>
      <c r="AM41" s="128"/>
      <c r="AN41" s="128"/>
      <c r="AO41" s="128"/>
      <c r="AP41" s="172" t="str">
        <f t="shared" si="6"/>
        <v/>
      </c>
      <c r="AQ41" s="173" t="str">
        <f t="shared" si="8"/>
        <v/>
      </c>
      <c r="AR41" s="4" t="str">
        <f>IFERROR(VLOOKUP(B41,Mapping!$A$2:$C$52,3,FALSE),"")</f>
        <v/>
      </c>
      <c r="AS41" s="3" t="str">
        <f t="shared" si="7"/>
        <v/>
      </c>
      <c r="AT41" s="4" t="str">
        <f t="shared" si="4"/>
        <v/>
      </c>
      <c r="AV41" s="9" t="str">
        <f>IF(AT41="","",SUMIF(Master!$AR$4:$AR$64,AR41,Master!$AT$4:$AT$64))</f>
        <v/>
      </c>
      <c r="AW41" s="158" t="str">
        <f>IF(COUNTIFS(Master!$AR$4:$AR$64,AR41,Master!$AS$4:$AS$64,"*I*")&gt;0,"I","")&amp;IF(COUNTIFS(Master!$AR$4:$AR$64,AR41,Master!$AS$4:$AS$64,"*D*")&gt;0,"D","")&amp;IF(COUNTIFS(Master!$AR$4:$AR$64,AR41,Master!$AS$4:$AS$64,"*A*")&gt;0,"A","")</f>
        <v/>
      </c>
      <c r="AX41" s="160" t="str">
        <f t="shared" si="10"/>
        <v/>
      </c>
      <c r="AY41" s="160" t="str">
        <f t="shared" si="10"/>
        <v/>
      </c>
      <c r="AZ41" s="160" t="str">
        <f t="shared" si="10"/>
        <v/>
      </c>
      <c r="BA41" s="160" t="str">
        <f t="shared" si="10"/>
        <v/>
      </c>
      <c r="BB41" s="160" t="str">
        <f t="shared" si="10"/>
        <v/>
      </c>
      <c r="BC41" s="160" t="str">
        <f t="shared" si="10"/>
        <v/>
      </c>
      <c r="BD41" s="160" t="str">
        <f t="shared" si="10"/>
        <v/>
      </c>
    </row>
    <row r="42" spans="1:56" s="3" customFormat="1" thickBot="1" x14ac:dyDescent="0.25">
      <c r="A42" s="120"/>
      <c r="B42" s="121"/>
      <c r="C42" s="130"/>
      <c r="D42" s="131"/>
      <c r="E42" s="131"/>
      <c r="F42" s="131"/>
      <c r="G42" s="131"/>
      <c r="H42" s="132"/>
      <c r="I42" s="125"/>
      <c r="J42" s="126"/>
      <c r="K42" s="127"/>
      <c r="L42" s="127"/>
      <c r="M42" s="127"/>
      <c r="N42" s="127"/>
      <c r="O42" s="127"/>
      <c r="P42" s="127"/>
      <c r="Q42" s="127"/>
      <c r="R42" s="127"/>
      <c r="S42" s="127"/>
      <c r="T42" s="127"/>
      <c r="U42" s="127"/>
      <c r="V42" s="127"/>
      <c r="W42" s="128"/>
      <c r="X42" s="128"/>
      <c r="Y42" s="128"/>
      <c r="Z42" s="128"/>
      <c r="AA42" s="128"/>
      <c r="AB42" s="128"/>
      <c r="AC42" s="128"/>
      <c r="AD42" s="128"/>
      <c r="AE42" s="128"/>
      <c r="AF42" s="128"/>
      <c r="AG42" s="128"/>
      <c r="AH42" s="128"/>
      <c r="AI42" s="128"/>
      <c r="AJ42" s="128"/>
      <c r="AK42" s="128"/>
      <c r="AL42" s="128"/>
      <c r="AM42" s="128"/>
      <c r="AN42" s="128"/>
      <c r="AO42" s="128"/>
      <c r="AP42" s="172" t="str">
        <f t="shared" si="6"/>
        <v/>
      </c>
      <c r="AQ42" s="173" t="str">
        <f t="shared" si="8"/>
        <v/>
      </c>
      <c r="AR42" s="4" t="str">
        <f>IFERROR(VLOOKUP(B42,Mapping!$A$2:$C$52,3,FALSE),"")</f>
        <v/>
      </c>
      <c r="AS42" s="3" t="str">
        <f t="shared" si="7"/>
        <v/>
      </c>
      <c r="AT42" s="4" t="str">
        <f t="shared" si="4"/>
        <v/>
      </c>
      <c r="AV42" s="9" t="str">
        <f>IF(AT42="","",SUMIF(Master!$AR$4:$AR$64,AR42,Master!$AT$4:$AT$64))</f>
        <v/>
      </c>
      <c r="AW42" s="158" t="str">
        <f>IF(COUNTIFS(Master!$AR$4:$AR$64,AR42,Master!$AS$4:$AS$64,"*I*")&gt;0,"I","")&amp;IF(COUNTIFS(Master!$AR$4:$AR$64,AR42,Master!$AS$4:$AS$64,"*D*")&gt;0,"D","")&amp;IF(COUNTIFS(Master!$AR$4:$AR$64,AR42,Master!$AS$4:$AS$64,"*A*")&gt;0,"A","")</f>
        <v/>
      </c>
      <c r="AX42" s="160" t="str">
        <f t="shared" si="10"/>
        <v/>
      </c>
      <c r="AY42" s="160" t="str">
        <f t="shared" si="10"/>
        <v/>
      </c>
      <c r="AZ42" s="160" t="str">
        <f t="shared" si="10"/>
        <v/>
      </c>
      <c r="BA42" s="160" t="str">
        <f t="shared" si="10"/>
        <v/>
      </c>
      <c r="BB42" s="160" t="str">
        <f t="shared" si="10"/>
        <v/>
      </c>
      <c r="BC42" s="160" t="str">
        <f t="shared" si="10"/>
        <v/>
      </c>
      <c r="BD42" s="160" t="str">
        <f t="shared" si="10"/>
        <v/>
      </c>
    </row>
    <row r="43" spans="1:56" s="3" customFormat="1" thickBot="1" x14ac:dyDescent="0.25">
      <c r="A43" s="120"/>
      <c r="B43" s="121"/>
      <c r="C43" s="130"/>
      <c r="D43" s="123"/>
      <c r="E43" s="123"/>
      <c r="F43" s="123"/>
      <c r="G43" s="123"/>
      <c r="H43" s="124"/>
      <c r="I43" s="125"/>
      <c r="J43" s="126"/>
      <c r="K43" s="127"/>
      <c r="L43" s="127"/>
      <c r="M43" s="127"/>
      <c r="N43" s="127"/>
      <c r="O43" s="127"/>
      <c r="P43" s="127"/>
      <c r="Q43" s="127"/>
      <c r="R43" s="127"/>
      <c r="S43" s="127"/>
      <c r="T43" s="127"/>
      <c r="U43" s="127"/>
      <c r="V43" s="127"/>
      <c r="W43" s="128"/>
      <c r="X43" s="128"/>
      <c r="Y43" s="128"/>
      <c r="Z43" s="128"/>
      <c r="AA43" s="128"/>
      <c r="AB43" s="128"/>
      <c r="AC43" s="128"/>
      <c r="AD43" s="128"/>
      <c r="AE43" s="128"/>
      <c r="AF43" s="128"/>
      <c r="AG43" s="128"/>
      <c r="AH43" s="128"/>
      <c r="AI43" s="128"/>
      <c r="AJ43" s="128"/>
      <c r="AK43" s="128"/>
      <c r="AL43" s="128"/>
      <c r="AM43" s="128"/>
      <c r="AN43" s="128"/>
      <c r="AO43" s="128"/>
      <c r="AP43" s="172" t="str">
        <f t="shared" si="6"/>
        <v/>
      </c>
      <c r="AQ43" s="173" t="str">
        <f t="shared" si="8"/>
        <v/>
      </c>
      <c r="AR43" s="4" t="str">
        <f>IFERROR(VLOOKUP(B43,Mapping!$A$2:$C$52,3,FALSE),"")</f>
        <v/>
      </c>
      <c r="AS43" s="3" t="str">
        <f t="shared" si="7"/>
        <v/>
      </c>
      <c r="AT43" s="4" t="str">
        <f t="shared" si="4"/>
        <v/>
      </c>
      <c r="AV43" s="9" t="str">
        <f>IF(AT43="","",SUMIF(Master!$AR$4:$AR$64,AR43,Master!$AT$4:$AT$64))</f>
        <v/>
      </c>
      <c r="AW43" s="158" t="str">
        <f>IF(COUNTIFS(Master!$AR$4:$AR$64,AR43,Master!$AS$4:$AS$64,"*I*")&gt;0,"I","")&amp;IF(COUNTIFS(Master!$AR$4:$AR$64,AR43,Master!$AS$4:$AS$64,"*D*")&gt;0,"D","")&amp;IF(COUNTIFS(Master!$AR$4:$AR$64,AR43,Master!$AS$4:$AS$64,"*A*")&gt;0,"A","")</f>
        <v/>
      </c>
      <c r="AX43" s="160" t="str">
        <f t="shared" si="10"/>
        <v/>
      </c>
      <c r="AY43" s="160" t="str">
        <f t="shared" si="10"/>
        <v/>
      </c>
      <c r="AZ43" s="160" t="str">
        <f t="shared" si="10"/>
        <v/>
      </c>
      <c r="BA43" s="160" t="str">
        <f t="shared" si="10"/>
        <v/>
      </c>
      <c r="BB43" s="160" t="str">
        <f t="shared" si="10"/>
        <v/>
      </c>
      <c r="BC43" s="160" t="str">
        <f t="shared" si="10"/>
        <v/>
      </c>
      <c r="BD43" s="160" t="str">
        <f t="shared" si="10"/>
        <v/>
      </c>
    </row>
    <row r="44" spans="1:56" s="3" customFormat="1" thickBot="1" x14ac:dyDescent="0.25">
      <c r="A44" s="120"/>
      <c r="B44" s="121"/>
      <c r="C44" s="130"/>
      <c r="D44" s="131"/>
      <c r="E44" s="131"/>
      <c r="F44" s="131"/>
      <c r="G44" s="131"/>
      <c r="H44" s="132"/>
      <c r="I44" s="125"/>
      <c r="J44" s="133"/>
      <c r="K44" s="133"/>
      <c r="L44" s="133"/>
      <c r="M44" s="133"/>
      <c r="N44" s="133"/>
      <c r="O44" s="133"/>
      <c r="P44" s="133"/>
      <c r="Q44" s="133"/>
      <c r="R44" s="133"/>
      <c r="S44" s="133"/>
      <c r="T44" s="133"/>
      <c r="U44" s="133"/>
      <c r="V44" s="133"/>
      <c r="W44" s="133"/>
      <c r="X44" s="133"/>
      <c r="Y44" s="133"/>
      <c r="Z44" s="133"/>
      <c r="AA44" s="133"/>
      <c r="AB44" s="133"/>
      <c r="AC44" s="133"/>
      <c r="AD44" s="133"/>
      <c r="AE44" s="133"/>
      <c r="AF44" s="133"/>
      <c r="AG44" s="133"/>
      <c r="AH44" s="133"/>
      <c r="AI44" s="133"/>
      <c r="AJ44" s="133"/>
      <c r="AK44" s="133"/>
      <c r="AL44" s="133"/>
      <c r="AM44" s="133"/>
      <c r="AN44" s="133"/>
      <c r="AO44" s="133"/>
      <c r="AP44" s="172" t="str">
        <f t="shared" si="6"/>
        <v/>
      </c>
      <c r="AQ44" s="173" t="str">
        <f t="shared" si="8"/>
        <v/>
      </c>
      <c r="AR44" s="4" t="str">
        <f>IFERROR(VLOOKUP(B44,Mapping!$A$2:$C$52,3,FALSE),"")</f>
        <v/>
      </c>
      <c r="AS44" s="3" t="str">
        <f t="shared" si="7"/>
        <v/>
      </c>
      <c r="AT44" s="4" t="str">
        <f t="shared" si="4"/>
        <v/>
      </c>
      <c r="AV44" s="9" t="str">
        <f>IF(AT44="","",SUMIF(Master!$AR$4:$AR$64,AR44,Master!$AT$4:$AT$64))</f>
        <v/>
      </c>
      <c r="AW44" s="158" t="str">
        <f>IF(COUNTIFS(Master!$AR$4:$AR$64,AR44,Master!$AS$4:$AS$64,"*I*")&gt;0,"I","")&amp;IF(COUNTIFS(Master!$AR$4:$AR$64,AR44,Master!$AS$4:$AS$64,"*D*")&gt;0,"D","")&amp;IF(COUNTIFS(Master!$AR$4:$AR$64,AR44,Master!$AS$4:$AS$64,"*A*")&gt;0,"A","")</f>
        <v/>
      </c>
      <c r="AX44" s="160" t="str">
        <f t="shared" si="10"/>
        <v/>
      </c>
      <c r="AY44" s="160" t="str">
        <f t="shared" si="10"/>
        <v/>
      </c>
      <c r="AZ44" s="160" t="str">
        <f t="shared" si="10"/>
        <v/>
      </c>
      <c r="BA44" s="160" t="str">
        <f t="shared" si="10"/>
        <v/>
      </c>
      <c r="BB44" s="160" t="str">
        <f t="shared" si="10"/>
        <v/>
      </c>
      <c r="BC44" s="160" t="str">
        <f t="shared" si="10"/>
        <v/>
      </c>
      <c r="BD44" s="160" t="str">
        <f t="shared" si="10"/>
        <v/>
      </c>
    </row>
    <row r="45" spans="1:56" thickBot="1" x14ac:dyDescent="0.25">
      <c r="A45" s="136"/>
      <c r="B45" s="137"/>
      <c r="C45" s="138"/>
      <c r="D45" s="139"/>
      <c r="E45" s="139"/>
      <c r="F45" s="139"/>
      <c r="G45" s="139"/>
      <c r="H45" s="139"/>
      <c r="I45" s="125"/>
      <c r="J45" s="133"/>
      <c r="K45" s="133"/>
      <c r="L45" s="133"/>
      <c r="M45" s="133"/>
      <c r="N45" s="133"/>
      <c r="O45" s="133"/>
      <c r="P45" s="133"/>
      <c r="Q45" s="133"/>
      <c r="R45" s="133"/>
      <c r="S45" s="133"/>
      <c r="T45" s="133"/>
      <c r="U45" s="133"/>
      <c r="V45" s="133"/>
      <c r="W45" s="133"/>
      <c r="X45" s="133"/>
      <c r="Y45" s="133"/>
      <c r="Z45" s="133"/>
      <c r="AA45" s="133"/>
      <c r="AB45" s="133"/>
      <c r="AC45" s="133"/>
      <c r="AD45" s="133"/>
      <c r="AE45" s="133"/>
      <c r="AF45" s="133"/>
      <c r="AG45" s="133"/>
      <c r="AH45" s="133"/>
      <c r="AI45" s="133"/>
      <c r="AJ45" s="133"/>
      <c r="AK45" s="133"/>
      <c r="AL45" s="133"/>
      <c r="AM45" s="133"/>
      <c r="AN45" s="133"/>
      <c r="AO45" s="133"/>
      <c r="AP45" s="172" t="str">
        <f t="shared" si="6"/>
        <v/>
      </c>
      <c r="AQ45" s="173" t="str">
        <f t="shared" si="8"/>
        <v/>
      </c>
      <c r="AR45" s="4" t="str">
        <f>IFERROR(VLOOKUP(B45,Mapping!$A$2:$C$52,3,FALSE),"")</f>
        <v/>
      </c>
      <c r="AS45" s="3" t="str">
        <f t="shared" si="7"/>
        <v/>
      </c>
      <c r="AT45" s="4" t="str">
        <f t="shared" si="4"/>
        <v/>
      </c>
      <c r="AV45" s="9" t="str">
        <f>IF(AT45="","",SUMIF(Master!$AR$4:$AR$64,AR45,Master!$AT$4:$AT$64))</f>
        <v/>
      </c>
      <c r="AW45" s="158" t="str">
        <f>IF(COUNTIFS(Master!$AR$4:$AR$64,AR45,Master!$AS$4:$AS$64,"*I*")&gt;0,"I","")&amp;IF(COUNTIFS(Master!$AR$4:$AR$64,AR45,Master!$AS$4:$AS$64,"*D*")&gt;0,"D","")&amp;IF(COUNTIFS(Master!$AR$4:$AR$64,AR45,Master!$AS$4:$AS$64,"*A*")&gt;0,"A","")</f>
        <v/>
      </c>
      <c r="AX45" s="160" t="str">
        <f t="shared" si="10"/>
        <v/>
      </c>
      <c r="AY45" s="160" t="str">
        <f t="shared" si="10"/>
        <v/>
      </c>
      <c r="AZ45" s="160" t="str">
        <f t="shared" si="10"/>
        <v/>
      </c>
      <c r="BA45" s="160" t="str">
        <f t="shared" si="10"/>
        <v/>
      </c>
      <c r="BB45" s="160" t="str">
        <f t="shared" si="10"/>
        <v/>
      </c>
      <c r="BC45" s="160" t="str">
        <f t="shared" si="10"/>
        <v/>
      </c>
      <c r="BD45" s="160" t="str">
        <f t="shared" si="10"/>
        <v/>
      </c>
    </row>
    <row r="46" spans="1:56" thickBot="1" x14ac:dyDescent="0.25">
      <c r="A46" s="136"/>
      <c r="B46" s="137"/>
      <c r="C46" s="139"/>
      <c r="D46" s="137"/>
      <c r="E46" s="137"/>
      <c r="F46" s="137"/>
      <c r="G46" s="137"/>
      <c r="H46" s="137"/>
      <c r="I46" s="125"/>
      <c r="J46" s="133"/>
      <c r="K46" s="133"/>
      <c r="L46" s="133"/>
      <c r="M46" s="133"/>
      <c r="N46" s="133"/>
      <c r="O46" s="133"/>
      <c r="P46" s="133"/>
      <c r="Q46" s="133"/>
      <c r="R46" s="133"/>
      <c r="S46" s="133"/>
      <c r="T46" s="133"/>
      <c r="U46" s="133"/>
      <c r="V46" s="133"/>
      <c r="W46" s="133"/>
      <c r="X46" s="133"/>
      <c r="Y46" s="133"/>
      <c r="Z46" s="133"/>
      <c r="AA46" s="133"/>
      <c r="AB46" s="133"/>
      <c r="AC46" s="133"/>
      <c r="AD46" s="133"/>
      <c r="AE46" s="133"/>
      <c r="AF46" s="133"/>
      <c r="AG46" s="133"/>
      <c r="AH46" s="133"/>
      <c r="AI46" s="133"/>
      <c r="AJ46" s="133"/>
      <c r="AK46" s="133"/>
      <c r="AL46" s="133"/>
      <c r="AM46" s="133"/>
      <c r="AN46" s="133"/>
      <c r="AO46" s="133"/>
      <c r="AP46" s="172" t="str">
        <f t="shared" si="6"/>
        <v/>
      </c>
      <c r="AQ46" s="173" t="str">
        <f t="shared" si="8"/>
        <v/>
      </c>
      <c r="AR46" s="4" t="str">
        <f>IFERROR(VLOOKUP(B46,Mapping!$A$2:$C$52,3,FALSE),"")</f>
        <v/>
      </c>
      <c r="AS46" s="3" t="str">
        <f t="shared" si="7"/>
        <v/>
      </c>
      <c r="AT46" s="4" t="str">
        <f t="shared" si="4"/>
        <v/>
      </c>
      <c r="AV46" s="9" t="str">
        <f>IF(AT46="","",SUMIF(Master!$AR$4:$AR$64,AR46,Master!$AT$4:$AT$64))</f>
        <v/>
      </c>
      <c r="AW46" s="158" t="str">
        <f>IF(COUNTIFS(Master!$AR$4:$AR$64,AR46,Master!$AS$4:$AS$64,"*I*")&gt;0,"I","")&amp;IF(COUNTIFS(Master!$AR$4:$AR$64,AR46,Master!$AS$4:$AS$64,"*D*")&gt;0,"D","")&amp;IF(COUNTIFS(Master!$AR$4:$AR$64,AR46,Master!$AS$4:$AS$64,"*A*")&gt;0,"A","")</f>
        <v/>
      </c>
      <c r="AX46" s="160" t="str">
        <f t="shared" si="10"/>
        <v/>
      </c>
      <c r="AY46" s="160" t="str">
        <f t="shared" si="10"/>
        <v/>
      </c>
      <c r="AZ46" s="160" t="str">
        <f t="shared" si="10"/>
        <v/>
      </c>
      <c r="BA46" s="160" t="str">
        <f t="shared" si="10"/>
        <v/>
      </c>
      <c r="BB46" s="160" t="str">
        <f t="shared" si="10"/>
        <v/>
      </c>
      <c r="BC46" s="160" t="str">
        <f t="shared" si="10"/>
        <v/>
      </c>
      <c r="BD46" s="160" t="str">
        <f t="shared" si="10"/>
        <v/>
      </c>
    </row>
    <row r="47" spans="1:56" thickBot="1" x14ac:dyDescent="0.25">
      <c r="A47" s="136"/>
      <c r="B47" s="137"/>
      <c r="C47" s="139"/>
      <c r="D47" s="137"/>
      <c r="E47" s="137"/>
      <c r="F47" s="137"/>
      <c r="G47" s="137"/>
      <c r="H47" s="137"/>
      <c r="I47" s="125"/>
      <c r="J47" s="133"/>
      <c r="K47" s="133"/>
      <c r="L47" s="133"/>
      <c r="M47" s="133"/>
      <c r="N47" s="133"/>
      <c r="O47" s="133"/>
      <c r="P47" s="133"/>
      <c r="Q47" s="133"/>
      <c r="R47" s="133"/>
      <c r="S47" s="133"/>
      <c r="T47" s="133"/>
      <c r="U47" s="133"/>
      <c r="V47" s="133"/>
      <c r="W47" s="133"/>
      <c r="X47" s="133"/>
      <c r="Y47" s="133"/>
      <c r="Z47" s="133"/>
      <c r="AA47" s="133"/>
      <c r="AB47" s="133"/>
      <c r="AC47" s="133"/>
      <c r="AD47" s="133"/>
      <c r="AE47" s="133"/>
      <c r="AF47" s="133"/>
      <c r="AG47" s="133"/>
      <c r="AH47" s="133"/>
      <c r="AI47" s="133"/>
      <c r="AJ47" s="133"/>
      <c r="AK47" s="133"/>
      <c r="AL47" s="133"/>
      <c r="AM47" s="133"/>
      <c r="AN47" s="133"/>
      <c r="AO47" s="133"/>
      <c r="AP47" s="172" t="str">
        <f t="shared" si="6"/>
        <v/>
      </c>
      <c r="AQ47" s="173" t="str">
        <f t="shared" si="8"/>
        <v/>
      </c>
      <c r="AR47" s="4" t="str">
        <f>IFERROR(VLOOKUP(B47,Mapping!$A$2:$C$52,3,FALSE),"")</f>
        <v/>
      </c>
      <c r="AS47" s="3" t="str">
        <f t="shared" si="7"/>
        <v/>
      </c>
      <c r="AT47" s="4" t="str">
        <f t="shared" si="4"/>
        <v/>
      </c>
      <c r="AV47" s="9" t="str">
        <f>IF(AT47="","",SUMIF(Master!$AR$4:$AR$64,AR47,Master!$AT$4:$AT$64))</f>
        <v/>
      </c>
      <c r="AW47" s="158" t="str">
        <f>IF(COUNTIFS(Master!$AR$4:$AR$64,AR47,Master!$AS$4:$AS$64,"*I*")&gt;0,"I","")&amp;IF(COUNTIFS(Master!$AR$4:$AR$64,AR47,Master!$AS$4:$AS$64,"*D*")&gt;0,"D","")&amp;IF(COUNTIFS(Master!$AR$4:$AR$64,AR47,Master!$AS$4:$AS$64,"*A*")&gt;0,"A","")</f>
        <v/>
      </c>
      <c r="AX47" s="160" t="str">
        <f t="shared" si="10"/>
        <v/>
      </c>
      <c r="AY47" s="160" t="str">
        <f t="shared" si="10"/>
        <v/>
      </c>
      <c r="AZ47" s="160" t="str">
        <f t="shared" si="10"/>
        <v/>
      </c>
      <c r="BA47" s="160" t="str">
        <f t="shared" si="10"/>
        <v/>
      </c>
      <c r="BB47" s="160" t="str">
        <f t="shared" si="10"/>
        <v/>
      </c>
      <c r="BC47" s="160" t="str">
        <f t="shared" si="10"/>
        <v/>
      </c>
      <c r="BD47" s="160" t="str">
        <f t="shared" si="10"/>
        <v/>
      </c>
    </row>
    <row r="48" spans="1:56" thickBot="1" x14ac:dyDescent="0.25">
      <c r="A48" s="136"/>
      <c r="B48" s="137"/>
      <c r="C48" s="139"/>
      <c r="D48" s="137"/>
      <c r="E48" s="137"/>
      <c r="F48" s="137"/>
      <c r="G48" s="137"/>
      <c r="H48" s="137"/>
      <c r="I48" s="125"/>
      <c r="J48" s="133"/>
      <c r="K48" s="133"/>
      <c r="L48" s="133"/>
      <c r="M48" s="133"/>
      <c r="N48" s="133"/>
      <c r="O48" s="133"/>
      <c r="P48" s="133"/>
      <c r="Q48" s="133"/>
      <c r="R48" s="133"/>
      <c r="S48" s="133"/>
      <c r="T48" s="133"/>
      <c r="U48" s="133"/>
      <c r="V48" s="133"/>
      <c r="W48" s="133"/>
      <c r="X48" s="133"/>
      <c r="Y48" s="133"/>
      <c r="Z48" s="133"/>
      <c r="AA48" s="133"/>
      <c r="AB48" s="133"/>
      <c r="AC48" s="133"/>
      <c r="AD48" s="133"/>
      <c r="AE48" s="133"/>
      <c r="AF48" s="133"/>
      <c r="AG48" s="133"/>
      <c r="AH48" s="133"/>
      <c r="AI48" s="133"/>
      <c r="AJ48" s="133"/>
      <c r="AK48" s="133"/>
      <c r="AL48" s="133"/>
      <c r="AM48" s="133"/>
      <c r="AN48" s="133"/>
      <c r="AO48" s="133"/>
      <c r="AP48" s="172" t="str">
        <f t="shared" si="6"/>
        <v/>
      </c>
      <c r="AQ48" s="173" t="str">
        <f t="shared" si="8"/>
        <v/>
      </c>
      <c r="AR48" s="4" t="str">
        <f>IFERROR(VLOOKUP(B48,Mapping!$A$2:$C$52,3,FALSE),"")</f>
        <v/>
      </c>
      <c r="AS48" s="3" t="str">
        <f t="shared" si="7"/>
        <v/>
      </c>
      <c r="AT48" s="4" t="str">
        <f t="shared" si="4"/>
        <v/>
      </c>
      <c r="AV48" s="9" t="str">
        <f>IF(AT48="","",SUMIF(Master!$AR$4:$AR$64,AR48,Master!$AT$4:$AT$64))</f>
        <v/>
      </c>
      <c r="AW48" s="158" t="str">
        <f>IF(COUNTIFS(Master!$AR$4:$AR$64,AR48,Master!$AS$4:$AS$64,"*I*")&gt;0,"I","")&amp;IF(COUNTIFS(Master!$AR$4:$AR$64,AR48,Master!$AS$4:$AS$64,"*D*")&gt;0,"D","")&amp;IF(COUNTIFS(Master!$AR$4:$AR$64,AR48,Master!$AS$4:$AS$64,"*A*")&gt;0,"A","")</f>
        <v/>
      </c>
      <c r="AX48" s="160" t="str">
        <f t="shared" si="10"/>
        <v/>
      </c>
      <c r="AY48" s="160" t="str">
        <f t="shared" si="10"/>
        <v/>
      </c>
      <c r="AZ48" s="160" t="str">
        <f t="shared" si="10"/>
        <v/>
      </c>
      <c r="BA48" s="160" t="str">
        <f t="shared" si="10"/>
        <v/>
      </c>
      <c r="BB48" s="160" t="str">
        <f t="shared" si="10"/>
        <v/>
      </c>
      <c r="BC48" s="160" t="str">
        <f t="shared" si="10"/>
        <v/>
      </c>
      <c r="BD48" s="160" t="str">
        <f t="shared" si="10"/>
        <v/>
      </c>
    </row>
    <row r="49" spans="1:56" thickBot="1" x14ac:dyDescent="0.25">
      <c r="A49" s="136"/>
      <c r="B49" s="137"/>
      <c r="C49" s="139"/>
      <c r="D49" s="137"/>
      <c r="E49" s="137"/>
      <c r="F49" s="137"/>
      <c r="G49" s="137"/>
      <c r="H49" s="137"/>
      <c r="I49" s="125"/>
      <c r="J49" s="133"/>
      <c r="K49" s="133"/>
      <c r="L49" s="133"/>
      <c r="M49" s="133"/>
      <c r="N49" s="133"/>
      <c r="O49" s="133"/>
      <c r="P49" s="133"/>
      <c r="Q49" s="133"/>
      <c r="R49" s="133"/>
      <c r="S49" s="133"/>
      <c r="T49" s="133"/>
      <c r="U49" s="133"/>
      <c r="V49" s="133"/>
      <c r="W49" s="133"/>
      <c r="X49" s="133"/>
      <c r="Y49" s="133"/>
      <c r="Z49" s="133"/>
      <c r="AA49" s="133"/>
      <c r="AB49" s="133"/>
      <c r="AC49" s="133"/>
      <c r="AD49" s="133"/>
      <c r="AE49" s="133"/>
      <c r="AF49" s="133"/>
      <c r="AG49" s="133"/>
      <c r="AH49" s="133"/>
      <c r="AI49" s="133"/>
      <c r="AJ49" s="133"/>
      <c r="AK49" s="133"/>
      <c r="AL49" s="133"/>
      <c r="AM49" s="133"/>
      <c r="AN49" s="133"/>
      <c r="AO49" s="133"/>
      <c r="AP49" s="172" t="str">
        <f t="shared" si="6"/>
        <v/>
      </c>
      <c r="AQ49" s="173" t="str">
        <f t="shared" si="8"/>
        <v/>
      </c>
      <c r="AR49" s="4" t="str">
        <f>IFERROR(VLOOKUP(B49,Mapping!$A$2:$C$52,3,FALSE),"")</f>
        <v/>
      </c>
      <c r="AS49" s="3" t="str">
        <f t="shared" si="7"/>
        <v/>
      </c>
      <c r="AT49" s="4" t="str">
        <f t="shared" si="4"/>
        <v/>
      </c>
      <c r="AV49" s="9" t="str">
        <f>IF(AT49="","",SUMIF(Master!$AR$4:$AR$64,AR49,Master!$AT$4:$AT$64))</f>
        <v/>
      </c>
      <c r="AW49" s="158" t="str">
        <f>IF(COUNTIFS(Master!$AR$4:$AR$64,AR49,Master!$AS$4:$AS$64,"*I*")&gt;0,"I","")&amp;IF(COUNTIFS(Master!$AR$4:$AR$64,AR49,Master!$AS$4:$AS$64,"*D*")&gt;0,"D","")&amp;IF(COUNTIFS(Master!$AR$4:$AR$64,AR49,Master!$AS$4:$AS$64,"*A*")&gt;0,"A","")</f>
        <v/>
      </c>
      <c r="AX49" s="160" t="str">
        <f t="shared" si="10"/>
        <v/>
      </c>
      <c r="AY49" s="160" t="str">
        <f t="shared" si="10"/>
        <v/>
      </c>
      <c r="AZ49" s="160" t="str">
        <f t="shared" si="10"/>
        <v/>
      </c>
      <c r="BA49" s="160" t="str">
        <f t="shared" si="10"/>
        <v/>
      </c>
      <c r="BB49" s="160" t="str">
        <f t="shared" si="10"/>
        <v/>
      </c>
      <c r="BC49" s="160" t="str">
        <f t="shared" si="10"/>
        <v/>
      </c>
      <c r="BD49" s="160" t="str">
        <f t="shared" si="10"/>
        <v/>
      </c>
    </row>
    <row r="50" spans="1:56" thickBot="1" x14ac:dyDescent="0.25">
      <c r="A50" s="136"/>
      <c r="B50" s="137"/>
      <c r="C50" s="139"/>
      <c r="D50" s="137"/>
      <c r="E50" s="137"/>
      <c r="F50" s="137"/>
      <c r="G50" s="137"/>
      <c r="H50" s="137"/>
      <c r="I50" s="125"/>
      <c r="J50" s="133"/>
      <c r="K50" s="133"/>
      <c r="L50" s="133"/>
      <c r="M50" s="133"/>
      <c r="N50" s="133"/>
      <c r="O50" s="133"/>
      <c r="P50" s="133"/>
      <c r="Q50" s="133"/>
      <c r="R50" s="133"/>
      <c r="S50" s="133"/>
      <c r="T50" s="133"/>
      <c r="U50" s="133"/>
      <c r="V50" s="133"/>
      <c r="W50" s="133"/>
      <c r="X50" s="133"/>
      <c r="Y50" s="133"/>
      <c r="Z50" s="133"/>
      <c r="AA50" s="133"/>
      <c r="AB50" s="133"/>
      <c r="AC50" s="133"/>
      <c r="AD50" s="133"/>
      <c r="AE50" s="133"/>
      <c r="AF50" s="133"/>
      <c r="AG50" s="133"/>
      <c r="AH50" s="133"/>
      <c r="AI50" s="133"/>
      <c r="AJ50" s="133"/>
      <c r="AK50" s="133"/>
      <c r="AL50" s="133"/>
      <c r="AM50" s="133"/>
      <c r="AN50" s="133"/>
      <c r="AO50" s="133"/>
      <c r="AP50" s="172" t="str">
        <f t="shared" si="6"/>
        <v/>
      </c>
      <c r="AQ50" s="173" t="str">
        <f t="shared" si="8"/>
        <v/>
      </c>
      <c r="AR50" s="4" t="str">
        <f>IFERROR(VLOOKUP(B50,Mapping!$A$2:$C$52,3,FALSE),"")</f>
        <v/>
      </c>
      <c r="AS50" s="3" t="str">
        <f t="shared" si="7"/>
        <v/>
      </c>
      <c r="AT50" s="4" t="str">
        <f t="shared" si="4"/>
        <v/>
      </c>
      <c r="AV50" s="9" t="str">
        <f>IF(AT50="","",SUMIF(Master!$AR$4:$AR$64,AR50,Master!$AT$4:$AT$64))</f>
        <v/>
      </c>
      <c r="AW50" s="158" t="str">
        <f>IF(COUNTIFS(Master!$AR$4:$AR$64,AR50,Master!$AS$4:$AS$64,"*I*")&gt;0,"I","")&amp;IF(COUNTIFS(Master!$AR$4:$AR$64,AR50,Master!$AS$4:$AS$64,"*D*")&gt;0,"D","")&amp;IF(COUNTIFS(Master!$AR$4:$AR$64,AR50,Master!$AS$4:$AS$64,"*A*")&gt;0,"A","")</f>
        <v/>
      </c>
      <c r="AX50" s="160" t="str">
        <f t="shared" si="10"/>
        <v/>
      </c>
      <c r="AY50" s="160" t="str">
        <f t="shared" si="10"/>
        <v/>
      </c>
      <c r="AZ50" s="160" t="str">
        <f t="shared" si="10"/>
        <v/>
      </c>
      <c r="BA50" s="160" t="str">
        <f t="shared" si="10"/>
        <v/>
      </c>
      <c r="BB50" s="160" t="str">
        <f t="shared" si="10"/>
        <v/>
      </c>
      <c r="BC50" s="160" t="str">
        <f t="shared" si="10"/>
        <v/>
      </c>
      <c r="BD50" s="160" t="str">
        <f t="shared" si="10"/>
        <v/>
      </c>
    </row>
    <row r="51" spans="1:56" thickBot="1" x14ac:dyDescent="0.25">
      <c r="A51" s="136"/>
      <c r="B51" s="137"/>
      <c r="C51" s="139"/>
      <c r="D51" s="137"/>
      <c r="E51" s="137"/>
      <c r="F51" s="137"/>
      <c r="G51" s="137"/>
      <c r="H51" s="137"/>
      <c r="I51" s="125"/>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72" t="str">
        <f t="shared" si="6"/>
        <v/>
      </c>
      <c r="AQ51" s="173" t="str">
        <f t="shared" si="8"/>
        <v/>
      </c>
      <c r="AR51" s="4" t="str">
        <f>IFERROR(VLOOKUP(B51,Mapping!$A$2:$C$52,3,FALSE),"")</f>
        <v/>
      </c>
      <c r="AS51" s="3" t="str">
        <f t="shared" si="7"/>
        <v/>
      </c>
      <c r="AT51" s="4" t="str">
        <f t="shared" si="4"/>
        <v/>
      </c>
      <c r="AV51" s="9" t="str">
        <f>IF(AT51="","",SUMIF(Master!$AR$4:$AR$64,AR51,Master!$AT$4:$AT$64))</f>
        <v/>
      </c>
      <c r="AW51" s="158" t="str">
        <f>IF(COUNTIFS(Master!$AR$4:$AR$64,AR51,Master!$AS$4:$AS$64,"*I*")&gt;0,"I","")&amp;IF(COUNTIFS(Master!$AR$4:$AR$64,AR51,Master!$AS$4:$AS$64,"*D*")&gt;0,"D","")&amp;IF(COUNTIFS(Master!$AR$4:$AR$64,AR51,Master!$AS$4:$AS$64,"*A*")&gt;0,"A","")</f>
        <v/>
      </c>
      <c r="AX51" s="160" t="str">
        <f t="shared" si="10"/>
        <v/>
      </c>
      <c r="AY51" s="160" t="str">
        <f t="shared" si="10"/>
        <v/>
      </c>
      <c r="AZ51" s="160" t="str">
        <f t="shared" si="10"/>
        <v/>
      </c>
      <c r="BA51" s="160" t="str">
        <f t="shared" si="10"/>
        <v/>
      </c>
      <c r="BB51" s="160" t="str">
        <f t="shared" si="10"/>
        <v/>
      </c>
      <c r="BC51" s="160" t="str">
        <f t="shared" si="10"/>
        <v/>
      </c>
      <c r="BD51" s="160" t="str">
        <f t="shared" si="10"/>
        <v/>
      </c>
    </row>
    <row r="52" spans="1:56" thickBot="1" x14ac:dyDescent="0.25">
      <c r="A52" s="136"/>
      <c r="B52" s="137"/>
      <c r="C52" s="139"/>
      <c r="D52" s="137"/>
      <c r="E52" s="137"/>
      <c r="F52" s="137"/>
      <c r="G52" s="137"/>
      <c r="H52" s="137"/>
      <c r="I52" s="125"/>
      <c r="J52" s="133"/>
      <c r="K52" s="133"/>
      <c r="L52" s="133"/>
      <c r="M52" s="133"/>
      <c r="N52" s="133"/>
      <c r="O52" s="133"/>
      <c r="P52" s="133"/>
      <c r="Q52" s="133"/>
      <c r="R52" s="133"/>
      <c r="S52" s="133"/>
      <c r="T52" s="133"/>
      <c r="U52" s="133"/>
      <c r="V52" s="133"/>
      <c r="W52" s="133"/>
      <c r="X52" s="133"/>
      <c r="Y52" s="133"/>
      <c r="Z52" s="133"/>
      <c r="AA52" s="133"/>
      <c r="AB52" s="133"/>
      <c r="AC52" s="133"/>
      <c r="AD52" s="133"/>
      <c r="AE52" s="133"/>
      <c r="AF52" s="133"/>
      <c r="AG52" s="133"/>
      <c r="AH52" s="133"/>
      <c r="AI52" s="133"/>
      <c r="AJ52" s="133"/>
      <c r="AK52" s="133"/>
      <c r="AL52" s="133"/>
      <c r="AM52" s="133"/>
      <c r="AN52" s="133"/>
      <c r="AO52" s="133"/>
      <c r="AP52" s="172" t="str">
        <f t="shared" si="6"/>
        <v/>
      </c>
      <c r="AQ52" s="173" t="str">
        <f t="shared" si="8"/>
        <v/>
      </c>
      <c r="AR52" s="4" t="str">
        <f>IFERROR(VLOOKUP(B52,Mapping!$A$2:$C$52,3,FALSE),"")</f>
        <v/>
      </c>
      <c r="AS52" s="3" t="str">
        <f t="shared" si="7"/>
        <v/>
      </c>
      <c r="AT52" s="4" t="str">
        <f t="shared" si="4"/>
        <v/>
      </c>
      <c r="AV52" s="9" t="str">
        <f>IF(AT52="","",SUMIF(Master!$AR$4:$AR$64,AR52,Master!$AT$4:$AT$64))</f>
        <v/>
      </c>
      <c r="AW52" s="158" t="str">
        <f>IF(COUNTIFS(Master!$AR$4:$AR$64,AR52,Master!$AS$4:$AS$64,"*I*")&gt;0,"I","")&amp;IF(COUNTIFS(Master!$AR$4:$AR$64,AR52,Master!$AS$4:$AS$64,"*D*")&gt;0,"D","")&amp;IF(COUNTIFS(Master!$AR$4:$AR$64,AR52,Master!$AS$4:$AS$64,"*A*")&gt;0,"A","")</f>
        <v/>
      </c>
      <c r="AX52" s="160" t="str">
        <f t="shared" si="10"/>
        <v/>
      </c>
      <c r="AY52" s="160" t="str">
        <f t="shared" si="10"/>
        <v/>
      </c>
      <c r="AZ52" s="160" t="str">
        <f t="shared" si="10"/>
        <v/>
      </c>
      <c r="BA52" s="160" t="str">
        <f t="shared" si="10"/>
        <v/>
      </c>
      <c r="BB52" s="160" t="str">
        <f t="shared" si="10"/>
        <v/>
      </c>
      <c r="BC52" s="160" t="str">
        <f t="shared" si="10"/>
        <v/>
      </c>
      <c r="BD52" s="160" t="str">
        <f t="shared" si="10"/>
        <v/>
      </c>
    </row>
    <row r="53" spans="1:56" thickBot="1" x14ac:dyDescent="0.25">
      <c r="A53" s="136"/>
      <c r="B53" s="137"/>
      <c r="C53" s="139"/>
      <c r="D53" s="137"/>
      <c r="E53" s="137"/>
      <c r="F53" s="137"/>
      <c r="G53" s="137"/>
      <c r="H53" s="137"/>
      <c r="I53" s="125"/>
      <c r="J53" s="133"/>
      <c r="K53" s="133"/>
      <c r="L53" s="133"/>
      <c r="M53" s="133"/>
      <c r="N53" s="133"/>
      <c r="O53" s="133"/>
      <c r="P53" s="133"/>
      <c r="Q53" s="133"/>
      <c r="R53" s="133"/>
      <c r="S53" s="133"/>
      <c r="T53" s="133"/>
      <c r="U53" s="133"/>
      <c r="V53" s="133"/>
      <c r="W53" s="133"/>
      <c r="X53" s="133"/>
      <c r="Y53" s="133"/>
      <c r="Z53" s="133"/>
      <c r="AA53" s="133"/>
      <c r="AB53" s="133"/>
      <c r="AC53" s="133"/>
      <c r="AD53" s="133"/>
      <c r="AE53" s="133"/>
      <c r="AF53" s="133"/>
      <c r="AG53" s="133"/>
      <c r="AH53" s="133"/>
      <c r="AI53" s="133"/>
      <c r="AJ53" s="133"/>
      <c r="AK53" s="133"/>
      <c r="AL53" s="133"/>
      <c r="AM53" s="133"/>
      <c r="AN53" s="133"/>
      <c r="AO53" s="133"/>
      <c r="AP53" s="172" t="str">
        <f t="shared" si="6"/>
        <v/>
      </c>
      <c r="AQ53" s="173" t="str">
        <f t="shared" si="8"/>
        <v/>
      </c>
      <c r="AR53" s="4" t="str">
        <f>IFERROR(VLOOKUP(B53,Mapping!$A$2:$C$52,3,FALSE),"")</f>
        <v/>
      </c>
      <c r="AS53" s="3" t="str">
        <f t="shared" si="7"/>
        <v/>
      </c>
      <c r="AT53" s="4" t="str">
        <f t="shared" si="4"/>
        <v/>
      </c>
      <c r="AV53" s="9" t="str">
        <f>IF(AT53="","",SUMIF(Master!$AR$4:$AR$64,AR53,Master!$AT$4:$AT$64))</f>
        <v/>
      </c>
      <c r="AW53" s="158" t="str">
        <f>IF(COUNTIFS(Master!$AR$4:$AR$64,AR53,Master!$AS$4:$AS$64,"*I*")&gt;0,"I","")&amp;IF(COUNTIFS(Master!$AR$4:$AR$64,AR53,Master!$AS$4:$AS$64,"*D*")&gt;0,"D","")&amp;IF(COUNTIFS(Master!$AR$4:$AR$64,AR53,Master!$AS$4:$AS$64,"*A*")&gt;0,"A","")</f>
        <v/>
      </c>
      <c r="AX53" s="160" t="str">
        <f t="shared" ref="AX53:BD64" si="11">IF(COUNTIF($J53:$AO53,AX$3)=0,"",COUNTIF($J53:$AO53,AX$3))</f>
        <v/>
      </c>
      <c r="AY53" s="160" t="str">
        <f t="shared" si="11"/>
        <v/>
      </c>
      <c r="AZ53" s="160" t="str">
        <f t="shared" si="11"/>
        <v/>
      </c>
      <c r="BA53" s="160" t="str">
        <f t="shared" si="11"/>
        <v/>
      </c>
      <c r="BB53" s="160" t="str">
        <f t="shared" si="11"/>
        <v/>
      </c>
      <c r="BC53" s="160" t="str">
        <f t="shared" si="11"/>
        <v/>
      </c>
      <c r="BD53" s="160" t="str">
        <f t="shared" si="11"/>
        <v/>
      </c>
    </row>
    <row r="54" spans="1:56" thickBot="1" x14ac:dyDescent="0.25">
      <c r="A54" s="136"/>
      <c r="B54" s="137"/>
      <c r="C54" s="139"/>
      <c r="D54" s="137"/>
      <c r="E54" s="137"/>
      <c r="F54" s="137"/>
      <c r="G54" s="137"/>
      <c r="H54" s="137"/>
      <c r="I54" s="125"/>
      <c r="J54" s="133"/>
      <c r="K54" s="133"/>
      <c r="L54" s="133"/>
      <c r="M54" s="133"/>
      <c r="N54" s="133"/>
      <c r="O54" s="133"/>
      <c r="P54" s="133"/>
      <c r="Q54" s="133"/>
      <c r="R54" s="133"/>
      <c r="S54" s="133"/>
      <c r="T54" s="133"/>
      <c r="U54" s="133"/>
      <c r="V54" s="133"/>
      <c r="W54" s="133"/>
      <c r="X54" s="133"/>
      <c r="Y54" s="133"/>
      <c r="Z54" s="133"/>
      <c r="AA54" s="133"/>
      <c r="AB54" s="133"/>
      <c r="AC54" s="133"/>
      <c r="AD54" s="133"/>
      <c r="AE54" s="133"/>
      <c r="AF54" s="133"/>
      <c r="AG54" s="133"/>
      <c r="AH54" s="133"/>
      <c r="AI54" s="133"/>
      <c r="AJ54" s="133"/>
      <c r="AK54" s="133"/>
      <c r="AL54" s="133"/>
      <c r="AM54" s="133"/>
      <c r="AN54" s="133"/>
      <c r="AO54" s="133"/>
      <c r="AP54" s="172" t="str">
        <f t="shared" si="6"/>
        <v/>
      </c>
      <c r="AQ54" s="173" t="str">
        <f t="shared" si="8"/>
        <v/>
      </c>
      <c r="AR54" s="4" t="str">
        <f>IFERROR(VLOOKUP(B54,Mapping!$A$2:$C$52,3,FALSE),"")</f>
        <v/>
      </c>
      <c r="AS54" s="3" t="str">
        <f t="shared" si="7"/>
        <v/>
      </c>
      <c r="AT54" s="4" t="str">
        <f t="shared" si="4"/>
        <v/>
      </c>
      <c r="AV54" s="9" t="str">
        <f>IF(AT54="","",SUMIF(Master!$AR$4:$AR$64,AR54,Master!$AT$4:$AT$64))</f>
        <v/>
      </c>
      <c r="AW54" s="158" t="str">
        <f>IF(COUNTIFS(Master!$AR$4:$AR$64,AR54,Master!$AS$4:$AS$64,"*I*")&gt;0,"I","")&amp;IF(COUNTIFS(Master!$AR$4:$AR$64,AR54,Master!$AS$4:$AS$64,"*D*")&gt;0,"D","")&amp;IF(COUNTIFS(Master!$AR$4:$AR$64,AR54,Master!$AS$4:$AS$64,"*A*")&gt;0,"A","")</f>
        <v/>
      </c>
      <c r="AX54" s="160" t="str">
        <f t="shared" si="11"/>
        <v/>
      </c>
      <c r="AY54" s="160" t="str">
        <f t="shared" si="11"/>
        <v/>
      </c>
      <c r="AZ54" s="160" t="str">
        <f t="shared" si="11"/>
        <v/>
      </c>
      <c r="BA54" s="160" t="str">
        <f t="shared" si="11"/>
        <v/>
      </c>
      <c r="BB54" s="160" t="str">
        <f t="shared" si="11"/>
        <v/>
      </c>
      <c r="BC54" s="160" t="str">
        <f t="shared" si="11"/>
        <v/>
      </c>
      <c r="BD54" s="160" t="str">
        <f t="shared" si="11"/>
        <v/>
      </c>
    </row>
    <row r="55" spans="1:56" thickBot="1" x14ac:dyDescent="0.25">
      <c r="A55" s="136"/>
      <c r="B55" s="137"/>
      <c r="C55" s="139"/>
      <c r="D55" s="137"/>
      <c r="E55" s="137"/>
      <c r="F55" s="137"/>
      <c r="G55" s="137"/>
      <c r="H55" s="137"/>
      <c r="I55" s="125"/>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72" t="str">
        <f t="shared" si="6"/>
        <v/>
      </c>
      <c r="AQ55" s="173" t="str">
        <f t="shared" si="8"/>
        <v/>
      </c>
      <c r="AR55" s="4" t="str">
        <f>IFERROR(VLOOKUP(B55,Mapping!$A$2:$C$52,3,FALSE),"")</f>
        <v/>
      </c>
      <c r="AS55" s="3" t="str">
        <f t="shared" si="7"/>
        <v/>
      </c>
      <c r="AT55" s="4" t="str">
        <f t="shared" si="4"/>
        <v/>
      </c>
      <c r="AV55" s="9" t="str">
        <f>IF(AT55="","",SUMIF(Master!$AR$4:$AR$64,AR55,Master!$AT$4:$AT$64))</f>
        <v/>
      </c>
      <c r="AW55" s="158" t="str">
        <f>IF(COUNTIFS(Master!$AR$4:$AR$64,AR55,Master!$AS$4:$AS$64,"*I*")&gt;0,"I","")&amp;IF(COUNTIFS(Master!$AR$4:$AR$64,AR55,Master!$AS$4:$AS$64,"*D*")&gt;0,"D","")&amp;IF(COUNTIFS(Master!$AR$4:$AR$64,AR55,Master!$AS$4:$AS$64,"*A*")&gt;0,"A","")</f>
        <v/>
      </c>
      <c r="AX55" s="160" t="str">
        <f t="shared" si="11"/>
        <v/>
      </c>
      <c r="AY55" s="160" t="str">
        <f t="shared" si="11"/>
        <v/>
      </c>
      <c r="AZ55" s="160" t="str">
        <f t="shared" si="11"/>
        <v/>
      </c>
      <c r="BA55" s="160" t="str">
        <f t="shared" si="11"/>
        <v/>
      </c>
      <c r="BB55" s="160" t="str">
        <f t="shared" si="11"/>
        <v/>
      </c>
      <c r="BC55" s="160" t="str">
        <f t="shared" si="11"/>
        <v/>
      </c>
      <c r="BD55" s="160" t="str">
        <f t="shared" si="11"/>
        <v/>
      </c>
    </row>
    <row r="56" spans="1:56" thickBot="1" x14ac:dyDescent="0.25">
      <c r="A56" s="136"/>
      <c r="B56" s="137"/>
      <c r="C56" s="139"/>
      <c r="D56" s="137"/>
      <c r="E56" s="137"/>
      <c r="F56" s="137"/>
      <c r="G56" s="137"/>
      <c r="H56" s="137"/>
      <c r="I56" s="125"/>
      <c r="J56" s="133"/>
      <c r="K56" s="133"/>
      <c r="L56" s="133"/>
      <c r="M56" s="133"/>
      <c r="N56" s="133"/>
      <c r="O56" s="133"/>
      <c r="P56" s="133"/>
      <c r="Q56" s="133"/>
      <c r="R56" s="133"/>
      <c r="S56" s="133"/>
      <c r="T56" s="133"/>
      <c r="U56" s="133"/>
      <c r="V56" s="133"/>
      <c r="W56" s="133"/>
      <c r="X56" s="133"/>
      <c r="Y56" s="133"/>
      <c r="Z56" s="133"/>
      <c r="AA56" s="133"/>
      <c r="AB56" s="133"/>
      <c r="AC56" s="133"/>
      <c r="AD56" s="133"/>
      <c r="AE56" s="133"/>
      <c r="AF56" s="133"/>
      <c r="AG56" s="133"/>
      <c r="AH56" s="133"/>
      <c r="AI56" s="133"/>
      <c r="AJ56" s="133"/>
      <c r="AK56" s="133"/>
      <c r="AL56" s="133"/>
      <c r="AM56" s="133"/>
      <c r="AN56" s="133"/>
      <c r="AO56" s="133"/>
      <c r="AP56" s="172" t="str">
        <f t="shared" si="6"/>
        <v/>
      </c>
      <c r="AQ56" s="173" t="str">
        <f t="shared" si="8"/>
        <v/>
      </c>
      <c r="AR56" s="4" t="str">
        <f>IFERROR(VLOOKUP(B56,Mapping!$A$2:$C$52,3,FALSE),"")</f>
        <v/>
      </c>
      <c r="AS56" s="3" t="str">
        <f t="shared" si="7"/>
        <v/>
      </c>
      <c r="AT56" s="4" t="str">
        <f t="shared" si="4"/>
        <v/>
      </c>
      <c r="AV56" s="9" t="str">
        <f>IF(AT56="","",SUMIF(Master!$AR$4:$AR$64,AR56,Master!$AT$4:$AT$64))</f>
        <v/>
      </c>
      <c r="AW56" s="158" t="str">
        <f>IF(COUNTIFS(Master!$AR$4:$AR$64,AR56,Master!$AS$4:$AS$64,"*I*")&gt;0,"I","")&amp;IF(COUNTIFS(Master!$AR$4:$AR$64,AR56,Master!$AS$4:$AS$64,"*D*")&gt;0,"D","")&amp;IF(COUNTIFS(Master!$AR$4:$AR$64,AR56,Master!$AS$4:$AS$64,"*A*")&gt;0,"A","")</f>
        <v/>
      </c>
      <c r="AX56" s="160" t="str">
        <f t="shared" si="11"/>
        <v/>
      </c>
      <c r="AY56" s="160" t="str">
        <f t="shared" si="11"/>
        <v/>
      </c>
      <c r="AZ56" s="160" t="str">
        <f t="shared" si="11"/>
        <v/>
      </c>
      <c r="BA56" s="160" t="str">
        <f t="shared" si="11"/>
        <v/>
      </c>
      <c r="BB56" s="160" t="str">
        <f t="shared" si="11"/>
        <v/>
      </c>
      <c r="BC56" s="160" t="str">
        <f t="shared" si="11"/>
        <v/>
      </c>
      <c r="BD56" s="160" t="str">
        <f t="shared" si="11"/>
        <v/>
      </c>
    </row>
    <row r="57" spans="1:56" thickBot="1" x14ac:dyDescent="0.25">
      <c r="A57" s="136"/>
      <c r="B57" s="137"/>
      <c r="C57" s="139"/>
      <c r="D57" s="137"/>
      <c r="E57" s="137"/>
      <c r="F57" s="137"/>
      <c r="G57" s="137"/>
      <c r="H57" s="137"/>
      <c r="I57" s="125"/>
      <c r="J57" s="133"/>
      <c r="K57" s="133"/>
      <c r="L57" s="133"/>
      <c r="M57" s="133"/>
      <c r="N57" s="133"/>
      <c r="O57" s="133"/>
      <c r="P57" s="133"/>
      <c r="Q57" s="133"/>
      <c r="R57" s="133"/>
      <c r="S57" s="133"/>
      <c r="T57" s="133"/>
      <c r="U57" s="133"/>
      <c r="V57" s="133"/>
      <c r="W57" s="133"/>
      <c r="X57" s="133"/>
      <c r="Y57" s="133"/>
      <c r="Z57" s="133"/>
      <c r="AA57" s="133"/>
      <c r="AB57" s="133"/>
      <c r="AC57" s="133"/>
      <c r="AD57" s="133"/>
      <c r="AE57" s="133"/>
      <c r="AF57" s="133"/>
      <c r="AG57" s="133"/>
      <c r="AH57" s="133"/>
      <c r="AI57" s="133"/>
      <c r="AJ57" s="133"/>
      <c r="AK57" s="133"/>
      <c r="AL57" s="133"/>
      <c r="AM57" s="133"/>
      <c r="AN57" s="133"/>
      <c r="AO57" s="133"/>
      <c r="AP57" s="172" t="str">
        <f t="shared" si="6"/>
        <v/>
      </c>
      <c r="AQ57" s="173" t="str">
        <f t="shared" si="8"/>
        <v/>
      </c>
      <c r="AR57" s="4" t="str">
        <f>IFERROR(VLOOKUP(B57,Mapping!$A$2:$C$52,3,FALSE),"")</f>
        <v/>
      </c>
      <c r="AS57" s="3" t="str">
        <f t="shared" si="7"/>
        <v/>
      </c>
      <c r="AT57" s="4" t="str">
        <f t="shared" si="4"/>
        <v/>
      </c>
      <c r="AV57" s="9" t="str">
        <f>IF(AT57="","",SUMIF(Master!$AR$4:$AR$64,AR57,Master!$AT$4:$AT$64))</f>
        <v/>
      </c>
      <c r="AW57" s="158" t="str">
        <f>IF(COUNTIFS(Master!$AR$4:$AR$64,AR57,Master!$AS$4:$AS$64,"*I*")&gt;0,"I","")&amp;IF(COUNTIFS(Master!$AR$4:$AR$64,AR57,Master!$AS$4:$AS$64,"*D*")&gt;0,"D","")&amp;IF(COUNTIFS(Master!$AR$4:$AR$64,AR57,Master!$AS$4:$AS$64,"*A*")&gt;0,"A","")</f>
        <v/>
      </c>
      <c r="AX57" s="160" t="str">
        <f t="shared" si="11"/>
        <v/>
      </c>
      <c r="AY57" s="160" t="str">
        <f t="shared" si="11"/>
        <v/>
      </c>
      <c r="AZ57" s="160" t="str">
        <f t="shared" si="11"/>
        <v/>
      </c>
      <c r="BA57" s="160" t="str">
        <f t="shared" si="11"/>
        <v/>
      </c>
      <c r="BB57" s="160" t="str">
        <f t="shared" si="11"/>
        <v/>
      </c>
      <c r="BC57" s="160" t="str">
        <f t="shared" si="11"/>
        <v/>
      </c>
      <c r="BD57" s="160" t="str">
        <f t="shared" si="11"/>
        <v/>
      </c>
    </row>
    <row r="58" spans="1:56" thickBot="1" x14ac:dyDescent="0.25">
      <c r="A58" s="136"/>
      <c r="B58" s="137"/>
      <c r="C58" s="139"/>
      <c r="D58" s="137"/>
      <c r="E58" s="137"/>
      <c r="F58" s="137"/>
      <c r="G58" s="137"/>
      <c r="H58" s="137"/>
      <c r="I58" s="125"/>
      <c r="J58" s="133"/>
      <c r="K58" s="133"/>
      <c r="L58" s="133"/>
      <c r="M58" s="133"/>
      <c r="N58" s="133"/>
      <c r="O58" s="133"/>
      <c r="P58" s="133"/>
      <c r="Q58" s="133"/>
      <c r="R58" s="133"/>
      <c r="S58" s="133"/>
      <c r="T58" s="133"/>
      <c r="U58" s="133"/>
      <c r="V58" s="133"/>
      <c r="W58" s="133"/>
      <c r="X58" s="133"/>
      <c r="Y58" s="133"/>
      <c r="Z58" s="133"/>
      <c r="AA58" s="133"/>
      <c r="AB58" s="133"/>
      <c r="AC58" s="133"/>
      <c r="AD58" s="133"/>
      <c r="AE58" s="133"/>
      <c r="AF58" s="133"/>
      <c r="AG58" s="133"/>
      <c r="AH58" s="133"/>
      <c r="AI58" s="133"/>
      <c r="AJ58" s="133"/>
      <c r="AK58" s="133"/>
      <c r="AL58" s="133"/>
      <c r="AM58" s="133"/>
      <c r="AN58" s="133"/>
      <c r="AO58" s="133"/>
      <c r="AP58" s="172" t="str">
        <f t="shared" si="6"/>
        <v/>
      </c>
      <c r="AQ58" s="173" t="str">
        <f t="shared" si="8"/>
        <v/>
      </c>
      <c r="AR58" s="4" t="str">
        <f>IFERROR(VLOOKUP(B58,Mapping!$A$2:$C$52,3,FALSE),"")</f>
        <v/>
      </c>
      <c r="AS58" s="3" t="str">
        <f t="shared" si="7"/>
        <v/>
      </c>
      <c r="AT58" s="4" t="str">
        <f t="shared" si="4"/>
        <v/>
      </c>
      <c r="AV58" s="9" t="str">
        <f>IF(AT58="","",SUMIF(Master!$AR$4:$AR$64,AR58,Master!$AT$4:$AT$64))</f>
        <v/>
      </c>
      <c r="AW58" s="158" t="str">
        <f>IF(COUNTIFS(Master!$AR$4:$AR$64,AR58,Master!$AS$4:$AS$64,"*I*")&gt;0,"I","")&amp;IF(COUNTIFS(Master!$AR$4:$AR$64,AR58,Master!$AS$4:$AS$64,"*D*")&gt;0,"D","")&amp;IF(COUNTIFS(Master!$AR$4:$AR$64,AR58,Master!$AS$4:$AS$64,"*A*")&gt;0,"A","")</f>
        <v/>
      </c>
      <c r="AX58" s="160" t="str">
        <f t="shared" si="11"/>
        <v/>
      </c>
      <c r="AY58" s="160" t="str">
        <f t="shared" si="11"/>
        <v/>
      </c>
      <c r="AZ58" s="160" t="str">
        <f t="shared" si="11"/>
        <v/>
      </c>
      <c r="BA58" s="160" t="str">
        <f t="shared" si="11"/>
        <v/>
      </c>
      <c r="BB58" s="160" t="str">
        <f t="shared" si="11"/>
        <v/>
      </c>
      <c r="BC58" s="160" t="str">
        <f t="shared" si="11"/>
        <v/>
      </c>
      <c r="BD58" s="160" t="str">
        <f t="shared" si="11"/>
        <v/>
      </c>
    </row>
    <row r="59" spans="1:56" thickBot="1" x14ac:dyDescent="0.25">
      <c r="A59" s="136"/>
      <c r="B59" s="137"/>
      <c r="C59" s="139"/>
      <c r="D59" s="137"/>
      <c r="E59" s="137"/>
      <c r="F59" s="137"/>
      <c r="G59" s="137"/>
      <c r="H59" s="137"/>
      <c r="I59" s="125"/>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33"/>
      <c r="AH59" s="133"/>
      <c r="AI59" s="133"/>
      <c r="AJ59" s="133"/>
      <c r="AK59" s="133"/>
      <c r="AL59" s="133"/>
      <c r="AM59" s="133"/>
      <c r="AN59" s="133"/>
      <c r="AO59" s="133"/>
      <c r="AP59" s="172" t="str">
        <f t="shared" si="6"/>
        <v/>
      </c>
      <c r="AQ59" s="173" t="str">
        <f t="shared" si="8"/>
        <v/>
      </c>
      <c r="AR59" s="4" t="str">
        <f>IFERROR(VLOOKUP(B59,Mapping!$A$2:$C$52,3,FALSE),"")</f>
        <v/>
      </c>
      <c r="AS59" s="3" t="str">
        <f t="shared" si="7"/>
        <v/>
      </c>
      <c r="AT59" s="4" t="str">
        <f t="shared" si="4"/>
        <v/>
      </c>
      <c r="AV59" s="9" t="str">
        <f>IF(AT59="","",SUMIF(Master!$AR$4:$AR$64,AR59,Master!$AT$4:$AT$64))</f>
        <v/>
      </c>
      <c r="AW59" s="158" t="str">
        <f>IF(COUNTIFS(Master!$AR$4:$AR$64,AR59,Master!$AS$4:$AS$64,"*I*")&gt;0,"I","")&amp;IF(COUNTIFS(Master!$AR$4:$AR$64,AR59,Master!$AS$4:$AS$64,"*D*")&gt;0,"D","")&amp;IF(COUNTIFS(Master!$AR$4:$AR$64,AR59,Master!$AS$4:$AS$64,"*A*")&gt;0,"A","")</f>
        <v/>
      </c>
      <c r="AX59" s="160" t="str">
        <f t="shared" si="11"/>
        <v/>
      </c>
      <c r="AY59" s="160" t="str">
        <f t="shared" si="11"/>
        <v/>
      </c>
      <c r="AZ59" s="160" t="str">
        <f t="shared" si="11"/>
        <v/>
      </c>
      <c r="BA59" s="160" t="str">
        <f t="shared" si="11"/>
        <v/>
      </c>
      <c r="BB59" s="160" t="str">
        <f t="shared" si="11"/>
        <v/>
      </c>
      <c r="BC59" s="160" t="str">
        <f t="shared" si="11"/>
        <v/>
      </c>
      <c r="BD59" s="160" t="str">
        <f t="shared" si="11"/>
        <v/>
      </c>
    </row>
    <row r="60" spans="1:56" thickBot="1" x14ac:dyDescent="0.25">
      <c r="A60" s="136"/>
      <c r="B60" s="137"/>
      <c r="C60" s="139"/>
      <c r="D60" s="137"/>
      <c r="E60" s="137"/>
      <c r="F60" s="137"/>
      <c r="G60" s="137"/>
      <c r="H60" s="137"/>
      <c r="I60" s="125"/>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33"/>
      <c r="AH60" s="133"/>
      <c r="AI60" s="133"/>
      <c r="AJ60" s="133"/>
      <c r="AK60" s="133"/>
      <c r="AL60" s="133"/>
      <c r="AM60" s="133"/>
      <c r="AN60" s="133"/>
      <c r="AO60" s="133"/>
      <c r="AP60" s="172" t="str">
        <f t="shared" si="6"/>
        <v/>
      </c>
      <c r="AQ60" s="173" t="str">
        <f t="shared" si="8"/>
        <v/>
      </c>
      <c r="AR60" s="4" t="str">
        <f>IFERROR(VLOOKUP(B60,Mapping!$A$2:$C$52,3,FALSE),"")</f>
        <v/>
      </c>
      <c r="AS60" s="3" t="str">
        <f t="shared" si="7"/>
        <v/>
      </c>
      <c r="AT60" s="4" t="str">
        <f t="shared" si="4"/>
        <v/>
      </c>
      <c r="AV60" s="9" t="str">
        <f>IF(AT60="","",SUMIF(Master!$AR$4:$AR$64,AR60,Master!$AT$4:$AT$64))</f>
        <v/>
      </c>
      <c r="AW60" s="158" t="str">
        <f>IF(COUNTIFS(Master!$AR$4:$AR$64,AR60,Master!$AS$4:$AS$64,"*I*")&gt;0,"I","")&amp;IF(COUNTIFS(Master!$AR$4:$AR$64,AR60,Master!$AS$4:$AS$64,"*D*")&gt;0,"D","")&amp;IF(COUNTIFS(Master!$AR$4:$AR$64,AR60,Master!$AS$4:$AS$64,"*A*")&gt;0,"A","")</f>
        <v/>
      </c>
      <c r="AX60" s="160" t="str">
        <f t="shared" si="11"/>
        <v/>
      </c>
      <c r="AY60" s="160" t="str">
        <f t="shared" si="11"/>
        <v/>
      </c>
      <c r="AZ60" s="160" t="str">
        <f t="shared" si="11"/>
        <v/>
      </c>
      <c r="BA60" s="160" t="str">
        <f t="shared" si="11"/>
        <v/>
      </c>
      <c r="BB60" s="160" t="str">
        <f t="shared" si="11"/>
        <v/>
      </c>
      <c r="BC60" s="160" t="str">
        <f t="shared" si="11"/>
        <v/>
      </c>
      <c r="BD60" s="160" t="str">
        <f t="shared" si="11"/>
        <v/>
      </c>
    </row>
    <row r="61" spans="1:56" thickBot="1" x14ac:dyDescent="0.25">
      <c r="A61" s="136"/>
      <c r="B61" s="137"/>
      <c r="C61" s="139"/>
      <c r="D61" s="137"/>
      <c r="E61" s="137"/>
      <c r="F61" s="137"/>
      <c r="G61" s="137"/>
      <c r="H61" s="137"/>
      <c r="I61" s="125"/>
      <c r="J61" s="133"/>
      <c r="K61" s="133"/>
      <c r="L61" s="133"/>
      <c r="M61" s="133"/>
      <c r="N61" s="133"/>
      <c r="O61" s="133"/>
      <c r="P61" s="133"/>
      <c r="Q61" s="133"/>
      <c r="R61" s="133"/>
      <c r="S61" s="133"/>
      <c r="T61" s="133"/>
      <c r="U61" s="133"/>
      <c r="V61" s="133"/>
      <c r="W61" s="133"/>
      <c r="X61" s="133"/>
      <c r="Y61" s="133"/>
      <c r="Z61" s="133"/>
      <c r="AA61" s="133"/>
      <c r="AB61" s="133"/>
      <c r="AC61" s="133"/>
      <c r="AD61" s="133"/>
      <c r="AE61" s="133"/>
      <c r="AF61" s="133"/>
      <c r="AG61" s="133"/>
      <c r="AH61" s="133"/>
      <c r="AI61" s="133"/>
      <c r="AJ61" s="133"/>
      <c r="AK61" s="133"/>
      <c r="AL61" s="133"/>
      <c r="AM61" s="133"/>
      <c r="AN61" s="133"/>
      <c r="AO61" s="133"/>
      <c r="AP61" s="172" t="str">
        <f t="shared" si="6"/>
        <v/>
      </c>
      <c r="AQ61" s="173" t="str">
        <f t="shared" si="8"/>
        <v/>
      </c>
      <c r="AR61" s="4" t="str">
        <f>IFERROR(VLOOKUP(B61,Mapping!$A$2:$C$52,3,FALSE),"")</f>
        <v/>
      </c>
      <c r="AS61" s="3" t="str">
        <f t="shared" si="7"/>
        <v/>
      </c>
      <c r="AT61" s="4" t="str">
        <f t="shared" si="4"/>
        <v/>
      </c>
      <c r="AV61" s="9" t="str">
        <f>IF(AT61="","",SUMIF(Master!$AR$4:$AR$64,AR61,Master!$AT$4:$AT$64))</f>
        <v/>
      </c>
      <c r="AW61" s="158" t="str">
        <f>IF(COUNTIFS(Master!$AR$4:$AR$64,AR61,Master!$AS$4:$AS$64,"*I*")&gt;0,"I","")&amp;IF(COUNTIFS(Master!$AR$4:$AR$64,AR61,Master!$AS$4:$AS$64,"*D*")&gt;0,"D","")&amp;IF(COUNTIFS(Master!$AR$4:$AR$64,AR61,Master!$AS$4:$AS$64,"*A*")&gt;0,"A","")</f>
        <v/>
      </c>
      <c r="AX61" s="160" t="str">
        <f t="shared" si="11"/>
        <v/>
      </c>
      <c r="AY61" s="160" t="str">
        <f t="shared" si="11"/>
        <v/>
      </c>
      <c r="AZ61" s="160" t="str">
        <f t="shared" si="11"/>
        <v/>
      </c>
      <c r="BA61" s="160" t="str">
        <f t="shared" si="11"/>
        <v/>
      </c>
      <c r="BB61" s="160" t="str">
        <f t="shared" si="11"/>
        <v/>
      </c>
      <c r="BC61" s="160" t="str">
        <f t="shared" si="11"/>
        <v/>
      </c>
      <c r="BD61" s="160" t="str">
        <f t="shared" si="11"/>
        <v/>
      </c>
    </row>
    <row r="62" spans="1:56" thickBot="1" x14ac:dyDescent="0.25">
      <c r="A62" s="136"/>
      <c r="B62" s="137"/>
      <c r="C62" s="139"/>
      <c r="D62" s="137"/>
      <c r="E62" s="137"/>
      <c r="F62" s="137"/>
      <c r="G62" s="137"/>
      <c r="H62" s="137"/>
      <c r="I62" s="125"/>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33"/>
      <c r="AH62" s="133"/>
      <c r="AI62" s="133"/>
      <c r="AJ62" s="133"/>
      <c r="AK62" s="133"/>
      <c r="AL62" s="133"/>
      <c r="AM62" s="133"/>
      <c r="AN62" s="133"/>
      <c r="AO62" s="133"/>
      <c r="AP62" s="172" t="str">
        <f t="shared" si="6"/>
        <v/>
      </c>
      <c r="AQ62" s="173" t="str">
        <f t="shared" si="8"/>
        <v/>
      </c>
      <c r="AR62" s="4" t="str">
        <f>IFERROR(VLOOKUP(B62,Mapping!$A$2:$C$52,3,FALSE),"")</f>
        <v/>
      </c>
      <c r="AS62" s="3" t="str">
        <f t="shared" si="7"/>
        <v/>
      </c>
      <c r="AT62" s="4" t="str">
        <f t="shared" si="4"/>
        <v/>
      </c>
      <c r="AV62" s="9" t="str">
        <f>IF(AT62="","",SUMIF(Master!$AR$4:$AR$64,AR62,Master!$AT$4:$AT$64))</f>
        <v/>
      </c>
      <c r="AW62" s="158" t="str">
        <f>IF(COUNTIFS(Master!$AR$4:$AR$64,AR62,Master!$AS$4:$AS$64,"*I*")&gt;0,"I","")&amp;IF(COUNTIFS(Master!$AR$4:$AR$64,AR62,Master!$AS$4:$AS$64,"*D*")&gt;0,"D","")&amp;IF(COUNTIFS(Master!$AR$4:$AR$64,AR62,Master!$AS$4:$AS$64,"*A*")&gt;0,"A","")</f>
        <v/>
      </c>
      <c r="AX62" s="160" t="str">
        <f t="shared" si="11"/>
        <v/>
      </c>
      <c r="AY62" s="160" t="str">
        <f t="shared" si="11"/>
        <v/>
      </c>
      <c r="AZ62" s="160" t="str">
        <f t="shared" si="11"/>
        <v/>
      </c>
      <c r="BA62" s="160" t="str">
        <f t="shared" si="11"/>
        <v/>
      </c>
      <c r="BB62" s="160" t="str">
        <f t="shared" si="11"/>
        <v/>
      </c>
      <c r="BC62" s="160" t="str">
        <f t="shared" si="11"/>
        <v/>
      </c>
      <c r="BD62" s="160" t="str">
        <f t="shared" si="11"/>
        <v/>
      </c>
    </row>
    <row r="63" spans="1:56" thickBot="1" x14ac:dyDescent="0.25">
      <c r="A63" s="136"/>
      <c r="B63" s="137"/>
      <c r="C63" s="139"/>
      <c r="D63" s="137"/>
      <c r="E63" s="137"/>
      <c r="F63" s="137"/>
      <c r="G63" s="137"/>
      <c r="H63" s="137"/>
      <c r="I63" s="125"/>
      <c r="J63" s="133"/>
      <c r="K63" s="133"/>
      <c r="L63" s="133"/>
      <c r="M63" s="133"/>
      <c r="N63" s="133"/>
      <c r="O63" s="133"/>
      <c r="P63" s="133"/>
      <c r="Q63" s="133"/>
      <c r="R63" s="133"/>
      <c r="S63" s="133"/>
      <c r="T63" s="133"/>
      <c r="U63" s="133"/>
      <c r="V63" s="133"/>
      <c r="W63" s="133"/>
      <c r="X63" s="133"/>
      <c r="Y63" s="133"/>
      <c r="Z63" s="133"/>
      <c r="AA63" s="133"/>
      <c r="AB63" s="133"/>
      <c r="AC63" s="133"/>
      <c r="AD63" s="133"/>
      <c r="AE63" s="133"/>
      <c r="AF63" s="133"/>
      <c r="AG63" s="133"/>
      <c r="AH63" s="133"/>
      <c r="AI63" s="133"/>
      <c r="AJ63" s="133"/>
      <c r="AK63" s="133"/>
      <c r="AL63" s="133"/>
      <c r="AM63" s="133"/>
      <c r="AN63" s="133"/>
      <c r="AO63" s="133"/>
      <c r="AP63" s="172" t="str">
        <f t="shared" si="6"/>
        <v/>
      </c>
      <c r="AQ63" s="173" t="str">
        <f t="shared" si="8"/>
        <v/>
      </c>
      <c r="AR63" s="4" t="str">
        <f>IFERROR(VLOOKUP(B63,Mapping!$A$2:$C$52,3,FALSE),"")</f>
        <v/>
      </c>
      <c r="AS63" s="3" t="str">
        <f t="shared" si="7"/>
        <v/>
      </c>
      <c r="AT63" s="4" t="str">
        <f t="shared" si="4"/>
        <v/>
      </c>
      <c r="AV63" s="9" t="str">
        <f>IF(AT63="","",SUMIF(Master!$AR$4:$AR$64,AR63,Master!$AT$4:$AT$64))</f>
        <v/>
      </c>
      <c r="AW63" s="158" t="str">
        <f>IF(COUNTIFS(Master!$AR$4:$AR$64,AR63,Master!$AS$4:$AS$64,"*I*")&gt;0,"I","")&amp;IF(COUNTIFS(Master!$AR$4:$AR$64,AR63,Master!$AS$4:$AS$64,"*D*")&gt;0,"D","")&amp;IF(COUNTIFS(Master!$AR$4:$AR$64,AR63,Master!$AS$4:$AS$64,"*A*")&gt;0,"A","")</f>
        <v/>
      </c>
      <c r="AX63" s="160" t="str">
        <f t="shared" si="11"/>
        <v/>
      </c>
      <c r="AY63" s="160" t="str">
        <f t="shared" si="11"/>
        <v/>
      </c>
      <c r="AZ63" s="160" t="str">
        <f t="shared" si="11"/>
        <v/>
      </c>
      <c r="BA63" s="160" t="str">
        <f t="shared" si="11"/>
        <v/>
      </c>
      <c r="BB63" s="160" t="str">
        <f t="shared" si="11"/>
        <v/>
      </c>
      <c r="BC63" s="160" t="str">
        <f t="shared" si="11"/>
        <v/>
      </c>
      <c r="BD63" s="160" t="str">
        <f t="shared" si="11"/>
        <v/>
      </c>
    </row>
    <row r="64" spans="1:56" thickBot="1" x14ac:dyDescent="0.25">
      <c r="A64" s="136"/>
      <c r="B64" s="137"/>
      <c r="C64" s="137"/>
      <c r="D64" s="137"/>
      <c r="E64" s="137"/>
      <c r="F64" s="137"/>
      <c r="G64" s="137"/>
      <c r="H64" s="137"/>
      <c r="I64" s="125"/>
      <c r="J64" s="133"/>
      <c r="K64" s="133"/>
      <c r="L64" s="133"/>
      <c r="M64" s="133"/>
      <c r="N64" s="133"/>
      <c r="O64" s="133"/>
      <c r="P64" s="133"/>
      <c r="Q64" s="133"/>
      <c r="R64" s="133"/>
      <c r="S64" s="133"/>
      <c r="T64" s="133"/>
      <c r="U64" s="133"/>
      <c r="V64" s="133"/>
      <c r="W64" s="133"/>
      <c r="X64" s="133"/>
      <c r="Y64" s="133"/>
      <c r="Z64" s="133"/>
      <c r="AA64" s="133"/>
      <c r="AB64" s="133"/>
      <c r="AC64" s="133"/>
      <c r="AD64" s="133"/>
      <c r="AE64" s="133"/>
      <c r="AF64" s="133"/>
      <c r="AG64" s="133"/>
      <c r="AH64" s="133"/>
      <c r="AI64" s="133"/>
      <c r="AJ64" s="133"/>
      <c r="AK64" s="133"/>
      <c r="AL64" s="133"/>
      <c r="AM64" s="133"/>
      <c r="AN64" s="133"/>
      <c r="AO64" s="133"/>
      <c r="AP64" s="172" t="str">
        <f t="shared" si="6"/>
        <v/>
      </c>
      <c r="AQ64" s="173" t="str">
        <f t="shared" si="8"/>
        <v/>
      </c>
      <c r="AR64" s="4" t="str">
        <f>IFERROR(VLOOKUP(B64,Mapping!$A$2:$C$52,3,FALSE),"")</f>
        <v/>
      </c>
      <c r="AS64" s="3" t="str">
        <f t="shared" si="7"/>
        <v/>
      </c>
      <c r="AT64" s="4" t="str">
        <f t="shared" si="4"/>
        <v/>
      </c>
      <c r="AV64" s="9" t="str">
        <f>IF(AT64="","",SUMIF(Master!$AR$4:$AR$64,AR64,Master!$AT$4:$AT$64))</f>
        <v/>
      </c>
      <c r="AW64" s="158" t="str">
        <f>IF(COUNTIFS(Master!$AR$4:$AR$64,AR64,Master!$AS$4:$AS$64,"*I*")&gt;0,"I","")&amp;IF(COUNTIFS(Master!$AR$4:$AR$64,AR64,Master!$AS$4:$AS$64,"*D*")&gt;0,"D","")&amp;IF(COUNTIFS(Master!$AR$4:$AR$64,AR64,Master!$AS$4:$AS$64,"*A*")&gt;0,"A","")</f>
        <v/>
      </c>
      <c r="AX64" s="160" t="str">
        <f t="shared" si="11"/>
        <v/>
      </c>
      <c r="AY64" s="160" t="str">
        <f t="shared" si="11"/>
        <v/>
      </c>
      <c r="AZ64" s="160" t="str">
        <f t="shared" si="11"/>
        <v/>
      </c>
      <c r="BA64" s="160" t="str">
        <f t="shared" si="11"/>
        <v/>
      </c>
      <c r="BB64" s="160" t="str">
        <f t="shared" si="11"/>
        <v/>
      </c>
      <c r="BC64" s="160" t="str">
        <f t="shared" si="11"/>
        <v/>
      </c>
      <c r="BD64" s="160" t="str">
        <f t="shared" si="11"/>
        <v/>
      </c>
    </row>
    <row r="65" spans="3:41" ht="15" x14ac:dyDescent="0.2">
      <c r="C65" s="9"/>
      <c r="D65" s="9"/>
      <c r="E65" s="9"/>
      <c r="F65" s="9"/>
      <c r="G65" s="9"/>
      <c r="H65" s="9"/>
      <c r="I65" s="31"/>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row>
    <row r="66" spans="3:41" ht="15" x14ac:dyDescent="0.2">
      <c r="C66" s="9"/>
      <c r="D66" s="9"/>
      <c r="E66" s="9"/>
      <c r="F66" s="9"/>
      <c r="G66" s="9"/>
      <c r="H66" s="9"/>
      <c r="I66" s="31"/>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row>
    <row r="67" spans="3:41" ht="15" x14ac:dyDescent="0.2">
      <c r="C67" s="9"/>
      <c r="D67" s="9"/>
      <c r="E67" s="9"/>
      <c r="F67" s="9"/>
      <c r="G67" s="9"/>
      <c r="H67" s="9"/>
      <c r="I67" s="31"/>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row>
    <row r="68" spans="3:41" ht="15" x14ac:dyDescent="0.2">
      <c r="C68" s="9"/>
      <c r="D68" s="9"/>
      <c r="E68" s="9"/>
      <c r="F68" s="9"/>
      <c r="G68" s="9"/>
      <c r="H68" s="9"/>
      <c r="I68" s="31"/>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row>
    <row r="69" spans="3:41" ht="15" x14ac:dyDescent="0.2">
      <c r="C69" s="9"/>
      <c r="D69" s="9"/>
      <c r="E69" s="9"/>
      <c r="F69" s="9"/>
      <c r="G69" s="9"/>
      <c r="H69" s="9"/>
      <c r="I69" s="31"/>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row>
    <row r="70" spans="3:41" ht="15" x14ac:dyDescent="0.2">
      <c r="C70" s="9"/>
      <c r="D70" s="9"/>
      <c r="E70" s="9"/>
      <c r="F70" s="9"/>
      <c r="G70" s="9"/>
      <c r="H70" s="9"/>
      <c r="I70" s="31"/>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row>
    <row r="71" spans="3:41" ht="15" x14ac:dyDescent="0.2">
      <c r="C71" s="9"/>
      <c r="D71" s="9"/>
      <c r="E71" s="9"/>
      <c r="F71" s="9"/>
      <c r="G71" s="9"/>
      <c r="H71" s="9"/>
      <c r="I71" s="31"/>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row>
    <row r="72" spans="3:41" ht="15" x14ac:dyDescent="0.2">
      <c r="C72" s="9"/>
      <c r="D72" s="9"/>
      <c r="E72" s="9"/>
      <c r="F72" s="9"/>
      <c r="G72" s="9"/>
      <c r="H72" s="9"/>
      <c r="I72" s="31"/>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row>
    <row r="73" spans="3:41" ht="15" x14ac:dyDescent="0.2">
      <c r="C73" s="9"/>
      <c r="D73" s="9"/>
      <c r="E73" s="9"/>
      <c r="F73" s="9"/>
      <c r="G73" s="9"/>
      <c r="H73" s="9"/>
      <c r="I73" s="31"/>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row>
    <row r="74" spans="3:41" ht="15" x14ac:dyDescent="0.2">
      <c r="C74" s="9"/>
      <c r="D74" s="9"/>
      <c r="E74" s="9"/>
      <c r="F74" s="9"/>
      <c r="G74" s="9"/>
      <c r="H74" s="9"/>
      <c r="I74" s="31"/>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row>
    <row r="75" spans="3:41" ht="15" x14ac:dyDescent="0.2">
      <c r="C75" s="9"/>
      <c r="D75" s="9"/>
      <c r="E75" s="9"/>
      <c r="F75" s="9"/>
      <c r="G75" s="9"/>
      <c r="H75" s="9"/>
      <c r="I75" s="31"/>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row>
    <row r="76" spans="3:41" ht="15" x14ac:dyDescent="0.2">
      <c r="C76" s="9"/>
      <c r="D76" s="9"/>
      <c r="E76" s="9"/>
      <c r="F76" s="9"/>
      <c r="G76" s="9"/>
      <c r="H76" s="9"/>
      <c r="I76" s="31"/>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row>
    <row r="77" spans="3:41" ht="15" x14ac:dyDescent="0.2">
      <c r="C77" s="9"/>
      <c r="D77" s="9"/>
      <c r="E77" s="9"/>
      <c r="F77" s="9"/>
      <c r="G77" s="9"/>
      <c r="H77" s="9"/>
      <c r="I77" s="31"/>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row>
    <row r="78" spans="3:41" ht="15" x14ac:dyDescent="0.2">
      <c r="C78" s="9"/>
      <c r="D78" s="9"/>
      <c r="E78" s="9"/>
      <c r="F78" s="9"/>
      <c r="G78" s="9"/>
      <c r="H78" s="9"/>
      <c r="I78" s="31"/>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row>
    <row r="79" spans="3:41" ht="15" x14ac:dyDescent="0.2">
      <c r="C79" s="9"/>
      <c r="D79" s="9"/>
      <c r="E79" s="9"/>
      <c r="F79" s="9"/>
      <c r="G79" s="9"/>
      <c r="H79" s="9"/>
      <c r="I79" s="31"/>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row>
    <row r="80" spans="3:41" ht="15" x14ac:dyDescent="0.2">
      <c r="C80" s="9"/>
      <c r="D80" s="9"/>
      <c r="E80" s="9"/>
      <c r="F80" s="9"/>
      <c r="G80" s="9"/>
      <c r="H80" s="9"/>
      <c r="I80" s="31"/>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c r="AN80" s="30"/>
      <c r="AO80" s="30"/>
    </row>
    <row r="81" spans="3:41" ht="15" x14ac:dyDescent="0.2">
      <c r="C81" s="9"/>
      <c r="D81" s="9"/>
      <c r="E81" s="9"/>
      <c r="F81" s="9"/>
      <c r="G81" s="9"/>
      <c r="H81" s="9"/>
      <c r="I81" s="31"/>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row>
    <row r="82" spans="3:41" ht="15" x14ac:dyDescent="0.2">
      <c r="C82" s="9"/>
      <c r="D82" s="9"/>
      <c r="E82" s="9"/>
      <c r="F82" s="9"/>
      <c r="G82" s="9"/>
      <c r="H82" s="9"/>
      <c r="I82" s="31"/>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row>
    <row r="83" spans="3:41" ht="15" x14ac:dyDescent="0.2">
      <c r="C83" s="9"/>
      <c r="D83" s="9"/>
      <c r="E83" s="9"/>
      <c r="F83" s="9"/>
      <c r="G83" s="9"/>
      <c r="H83" s="9"/>
      <c r="I83" s="31"/>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row>
    <row r="84" spans="3:41" ht="15" x14ac:dyDescent="0.2">
      <c r="C84" s="9"/>
      <c r="D84" s="9"/>
      <c r="E84" s="9"/>
      <c r="F84" s="9"/>
      <c r="G84" s="9"/>
      <c r="H84" s="9"/>
      <c r="I84" s="31"/>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c r="AN84" s="30"/>
      <c r="AO84" s="30"/>
    </row>
    <row r="85" spans="3:41" ht="15" x14ac:dyDescent="0.2">
      <c r="C85" s="9"/>
      <c r="D85" s="9"/>
      <c r="E85" s="9"/>
      <c r="F85" s="9"/>
      <c r="G85" s="9"/>
      <c r="H85" s="9"/>
      <c r="I85" s="31"/>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row>
    <row r="86" spans="3:41" ht="15" x14ac:dyDescent="0.2">
      <c r="C86" s="9"/>
      <c r="D86" s="9"/>
      <c r="E86" s="9"/>
      <c r="F86" s="9"/>
      <c r="G86" s="9"/>
      <c r="H86" s="9"/>
      <c r="I86" s="31"/>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row>
    <row r="87" spans="3:41" ht="15" x14ac:dyDescent="0.2">
      <c r="C87" s="9"/>
      <c r="D87" s="9"/>
      <c r="E87" s="9"/>
      <c r="F87" s="9"/>
      <c r="G87" s="9"/>
      <c r="H87" s="9"/>
      <c r="I87" s="31"/>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row>
  </sheetData>
  <mergeCells count="3">
    <mergeCell ref="D1:H1"/>
    <mergeCell ref="AR2:AT2"/>
    <mergeCell ref="AV2:AW2"/>
  </mergeCells>
  <conditionalFormatting sqref="J4:AO64">
    <cfRule type="expression" dxfId="65" priority="5">
      <formula>AND($A4&lt;&gt;"",J$2&lt;&gt;"")</formula>
    </cfRule>
    <cfRule type="expression" dxfId="64" priority="23">
      <formula>J$2=""</formula>
    </cfRule>
  </conditionalFormatting>
  <conditionalFormatting sqref="J3:AO3 AQ3">
    <cfRule type="expression" dxfId="63" priority="22">
      <formula>J2&lt;&gt;""</formula>
    </cfRule>
  </conditionalFormatting>
  <conditionalFormatting sqref="D4:H64">
    <cfRule type="expression" dxfId="62" priority="19">
      <formula>$A4&lt;&gt;""</formula>
    </cfRule>
  </conditionalFormatting>
  <conditionalFormatting sqref="C4:C64">
    <cfRule type="expression" dxfId="61" priority="9">
      <formula>AND(OR(A4&lt;&gt;"",B4&lt;&gt;""),C5="",AP4&lt;&gt;1)</formula>
    </cfRule>
  </conditionalFormatting>
  <conditionalFormatting sqref="B4:B64">
    <cfRule type="expression" dxfId="60" priority="37">
      <formula>AND(B4&lt;&gt;"",COUNTA(J4:AO4)=0)</formula>
    </cfRule>
  </conditionalFormatting>
  <conditionalFormatting sqref="J2:AQ2">
    <cfRule type="expression" dxfId="59" priority="6">
      <formula>AND(J2&lt;&gt;"",COUNTA(J$5:J$64)=0)</formula>
    </cfRule>
  </conditionalFormatting>
  <conditionalFormatting sqref="Z4:AA64 AG4:AI64">
    <cfRule type="expression" dxfId="58" priority="52">
      <formula>AND($A4&lt;&gt;"",AO$2&lt;&gt;"")</formula>
    </cfRule>
    <cfRule type="expression" dxfId="57" priority="53">
      <formula>AND($A4="",$B4="")</formula>
    </cfRule>
    <cfRule type="expression" dxfId="56" priority="54">
      <formula>$B4&lt;&gt;""</formula>
    </cfRule>
  </conditionalFormatting>
  <conditionalFormatting sqref="AJ4:AJ64">
    <cfRule type="expression" dxfId="55" priority="61">
      <formula>AND($A4&lt;&gt;"",AX$2&lt;&gt;"")</formula>
    </cfRule>
    <cfRule type="expression" dxfId="54" priority="62">
      <formula>AND($A4="",$B4="")</formula>
    </cfRule>
    <cfRule type="expression" dxfId="53" priority="63">
      <formula>$B4&lt;&gt;""</formula>
    </cfRule>
  </conditionalFormatting>
  <conditionalFormatting sqref="A4:AO64">
    <cfRule type="expression" dxfId="52" priority="10">
      <formula>AND($A4&lt;&gt;"",A$2&lt;&gt;"")</formula>
    </cfRule>
    <cfRule type="expression" dxfId="51" priority="24">
      <formula>AND($A4="",$B4="")</formula>
    </cfRule>
    <cfRule type="expression" dxfId="50" priority="25">
      <formula>$B4&lt;&gt;""</formula>
    </cfRule>
  </conditionalFormatting>
  <conditionalFormatting sqref="J4">
    <cfRule type="cellIs" dxfId="49" priority="7" operator="notEqual">
      <formula>""</formula>
    </cfRule>
  </conditionalFormatting>
  <conditionalFormatting sqref="M1:W1">
    <cfRule type="expression" dxfId="48" priority="3">
      <formula>SUM($J3:$AO3)&gt;0</formula>
    </cfRule>
  </conditionalFormatting>
  <conditionalFormatting sqref="B4:C64">
    <cfRule type="expression" dxfId="47" priority="20">
      <formula>$A4&lt;&gt;""</formula>
    </cfRule>
  </conditionalFormatting>
  <conditionalFormatting sqref="I4:I64">
    <cfRule type="expression" dxfId="46" priority="2">
      <formula>OR($A4&lt;&gt;"",$B4&lt;&gt;"")</formula>
    </cfRule>
  </conditionalFormatting>
  <conditionalFormatting sqref="A4:A64">
    <cfRule type="expression" dxfId="45" priority="1">
      <formula>B4&lt;&gt;""</formula>
    </cfRule>
  </conditionalFormatting>
  <conditionalFormatting sqref="AB4:AB64">
    <cfRule type="expression" dxfId="44" priority="85">
      <formula>AND($A4&lt;&gt;"",AR$2&lt;&gt;"")</formula>
    </cfRule>
    <cfRule type="expression" dxfId="43" priority="86">
      <formula>AND($A4="",$B4="")</formula>
    </cfRule>
    <cfRule type="expression" dxfId="42" priority="87">
      <formula>$B4&lt;&gt;""</formula>
    </cfRule>
  </conditionalFormatting>
  <conditionalFormatting sqref="AN4:AN64">
    <cfRule type="expression" dxfId="41" priority="88">
      <formula>AND($A4&lt;&gt;"",AY$2&lt;&gt;"")</formula>
    </cfRule>
    <cfRule type="expression" dxfId="40" priority="89">
      <formula>AND($A4="",$B4="")</formula>
    </cfRule>
    <cfRule type="expression" dxfId="39" priority="90">
      <formula>$B4&lt;&gt;""</formula>
    </cfRule>
  </conditionalFormatting>
  <conditionalFormatting sqref="AM4:AM64">
    <cfRule type="expression" dxfId="38" priority="94">
      <formula>AND($A4&lt;&gt;"",AY$2&lt;&gt;"")</formula>
    </cfRule>
    <cfRule type="expression" dxfId="37" priority="95">
      <formula>AND($A4="",$B4="")</formula>
    </cfRule>
    <cfRule type="expression" dxfId="36" priority="96">
      <formula>$B4&lt;&gt;""</formula>
    </cfRule>
  </conditionalFormatting>
  <conditionalFormatting sqref="AE4:AF64">
    <cfRule type="expression" dxfId="35" priority="106">
      <formula>AND($A4&lt;&gt;"",#REF!&lt;&gt;"")</formula>
    </cfRule>
    <cfRule type="expression" dxfId="34" priority="107">
      <formula>AND($A4="",$B4="")</formula>
    </cfRule>
    <cfRule type="expression" dxfId="33" priority="108">
      <formula>$B4&lt;&gt;""</formula>
    </cfRule>
  </conditionalFormatting>
  <conditionalFormatting sqref="AK4:AL64">
    <cfRule type="expression" dxfId="32" priority="109">
      <formula>AND($A4&lt;&gt;"",AX$2&lt;&gt;"")</formula>
    </cfRule>
    <cfRule type="expression" dxfId="31" priority="110">
      <formula>AND($A4="",$B4="")</formula>
    </cfRule>
    <cfRule type="expression" dxfId="30" priority="111">
      <formula>$B4&lt;&gt;""</formula>
    </cfRule>
  </conditionalFormatting>
  <conditionalFormatting sqref="AC4:AD64">
    <cfRule type="expression" dxfId="29" priority="121">
      <formula>AND($A4&lt;&gt;"",AT$2&lt;&gt;"")</formula>
    </cfRule>
    <cfRule type="expression" dxfId="28" priority="122">
      <formula>AND($A4="",$B4="")</formula>
    </cfRule>
    <cfRule type="expression" dxfId="27" priority="123">
      <formula>$B4&lt;&gt;""</formula>
    </cfRule>
  </conditionalFormatting>
  <pageMargins left="0.7" right="0.7" top="0.75" bottom="0.75" header="0.3" footer="0.3"/>
  <pageSetup orientation="landscape"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un_Grinder">
                <anchor moveWithCells="1">
                  <from>
                    <xdr:col>0</xdr:col>
                    <xdr:colOff>50800</xdr:colOff>
                    <xdr:row>0</xdr:row>
                    <xdr:rowOff>38100</xdr:rowOff>
                  </from>
                  <to>
                    <xdr:col>0</xdr:col>
                    <xdr:colOff>1422400</xdr:colOff>
                    <xdr:row>0</xdr:row>
                    <xdr:rowOff>368300</xdr:rowOff>
                  </to>
                </anchor>
              </controlPr>
            </control>
          </mc:Choice>
          <mc:Fallback/>
        </mc:AlternateContent>
        <mc:AlternateContent xmlns:mc="http://schemas.openxmlformats.org/markup-compatibility/2006">
          <mc:Choice Requires="x14">
            <control shapeId="2050" r:id="rId5" name="Button 2">
              <controlPr defaultSize="0" print="0" autoFill="0" autoPict="0" macro="[0]!Mapping_CL_PL">
                <anchor moveWithCells="1" sizeWithCells="1">
                  <from>
                    <xdr:col>1</xdr:col>
                    <xdr:colOff>76200</xdr:colOff>
                    <xdr:row>0</xdr:row>
                    <xdr:rowOff>63500</xdr:rowOff>
                  </from>
                  <to>
                    <xdr:col>1</xdr:col>
                    <xdr:colOff>1727200</xdr:colOff>
                    <xdr:row>0</xdr:row>
                    <xdr:rowOff>355600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Data!$E$2:$E$13</xm:f>
          </x14:formula1>
          <xm:sqref>A4</xm:sqref>
        </x14:dataValidation>
        <x14:dataValidation type="list" errorStyle="information" allowBlank="1" showInputMessage="1" showErrorMessage="1" errorTitle="Instructional Level" error="Please select the appropriate instructional level for this assessment and indicator">
          <x14:formula1>
            <xm:f>Data!$AM$12:$AM$18</xm:f>
          </x14:formula1>
          <xm:sqref>J4:AO64</xm:sqref>
        </x14:dataValidation>
        <x14:dataValidation type="list" allowBlank="1" showInputMessage="1" showErrorMessage="1">
          <x14:formula1>
            <xm:f>CourseInfo!#REF!</xm:f>
          </x14:formula1>
          <xm:sqref>A5:A64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pageSetUpPr fitToPage="1"/>
  </sheetPr>
  <dimension ref="A1:P34"/>
  <sheetViews>
    <sheetView workbookViewId="0">
      <pane ySplit="1" topLeftCell="A2" activePane="bottomLeft" state="frozen"/>
      <selection pane="bottomLeft" activeCell="G1" sqref="G1"/>
    </sheetView>
  </sheetViews>
  <sheetFormatPr baseColWidth="10" defaultColWidth="8.6640625" defaultRowHeight="15" x14ac:dyDescent="0.2"/>
  <cols>
    <col min="1" max="1" width="3.33203125" style="9" customWidth="1"/>
    <col min="2" max="2" width="15" style="9" customWidth="1"/>
    <col min="3" max="3" width="33.5" style="9" hidden="1" customWidth="1"/>
    <col min="4" max="4" width="50.5" style="73" customWidth="1"/>
    <col min="5" max="5" width="2.33203125" style="30" customWidth="1"/>
    <col min="6" max="6" width="68.5" style="61" customWidth="1"/>
    <col min="7" max="7" width="3" style="9" bestFit="1" customWidth="1"/>
    <col min="8" max="8" width="4.1640625" style="9" bestFit="1" customWidth="1"/>
    <col min="9" max="16384" width="8.6640625" style="9"/>
  </cols>
  <sheetData>
    <row r="1" spans="1:16" s="59" customFormat="1" ht="16" thickBot="1" x14ac:dyDescent="0.25">
      <c r="A1" s="56" t="s">
        <v>863</v>
      </c>
      <c r="B1" s="62" t="s">
        <v>864</v>
      </c>
      <c r="C1" s="23"/>
      <c r="D1" s="57" t="s">
        <v>900</v>
      </c>
      <c r="E1" s="57" t="s">
        <v>863</v>
      </c>
      <c r="F1" s="58" t="s">
        <v>897</v>
      </c>
    </row>
    <row r="2" spans="1:16" ht="16" thickTop="1" x14ac:dyDescent="0.2">
      <c r="A2" s="231">
        <v>1</v>
      </c>
      <c r="B2" s="232" t="s">
        <v>478</v>
      </c>
      <c r="C2" s="74" t="str">
        <f>B2</f>
        <v>Knowledge Base</v>
      </c>
      <c r="D2" s="217" t="s">
        <v>901</v>
      </c>
      <c r="E2" s="63" t="s">
        <v>461</v>
      </c>
      <c r="F2" s="69" t="s">
        <v>865</v>
      </c>
      <c r="G2" s="9">
        <f>A2</f>
        <v>1</v>
      </c>
      <c r="H2" s="9" t="str">
        <f t="shared" ref="H2:H34" si="0">G2&amp;E2</f>
        <v>1a</v>
      </c>
    </row>
    <row r="3" spans="1:16" x14ac:dyDescent="0.2">
      <c r="A3" s="226"/>
      <c r="B3" s="229"/>
      <c r="C3" s="74" t="str">
        <f t="shared" ref="C3:C34" si="1">IF(B3="",C2,B3)</f>
        <v>Knowledge Base</v>
      </c>
      <c r="D3" s="218"/>
      <c r="E3" s="64" t="s">
        <v>462</v>
      </c>
      <c r="F3" s="70" t="s">
        <v>866</v>
      </c>
      <c r="G3" s="9">
        <f t="shared" ref="G3:G34" si="2">IF(A3&lt;&gt;"",A3,G2)</f>
        <v>1</v>
      </c>
      <c r="H3" s="9" t="str">
        <f t="shared" si="0"/>
        <v>1b</v>
      </c>
    </row>
    <row r="4" spans="1:16" x14ac:dyDescent="0.2">
      <c r="A4" s="226"/>
      <c r="B4" s="229"/>
      <c r="C4" s="74" t="str">
        <f t="shared" si="1"/>
        <v>Knowledge Base</v>
      </c>
      <c r="D4" s="218"/>
      <c r="E4" s="64" t="s">
        <v>463</v>
      </c>
      <c r="F4" s="70" t="s">
        <v>867</v>
      </c>
      <c r="G4" s="9">
        <f t="shared" si="2"/>
        <v>1</v>
      </c>
      <c r="H4" s="9" t="str">
        <f t="shared" si="0"/>
        <v>1c</v>
      </c>
    </row>
    <row r="5" spans="1:16" ht="16" thickBot="1" x14ac:dyDescent="0.25">
      <c r="A5" s="226"/>
      <c r="B5" s="229"/>
      <c r="C5" s="74" t="str">
        <f t="shared" si="1"/>
        <v>Knowledge Base</v>
      </c>
      <c r="D5" s="219"/>
      <c r="E5" s="64" t="s">
        <v>555</v>
      </c>
      <c r="F5" s="70" t="s">
        <v>898</v>
      </c>
      <c r="G5" s="9">
        <f t="shared" si="2"/>
        <v>1</v>
      </c>
      <c r="H5" s="9" t="str">
        <f t="shared" si="0"/>
        <v>1d</v>
      </c>
    </row>
    <row r="6" spans="1:16" x14ac:dyDescent="0.2">
      <c r="A6" s="225">
        <v>2</v>
      </c>
      <c r="B6" s="228" t="s">
        <v>868</v>
      </c>
      <c r="C6" s="74" t="str">
        <f t="shared" si="1"/>
        <v>Problem analysis</v>
      </c>
      <c r="D6" s="214" t="s">
        <v>902</v>
      </c>
      <c r="E6" s="65" t="s">
        <v>461</v>
      </c>
      <c r="F6" s="72" t="s">
        <v>869</v>
      </c>
      <c r="G6" s="9">
        <f t="shared" si="2"/>
        <v>2</v>
      </c>
      <c r="H6" s="9" t="str">
        <f t="shared" si="0"/>
        <v>2a</v>
      </c>
    </row>
    <row r="7" spans="1:16" ht="30" x14ac:dyDescent="0.2">
      <c r="A7" s="226"/>
      <c r="B7" s="229"/>
      <c r="C7" s="74" t="str">
        <f t="shared" si="1"/>
        <v>Problem analysis</v>
      </c>
      <c r="D7" s="215"/>
      <c r="E7" s="64" t="s">
        <v>462</v>
      </c>
      <c r="F7" s="70" t="s">
        <v>870</v>
      </c>
      <c r="G7" s="9">
        <f t="shared" si="2"/>
        <v>2</v>
      </c>
      <c r="H7" s="9" t="str">
        <f t="shared" si="0"/>
        <v>2b</v>
      </c>
    </row>
    <row r="8" spans="1:16" ht="16" thickBot="1" x14ac:dyDescent="0.25">
      <c r="A8" s="226"/>
      <c r="B8" s="229"/>
      <c r="C8" s="74" t="str">
        <f t="shared" si="1"/>
        <v>Problem analysis</v>
      </c>
      <c r="D8" s="215"/>
      <c r="E8" s="64" t="s">
        <v>463</v>
      </c>
      <c r="F8" s="68" t="s">
        <v>871</v>
      </c>
      <c r="G8" s="9">
        <f t="shared" si="2"/>
        <v>2</v>
      </c>
      <c r="H8" s="9" t="str">
        <f t="shared" si="0"/>
        <v>2c</v>
      </c>
    </row>
    <row r="9" spans="1:16" ht="30" x14ac:dyDescent="0.2">
      <c r="A9" s="225">
        <v>3</v>
      </c>
      <c r="B9" s="228" t="s">
        <v>41</v>
      </c>
      <c r="C9" s="74" t="str">
        <f t="shared" si="1"/>
        <v>Investigation</v>
      </c>
      <c r="D9" s="214" t="s">
        <v>903</v>
      </c>
      <c r="E9" s="65" t="s">
        <v>461</v>
      </c>
      <c r="F9" s="72" t="s">
        <v>872</v>
      </c>
      <c r="G9" s="9">
        <f t="shared" si="2"/>
        <v>3</v>
      </c>
      <c r="H9" s="9" t="str">
        <f t="shared" si="0"/>
        <v>3a</v>
      </c>
    </row>
    <row r="10" spans="1:16" x14ac:dyDescent="0.2">
      <c r="A10" s="226"/>
      <c r="B10" s="229"/>
      <c r="C10" s="74" t="str">
        <f t="shared" si="1"/>
        <v>Investigation</v>
      </c>
      <c r="D10" s="215"/>
      <c r="E10" s="64" t="s">
        <v>462</v>
      </c>
      <c r="F10" s="70" t="s">
        <v>873</v>
      </c>
      <c r="G10" s="9">
        <f t="shared" si="2"/>
        <v>3</v>
      </c>
      <c r="H10" s="9" t="str">
        <f t="shared" si="0"/>
        <v>3b</v>
      </c>
    </row>
    <row r="11" spans="1:16" ht="31" thickBot="1" x14ac:dyDescent="0.25">
      <c r="A11" s="227"/>
      <c r="B11" s="230"/>
      <c r="C11" s="74" t="str">
        <f t="shared" si="1"/>
        <v>Investigation</v>
      </c>
      <c r="D11" s="216"/>
      <c r="E11" s="66" t="s">
        <v>463</v>
      </c>
      <c r="F11" s="71" t="s">
        <v>874</v>
      </c>
      <c r="G11" s="9">
        <f t="shared" si="2"/>
        <v>3</v>
      </c>
      <c r="H11" s="9" t="str">
        <f t="shared" si="0"/>
        <v>3c</v>
      </c>
    </row>
    <row r="12" spans="1:16" x14ac:dyDescent="0.2">
      <c r="A12" s="225">
        <v>4</v>
      </c>
      <c r="B12" s="228" t="s">
        <v>42</v>
      </c>
      <c r="C12" s="74" t="str">
        <f t="shared" si="1"/>
        <v>Design</v>
      </c>
      <c r="D12" s="214" t="s">
        <v>904</v>
      </c>
      <c r="E12" s="65" t="s">
        <v>461</v>
      </c>
      <c r="F12" s="72" t="s">
        <v>564</v>
      </c>
      <c r="G12" s="9">
        <f t="shared" si="2"/>
        <v>4</v>
      </c>
      <c r="H12" s="9" t="str">
        <f t="shared" si="0"/>
        <v>4a</v>
      </c>
      <c r="P12" s="60"/>
    </row>
    <row r="13" spans="1:16" x14ac:dyDescent="0.2">
      <c r="A13" s="226"/>
      <c r="B13" s="229"/>
      <c r="C13" s="74" t="str">
        <f t="shared" si="1"/>
        <v>Design</v>
      </c>
      <c r="D13" s="215"/>
      <c r="E13" s="64" t="s">
        <v>462</v>
      </c>
      <c r="F13" s="70" t="s">
        <v>875</v>
      </c>
      <c r="G13" s="9">
        <f t="shared" si="2"/>
        <v>4</v>
      </c>
      <c r="H13" s="9" t="str">
        <f t="shared" si="0"/>
        <v>4b</v>
      </c>
      <c r="P13" s="60"/>
    </row>
    <row r="14" spans="1:16" ht="16" thickBot="1" x14ac:dyDescent="0.25">
      <c r="A14" s="227"/>
      <c r="B14" s="230"/>
      <c r="C14" s="74" t="str">
        <f t="shared" si="1"/>
        <v>Design</v>
      </c>
      <c r="D14" s="216"/>
      <c r="E14" s="66" t="s">
        <v>463</v>
      </c>
      <c r="F14" s="71" t="s">
        <v>876</v>
      </c>
      <c r="G14" s="9">
        <f t="shared" si="2"/>
        <v>4</v>
      </c>
      <c r="H14" s="9" t="str">
        <f t="shared" si="0"/>
        <v>4c</v>
      </c>
    </row>
    <row r="15" spans="1:16" x14ac:dyDescent="0.2">
      <c r="A15" s="225">
        <v>5</v>
      </c>
      <c r="B15" s="228" t="s">
        <v>479</v>
      </c>
      <c r="C15" s="74" t="str">
        <f t="shared" si="1"/>
        <v>Use of Engineering Tools</v>
      </c>
      <c r="D15" s="214" t="s">
        <v>905</v>
      </c>
      <c r="E15" s="65" t="s">
        <v>461</v>
      </c>
      <c r="F15" s="72" t="s">
        <v>899</v>
      </c>
      <c r="G15" s="9">
        <f t="shared" si="2"/>
        <v>5</v>
      </c>
      <c r="H15" s="9" t="str">
        <f t="shared" si="0"/>
        <v>5a</v>
      </c>
    </row>
    <row r="16" spans="1:16" x14ac:dyDescent="0.2">
      <c r="A16" s="226"/>
      <c r="B16" s="229"/>
      <c r="C16" s="74" t="str">
        <f t="shared" si="1"/>
        <v>Use of Engineering Tools</v>
      </c>
      <c r="D16" s="215"/>
      <c r="E16" s="64" t="s">
        <v>462</v>
      </c>
      <c r="F16" s="70" t="s">
        <v>877</v>
      </c>
      <c r="G16" s="9">
        <f t="shared" si="2"/>
        <v>5</v>
      </c>
      <c r="H16" s="9" t="str">
        <f t="shared" si="0"/>
        <v>5b</v>
      </c>
    </row>
    <row r="17" spans="1:8" ht="16" thickBot="1" x14ac:dyDescent="0.25">
      <c r="A17" s="227"/>
      <c r="B17" s="230"/>
      <c r="C17" s="74" t="str">
        <f t="shared" si="1"/>
        <v>Use of Engineering Tools</v>
      </c>
      <c r="D17" s="216"/>
      <c r="E17" s="66" t="s">
        <v>463</v>
      </c>
      <c r="F17" s="71" t="s">
        <v>878</v>
      </c>
      <c r="G17" s="9">
        <f t="shared" si="2"/>
        <v>5</v>
      </c>
      <c r="H17" s="9" t="str">
        <f t="shared" si="0"/>
        <v>5c</v>
      </c>
    </row>
    <row r="18" spans="1:8" x14ac:dyDescent="0.2">
      <c r="A18" s="225">
        <v>6</v>
      </c>
      <c r="B18" s="228" t="s">
        <v>550</v>
      </c>
      <c r="C18" s="74" t="str">
        <f t="shared" si="1"/>
        <v>Individual and team work</v>
      </c>
      <c r="D18" s="221" t="s">
        <v>906</v>
      </c>
      <c r="E18" s="65" t="s">
        <v>461</v>
      </c>
      <c r="F18" s="72" t="s">
        <v>879</v>
      </c>
      <c r="G18" s="9">
        <f t="shared" si="2"/>
        <v>6</v>
      </c>
      <c r="H18" s="9" t="str">
        <f t="shared" si="0"/>
        <v>6a</v>
      </c>
    </row>
    <row r="19" spans="1:8" ht="16" thickBot="1" x14ac:dyDescent="0.25">
      <c r="A19" s="227"/>
      <c r="B19" s="230"/>
      <c r="C19" s="74" t="str">
        <f t="shared" si="1"/>
        <v>Individual and team work</v>
      </c>
      <c r="D19" s="222"/>
      <c r="E19" s="66" t="s">
        <v>462</v>
      </c>
      <c r="F19" s="71" t="s">
        <v>880</v>
      </c>
      <c r="G19" s="9">
        <f t="shared" si="2"/>
        <v>6</v>
      </c>
      <c r="H19" s="9" t="str">
        <f t="shared" si="0"/>
        <v>6b</v>
      </c>
    </row>
    <row r="20" spans="1:8" ht="30" x14ac:dyDescent="0.2">
      <c r="A20" s="225">
        <v>7</v>
      </c>
      <c r="B20" s="228" t="s">
        <v>881</v>
      </c>
      <c r="C20" s="74" t="str">
        <f t="shared" si="1"/>
        <v>Communication skills</v>
      </c>
      <c r="D20" s="221" t="s">
        <v>907</v>
      </c>
      <c r="E20" s="65" t="s">
        <v>461</v>
      </c>
      <c r="F20" s="72" t="s">
        <v>882</v>
      </c>
      <c r="G20" s="9">
        <f t="shared" si="2"/>
        <v>7</v>
      </c>
      <c r="H20" s="9" t="str">
        <f t="shared" si="0"/>
        <v>7a</v>
      </c>
    </row>
    <row r="21" spans="1:8" x14ac:dyDescent="0.2">
      <c r="A21" s="226"/>
      <c r="B21" s="229"/>
      <c r="C21" s="74" t="str">
        <f t="shared" si="1"/>
        <v>Communication skills</v>
      </c>
      <c r="D21" s="222"/>
      <c r="E21" s="67" t="s">
        <v>462</v>
      </c>
      <c r="F21" s="70" t="s">
        <v>883</v>
      </c>
      <c r="G21" s="9">
        <f t="shared" si="2"/>
        <v>7</v>
      </c>
      <c r="H21" s="9" t="str">
        <f t="shared" si="0"/>
        <v>7b</v>
      </c>
    </row>
    <row r="22" spans="1:8" ht="16" thickBot="1" x14ac:dyDescent="0.25">
      <c r="A22" s="227"/>
      <c r="B22" s="230"/>
      <c r="C22" s="74" t="str">
        <f t="shared" si="1"/>
        <v>Communication skills</v>
      </c>
      <c r="D22" s="223"/>
      <c r="E22" s="66" t="s">
        <v>463</v>
      </c>
      <c r="F22" s="71" t="s">
        <v>884</v>
      </c>
      <c r="G22" s="9">
        <f t="shared" si="2"/>
        <v>7</v>
      </c>
      <c r="H22" s="9" t="str">
        <f t="shared" si="0"/>
        <v>7c</v>
      </c>
    </row>
    <row r="23" spans="1:8" ht="30" x14ac:dyDescent="0.2">
      <c r="A23" s="225">
        <v>8</v>
      </c>
      <c r="B23" s="228" t="s">
        <v>43</v>
      </c>
      <c r="C23" s="74" t="str">
        <f t="shared" si="1"/>
        <v>Professionalism</v>
      </c>
      <c r="D23" s="221" t="s">
        <v>908</v>
      </c>
      <c r="E23" s="65" t="s">
        <v>461</v>
      </c>
      <c r="F23" s="72" t="s">
        <v>885</v>
      </c>
      <c r="G23" s="9">
        <f t="shared" si="2"/>
        <v>8</v>
      </c>
      <c r="H23" s="9" t="str">
        <f t="shared" si="0"/>
        <v>8a</v>
      </c>
    </row>
    <row r="24" spans="1:8" ht="31" thickBot="1" x14ac:dyDescent="0.25">
      <c r="A24" s="227"/>
      <c r="B24" s="230"/>
      <c r="C24" s="74" t="str">
        <f t="shared" si="1"/>
        <v>Professionalism</v>
      </c>
      <c r="D24" s="223"/>
      <c r="E24" s="66" t="s">
        <v>462</v>
      </c>
      <c r="F24" s="71" t="s">
        <v>886</v>
      </c>
      <c r="G24" s="9">
        <f t="shared" si="2"/>
        <v>8</v>
      </c>
      <c r="H24" s="9" t="str">
        <f t="shared" si="0"/>
        <v>8b</v>
      </c>
    </row>
    <row r="25" spans="1:8" ht="30" x14ac:dyDescent="0.2">
      <c r="A25" s="233">
        <v>9</v>
      </c>
      <c r="B25" s="228" t="s">
        <v>551</v>
      </c>
      <c r="C25" s="74" t="str">
        <f t="shared" si="1"/>
        <v>Impact of engineering</v>
      </c>
      <c r="D25" s="220" t="s">
        <v>909</v>
      </c>
      <c r="E25" s="65" t="s">
        <v>461</v>
      </c>
      <c r="F25" s="72" t="s">
        <v>887</v>
      </c>
      <c r="G25" s="9">
        <f t="shared" si="2"/>
        <v>9</v>
      </c>
      <c r="H25" s="9" t="str">
        <f t="shared" si="0"/>
        <v>9a</v>
      </c>
    </row>
    <row r="26" spans="1:8" ht="31" thickBot="1" x14ac:dyDescent="0.25">
      <c r="A26" s="234"/>
      <c r="B26" s="229"/>
      <c r="C26" s="74" t="str">
        <f t="shared" si="1"/>
        <v>Impact of engineering</v>
      </c>
      <c r="D26" s="219"/>
      <c r="E26" s="66" t="s">
        <v>462</v>
      </c>
      <c r="F26" s="71" t="s">
        <v>888</v>
      </c>
      <c r="G26" s="9">
        <f t="shared" si="2"/>
        <v>9</v>
      </c>
      <c r="H26" s="9" t="str">
        <f t="shared" si="0"/>
        <v>9b</v>
      </c>
    </row>
    <row r="27" spans="1:8" x14ac:dyDescent="0.2">
      <c r="A27" s="225">
        <v>10</v>
      </c>
      <c r="B27" s="228" t="s">
        <v>552</v>
      </c>
      <c r="C27" s="74" t="str">
        <f t="shared" si="1"/>
        <v>Ethics and equity</v>
      </c>
      <c r="D27" s="221" t="s">
        <v>910</v>
      </c>
      <c r="E27" s="65" t="s">
        <v>461</v>
      </c>
      <c r="F27" s="72" t="s">
        <v>889</v>
      </c>
      <c r="G27" s="9">
        <f t="shared" si="2"/>
        <v>10</v>
      </c>
      <c r="H27" s="9" t="str">
        <f t="shared" si="0"/>
        <v>10a</v>
      </c>
    </row>
    <row r="28" spans="1:8" x14ac:dyDescent="0.2">
      <c r="A28" s="226"/>
      <c r="B28" s="229"/>
      <c r="C28" s="74" t="str">
        <f t="shared" si="1"/>
        <v>Ethics and equity</v>
      </c>
      <c r="D28" s="222"/>
      <c r="E28" s="64" t="s">
        <v>462</v>
      </c>
      <c r="F28" s="70" t="s">
        <v>890</v>
      </c>
      <c r="G28" s="9">
        <f t="shared" si="2"/>
        <v>10</v>
      </c>
      <c r="H28" s="9" t="str">
        <f t="shared" si="0"/>
        <v>10b</v>
      </c>
    </row>
    <row r="29" spans="1:8" ht="16" thickBot="1" x14ac:dyDescent="0.25">
      <c r="A29" s="227"/>
      <c r="B29" s="230"/>
      <c r="C29" s="74" t="str">
        <f t="shared" si="1"/>
        <v>Ethics and equity</v>
      </c>
      <c r="D29" s="223"/>
      <c r="E29" s="66" t="s">
        <v>463</v>
      </c>
      <c r="F29" s="71" t="s">
        <v>891</v>
      </c>
      <c r="G29" s="9">
        <f t="shared" si="2"/>
        <v>10</v>
      </c>
      <c r="H29" s="9" t="str">
        <f t="shared" si="0"/>
        <v>10c</v>
      </c>
    </row>
    <row r="30" spans="1:8" ht="30" x14ac:dyDescent="0.2">
      <c r="A30" s="233">
        <v>11</v>
      </c>
      <c r="B30" s="228" t="s">
        <v>553</v>
      </c>
      <c r="C30" s="74" t="str">
        <f t="shared" si="1"/>
        <v>Economics and project management</v>
      </c>
      <c r="D30" s="220" t="s">
        <v>911</v>
      </c>
      <c r="E30" s="65" t="s">
        <v>461</v>
      </c>
      <c r="F30" s="72" t="s">
        <v>892</v>
      </c>
      <c r="G30" s="9">
        <f t="shared" si="2"/>
        <v>11</v>
      </c>
      <c r="H30" s="9" t="str">
        <f t="shared" si="0"/>
        <v>11a</v>
      </c>
    </row>
    <row r="31" spans="1:8" ht="31" thickBot="1" x14ac:dyDescent="0.25">
      <c r="A31" s="234"/>
      <c r="B31" s="229"/>
      <c r="C31" s="74" t="str">
        <f t="shared" si="1"/>
        <v>Economics and project management</v>
      </c>
      <c r="D31" s="224"/>
      <c r="E31" s="64" t="s">
        <v>462</v>
      </c>
      <c r="F31" s="70" t="s">
        <v>893</v>
      </c>
      <c r="G31" s="9">
        <f t="shared" si="2"/>
        <v>11</v>
      </c>
      <c r="H31" s="9" t="str">
        <f t="shared" si="0"/>
        <v>11b</v>
      </c>
    </row>
    <row r="32" spans="1:8" x14ac:dyDescent="0.2">
      <c r="A32" s="225">
        <v>12</v>
      </c>
      <c r="B32" s="228" t="s">
        <v>554</v>
      </c>
      <c r="C32" s="74" t="str">
        <f t="shared" si="1"/>
        <v>Life-long learning</v>
      </c>
      <c r="D32" s="214" t="s">
        <v>912</v>
      </c>
      <c r="E32" s="65" t="s">
        <v>461</v>
      </c>
      <c r="F32" s="72" t="s">
        <v>894</v>
      </c>
      <c r="G32" s="9">
        <f t="shared" si="2"/>
        <v>12</v>
      </c>
      <c r="H32" s="9" t="str">
        <f t="shared" si="0"/>
        <v>12a</v>
      </c>
    </row>
    <row r="33" spans="1:8" x14ac:dyDescent="0.2">
      <c r="A33" s="226"/>
      <c r="B33" s="229"/>
      <c r="C33" s="74" t="str">
        <f t="shared" si="1"/>
        <v>Life-long learning</v>
      </c>
      <c r="D33" s="215"/>
      <c r="E33" s="64" t="s">
        <v>462</v>
      </c>
      <c r="F33" s="70" t="s">
        <v>895</v>
      </c>
      <c r="G33" s="9">
        <f t="shared" si="2"/>
        <v>12</v>
      </c>
      <c r="H33" s="9" t="str">
        <f t="shared" si="0"/>
        <v>12b</v>
      </c>
    </row>
    <row r="34" spans="1:8" ht="16" thickBot="1" x14ac:dyDescent="0.25">
      <c r="A34" s="227"/>
      <c r="B34" s="230"/>
      <c r="C34" s="74" t="str">
        <f t="shared" si="1"/>
        <v>Life-long learning</v>
      </c>
      <c r="D34" s="216"/>
      <c r="E34" s="66" t="s">
        <v>463</v>
      </c>
      <c r="F34" s="71" t="s">
        <v>896</v>
      </c>
      <c r="G34" s="9">
        <f t="shared" si="2"/>
        <v>12</v>
      </c>
      <c r="H34" s="9" t="str">
        <f t="shared" si="0"/>
        <v>12c</v>
      </c>
    </row>
  </sheetData>
  <mergeCells count="36">
    <mergeCell ref="A30:A31"/>
    <mergeCell ref="B30:B31"/>
    <mergeCell ref="A32:A34"/>
    <mergeCell ref="B32:B34"/>
    <mergeCell ref="A25:A26"/>
    <mergeCell ref="B25:B26"/>
    <mergeCell ref="A27:A29"/>
    <mergeCell ref="B27:B29"/>
    <mergeCell ref="A20:A22"/>
    <mergeCell ref="B20:B22"/>
    <mergeCell ref="A23:A24"/>
    <mergeCell ref="B23:B24"/>
    <mergeCell ref="A15:A17"/>
    <mergeCell ref="B15:B17"/>
    <mergeCell ref="A18:A19"/>
    <mergeCell ref="B18:B19"/>
    <mergeCell ref="A9:A11"/>
    <mergeCell ref="B9:B11"/>
    <mergeCell ref="A12:A14"/>
    <mergeCell ref="B12:B14"/>
    <mergeCell ref="A2:A5"/>
    <mergeCell ref="B2:B5"/>
    <mergeCell ref="A6:A8"/>
    <mergeCell ref="B6:B8"/>
    <mergeCell ref="D32:D34"/>
    <mergeCell ref="D2:D5"/>
    <mergeCell ref="D25:D26"/>
    <mergeCell ref="D15:D17"/>
    <mergeCell ref="D18:D19"/>
    <mergeCell ref="D20:D22"/>
    <mergeCell ref="D23:D24"/>
    <mergeCell ref="D30:D31"/>
    <mergeCell ref="D27:D29"/>
    <mergeCell ref="D6:D8"/>
    <mergeCell ref="D9:D11"/>
    <mergeCell ref="D12:D14"/>
  </mergeCells>
  <pageMargins left="0.23622047244094499" right="0.23622047244094499" top="0.35433070866141703" bottom="0.35433070866141703" header="0.31496062992126" footer="0.31496062992126"/>
  <pageSetup paperSize="5" scale="85" fitToHeight="0" orientation="landscape" horizontalDpi="4294967295" verticalDpi="4294967295" r:id="rId1"/>
  <rowBreaks count="4" manualBreakCount="4">
    <brk id="8" max="12" man="1"/>
    <brk id="14" max="11" man="1"/>
    <brk id="22" max="12" man="1"/>
    <brk id="26" max="12"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AB505"/>
  <sheetViews>
    <sheetView workbookViewId="0">
      <pane xSplit="1" ySplit="4" topLeftCell="B5" activePane="bottomRight" state="frozen"/>
      <selection pane="topRight" activeCell="B1" sqref="B1"/>
      <selection pane="bottomLeft" activeCell="A5" sqref="A5"/>
      <selection pane="bottomRight" activeCell="H12" sqref="H12"/>
    </sheetView>
  </sheetViews>
  <sheetFormatPr baseColWidth="10" defaultColWidth="8.83203125" defaultRowHeight="15" x14ac:dyDescent="0.2"/>
  <cols>
    <col min="1" max="1" width="20.6640625" style="3" customWidth="1"/>
    <col min="2" max="16384" width="8.83203125" style="3"/>
  </cols>
  <sheetData>
    <row r="1" spans="1:28" x14ac:dyDescent="0.2">
      <c r="A1" s="12" t="str">
        <f ca="1">IF(SUM(B3:Z3)&lt;&gt;100,"Contributions &lt;&gt; 100%","Assessment")</f>
        <v>Assessment</v>
      </c>
      <c r="B1" s="46" t="str">
        <f>Master!J2</f>
        <v>A1</v>
      </c>
      <c r="C1" s="46" t="str">
        <f ca="1">Master!K2</f>
        <v>A2</v>
      </c>
      <c r="D1" s="46" t="str">
        <f ca="1">Master!L2</f>
        <v>Q1-a</v>
      </c>
      <c r="E1" s="46" t="str">
        <f ca="1">Master!M2</f>
        <v>Q1-b</v>
      </c>
      <c r="F1" s="46" t="str">
        <f ca="1">Master!N2</f>
        <v>Q2-c</v>
      </c>
      <c r="G1" s="46" t="str">
        <f ca="1">Master!O2</f>
        <v>Q2-d</v>
      </c>
      <c r="H1" s="46" t="str">
        <f ca="1">Master!P2</f>
        <v>P1</v>
      </c>
      <c r="I1" s="46" t="str">
        <f ca="1">Master!Q2</f>
        <v>P2</v>
      </c>
      <c r="J1" s="46" t="str">
        <f ca="1">Master!R2</f>
        <v>P3</v>
      </c>
      <c r="K1" s="46" t="str">
        <f ca="1">Master!S2</f>
        <v/>
      </c>
      <c r="L1" s="46" t="str">
        <f ca="1">Master!T2</f>
        <v/>
      </c>
      <c r="M1" s="46" t="str">
        <f ca="1">Master!U2</f>
        <v/>
      </c>
      <c r="N1" s="46" t="str">
        <f ca="1">Master!V2</f>
        <v/>
      </c>
      <c r="O1" s="46" t="str">
        <f ca="1">Master!W2</f>
        <v/>
      </c>
      <c r="P1" s="46" t="str">
        <f ca="1">Master!X2</f>
        <v/>
      </c>
      <c r="Q1" s="46" t="str">
        <f ca="1">Master!Y2</f>
        <v/>
      </c>
      <c r="R1" s="46" t="str">
        <f ca="1">Master!Z2</f>
        <v/>
      </c>
      <c r="S1" s="46" t="str">
        <f ca="1">Master!AA2</f>
        <v/>
      </c>
      <c r="T1" s="46" t="str">
        <f ca="1">Master!AB2</f>
        <v/>
      </c>
      <c r="U1" s="46" t="str">
        <f ca="1">Master!AC2</f>
        <v/>
      </c>
      <c r="V1" s="46" t="str">
        <f ca="1">Master!AD2</f>
        <v/>
      </c>
      <c r="W1" s="46" t="str">
        <f ca="1">Master!AE2</f>
        <v/>
      </c>
      <c r="X1" s="46" t="str">
        <f ca="1">Master!AF2</f>
        <v/>
      </c>
      <c r="Y1" s="46" t="str">
        <f ca="1">Master!AG2</f>
        <v/>
      </c>
      <c r="Z1" s="46" t="str">
        <f ca="1">Master!AH2</f>
        <v/>
      </c>
      <c r="AA1" s="46" t="str">
        <f ca="1">Master!AO2</f>
        <v/>
      </c>
      <c r="AB1" s="43"/>
    </row>
    <row r="2" spans="1:28" x14ac:dyDescent="0.2">
      <c r="A2" s="12" t="s">
        <v>9</v>
      </c>
      <c r="B2" s="136">
        <v>22</v>
      </c>
      <c r="C2" s="136">
        <v>22</v>
      </c>
      <c r="D2" s="136">
        <v>22</v>
      </c>
      <c r="E2" s="136">
        <v>22</v>
      </c>
      <c r="F2" s="136">
        <v>33</v>
      </c>
      <c r="G2" s="136">
        <v>44</v>
      </c>
      <c r="H2" s="136">
        <v>25</v>
      </c>
      <c r="I2" s="136">
        <v>16</v>
      </c>
      <c r="J2" s="136">
        <v>34</v>
      </c>
      <c r="K2" s="136"/>
      <c r="L2" s="136"/>
      <c r="M2" s="136"/>
      <c r="N2" s="136"/>
      <c r="O2" s="136"/>
      <c r="P2" s="136"/>
      <c r="Q2" s="136"/>
      <c r="R2" s="136"/>
      <c r="S2" s="136"/>
      <c r="T2" s="136"/>
      <c r="U2" s="136"/>
      <c r="V2" s="136"/>
      <c r="W2" s="136"/>
      <c r="X2" s="136"/>
      <c r="Y2" s="136"/>
      <c r="Z2" s="136"/>
      <c r="AA2" s="136"/>
    </row>
    <row r="3" spans="1:28" x14ac:dyDescent="0.2">
      <c r="A3" s="12" t="s">
        <v>12</v>
      </c>
      <c r="B3" s="3">
        <f>IFERROR(VLOOKUP(B1,'Assessment Documentation'!$A$9:$B$90,2,0),"")</f>
        <v>10</v>
      </c>
      <c r="C3" s="3">
        <f ca="1">IFERROR(VLOOKUP(C1,'Assessment Documentation'!$A$9:$B$90,2,0),"")</f>
        <v>10</v>
      </c>
      <c r="D3" s="3">
        <f ca="1">IFERROR(VLOOKUP(D1,'Assessment Documentation'!$A$9:$B$90,2,0),"")</f>
        <v>8.75</v>
      </c>
      <c r="E3" s="3">
        <f ca="1">IFERROR(VLOOKUP(E1,'Assessment Documentation'!$A$9:$B$90,2,0),"")</f>
        <v>8.75</v>
      </c>
      <c r="F3" s="3">
        <f ca="1">IFERROR(VLOOKUP(F1,'Assessment Documentation'!$A$9:$B$90,2,0),"")</f>
        <v>8.75</v>
      </c>
      <c r="G3" s="3">
        <f ca="1">IFERROR(VLOOKUP(G1,'Assessment Documentation'!$A$9:$B$90,2,0),"")</f>
        <v>8.75</v>
      </c>
      <c r="H3" s="3">
        <f ca="1">IFERROR(VLOOKUP(H1,'Assessment Documentation'!$A$9:$B$90,2,0),"")</f>
        <v>15</v>
      </c>
      <c r="I3" s="3">
        <f ca="1">IFERROR(VLOOKUP(I1,'Assessment Documentation'!$A$9:$B$90,2,0),"")</f>
        <v>15</v>
      </c>
      <c r="J3" s="3">
        <f ca="1">IFERROR(VLOOKUP(J1,'Assessment Documentation'!$A$9:$B$90,2,0),"")</f>
        <v>15</v>
      </c>
      <c r="K3" s="3" t="str">
        <f ca="1">IFERROR(VLOOKUP(K1,'Assessment Documentation'!$A$9:$B$90,2,0),"")</f>
        <v/>
      </c>
      <c r="L3" s="3" t="str">
        <f ca="1">IFERROR(VLOOKUP(L1,'Assessment Documentation'!$A$9:$B$90,2,0),"")</f>
        <v/>
      </c>
      <c r="M3" s="3" t="str">
        <f ca="1">IFERROR(VLOOKUP(M1,'Assessment Documentation'!$A$9:$B$90,2,0),"")</f>
        <v/>
      </c>
      <c r="N3" s="3" t="str">
        <f ca="1">IFERROR(VLOOKUP(N1,'Assessment Documentation'!$A$9:$B$90,2,0),"")</f>
        <v/>
      </c>
      <c r="O3" s="3" t="str">
        <f ca="1">IFERROR(VLOOKUP(O1,'Assessment Documentation'!$A$9:$B$90,2,0),"")</f>
        <v/>
      </c>
      <c r="P3" s="3" t="str">
        <f ca="1">IFERROR(VLOOKUP(P1,'Assessment Documentation'!$A$9:$B$90,2,0),"")</f>
        <v/>
      </c>
      <c r="Q3" s="3" t="str">
        <f ca="1">IFERROR(VLOOKUP(Q1,'Assessment Documentation'!$A$9:$B$90,2,0),"")</f>
        <v/>
      </c>
      <c r="R3" s="3" t="str">
        <f ca="1">IFERROR(VLOOKUP(R1,'Assessment Documentation'!$A$9:$B$90,2,0),"")</f>
        <v/>
      </c>
      <c r="S3" s="3" t="str">
        <f ca="1">IFERROR(VLOOKUP(S1,'Assessment Documentation'!$A$9:$B$90,2,0),"")</f>
        <v/>
      </c>
      <c r="T3" s="3" t="str">
        <f ca="1">IFERROR(VLOOKUP(T1,'Assessment Documentation'!$A$9:$B$90,2,0),"")</f>
        <v/>
      </c>
      <c r="U3" s="3" t="str">
        <f ca="1">IFERROR(VLOOKUP(U1,'Assessment Documentation'!$A$9:$B$90,2,0),"")</f>
        <v/>
      </c>
      <c r="V3" s="3" t="str">
        <f ca="1">IFERROR(VLOOKUP(V1,'Assessment Documentation'!$A$9:$B$90,2,0),"")</f>
        <v/>
      </c>
      <c r="W3" s="3" t="str">
        <f ca="1">IFERROR(VLOOKUP(W1,'Assessment Documentation'!$A$9:$B$90,2,0),"")</f>
        <v/>
      </c>
      <c r="X3" s="3" t="str">
        <f ca="1">IFERROR(VLOOKUP(X1,'Assessment Documentation'!$A$9:$B$90,2,0),"")</f>
        <v/>
      </c>
      <c r="Y3" s="3" t="str">
        <f ca="1">IFERROR(VLOOKUP(Y1,'Assessment Documentation'!$A$9:$B$90,2,0),"")</f>
        <v/>
      </c>
      <c r="Z3" s="3" t="str">
        <f ca="1">IFERROR(VLOOKUP(Z1,'Assessment Documentation'!$A$9:$B$90,2,0),"")</f>
        <v/>
      </c>
      <c r="AA3" s="3" t="str">
        <f ca="1">IFERROR(VLOOKUP(AA1,'Assessment Documentation'!$A$9:$B$90,2,0),"")</f>
        <v/>
      </c>
    </row>
    <row r="4" spans="1:28" x14ac:dyDescent="0.2">
      <c r="A4" s="15" t="s">
        <v>467</v>
      </c>
      <c r="B4" s="22">
        <f ca="1">IF(B2&gt;0,MAX(B5:B39),"")</f>
        <v>17</v>
      </c>
      <c r="C4" s="22">
        <f t="shared" ref="C4:AA4" ca="1" si="0">IF(C2&gt;0,MAX(C5:C39),"")</f>
        <v>18</v>
      </c>
      <c r="D4" s="22">
        <f t="shared" ca="1" si="0"/>
        <v>22</v>
      </c>
      <c r="E4" s="22">
        <f t="shared" ca="1" si="0"/>
        <v>11</v>
      </c>
      <c r="F4" s="22">
        <f t="shared" ca="1" si="0"/>
        <v>26</v>
      </c>
      <c r="G4" s="22">
        <f t="shared" ca="1" si="0"/>
        <v>44</v>
      </c>
      <c r="H4" s="22">
        <f t="shared" ca="1" si="0"/>
        <v>20</v>
      </c>
      <c r="I4" s="22">
        <f t="shared" ca="1" si="0"/>
        <v>14</v>
      </c>
      <c r="J4" s="22">
        <f t="shared" ca="1" si="0"/>
        <v>25</v>
      </c>
      <c r="K4" s="22" t="str">
        <f t="shared" si="0"/>
        <v/>
      </c>
      <c r="L4" s="22" t="str">
        <f t="shared" si="0"/>
        <v/>
      </c>
      <c r="M4" s="22" t="str">
        <f t="shared" si="0"/>
        <v/>
      </c>
      <c r="N4" s="22" t="str">
        <f t="shared" si="0"/>
        <v/>
      </c>
      <c r="O4" s="22" t="str">
        <f t="shared" si="0"/>
        <v/>
      </c>
      <c r="P4" s="22" t="str">
        <f t="shared" si="0"/>
        <v/>
      </c>
      <c r="Q4" s="22" t="str">
        <f t="shared" si="0"/>
        <v/>
      </c>
      <c r="R4" s="22" t="str">
        <f t="shared" si="0"/>
        <v/>
      </c>
      <c r="S4" s="22" t="str">
        <f t="shared" si="0"/>
        <v/>
      </c>
      <c r="T4" s="22" t="str">
        <f t="shared" si="0"/>
        <v/>
      </c>
      <c r="U4" s="22" t="str">
        <f t="shared" si="0"/>
        <v/>
      </c>
      <c r="V4" s="22" t="str">
        <f t="shared" si="0"/>
        <v/>
      </c>
      <c r="W4" s="22" t="str">
        <f t="shared" si="0"/>
        <v/>
      </c>
      <c r="X4" s="22" t="str">
        <f t="shared" si="0"/>
        <v/>
      </c>
      <c r="Y4" s="22" t="str">
        <f t="shared" si="0"/>
        <v/>
      </c>
      <c r="Z4" s="22" t="str">
        <f t="shared" si="0"/>
        <v/>
      </c>
      <c r="AA4" s="22" t="str">
        <f t="shared" si="0"/>
        <v/>
      </c>
      <c r="AB4" s="22" t="str">
        <f>IF(AB2&gt;0,MAX(AB5:AB39),"")</f>
        <v/>
      </c>
    </row>
    <row r="5" spans="1:28" x14ac:dyDescent="0.2">
      <c r="A5" s="136">
        <v>12345678</v>
      </c>
      <c r="B5" s="136">
        <f ca="1">RANDBETWEEN(2,B$2)</f>
        <v>14</v>
      </c>
      <c r="C5" s="136">
        <f t="shared" ref="C5:J8" ca="1" si="1">RANDBETWEEN(2,C$2)</f>
        <v>17</v>
      </c>
      <c r="D5" s="136">
        <f t="shared" ca="1" si="1"/>
        <v>7</v>
      </c>
      <c r="E5" s="136">
        <f t="shared" ca="1" si="1"/>
        <v>11</v>
      </c>
      <c r="F5" s="136">
        <f t="shared" ca="1" si="1"/>
        <v>26</v>
      </c>
      <c r="G5" s="136">
        <f t="shared" ca="1" si="1"/>
        <v>34</v>
      </c>
      <c r="H5" s="136">
        <f t="shared" ca="1" si="1"/>
        <v>20</v>
      </c>
      <c r="I5" s="136">
        <f t="shared" ca="1" si="1"/>
        <v>13</v>
      </c>
      <c r="J5" s="136">
        <f t="shared" ca="1" si="1"/>
        <v>24</v>
      </c>
      <c r="K5" s="136"/>
      <c r="L5" s="136"/>
      <c r="M5" s="136"/>
      <c r="N5" s="136"/>
      <c r="O5" s="136"/>
      <c r="P5" s="136"/>
      <c r="Q5" s="136"/>
      <c r="R5" s="136"/>
      <c r="S5" s="136"/>
      <c r="T5" s="136"/>
      <c r="U5" s="136"/>
      <c r="V5" s="136"/>
      <c r="W5" s="136"/>
      <c r="X5" s="136"/>
      <c r="Y5" s="136"/>
      <c r="Z5" s="136"/>
      <c r="AA5" s="136"/>
      <c r="AB5" s="136"/>
    </row>
    <row r="6" spans="1:28" x14ac:dyDescent="0.2">
      <c r="A6" s="136">
        <v>23456789</v>
      </c>
      <c r="B6" s="136">
        <f t="shared" ref="B6:B8" ca="1" si="2">RANDBETWEEN(2,B$2)</f>
        <v>13</v>
      </c>
      <c r="C6" s="136">
        <f t="shared" ca="1" si="1"/>
        <v>18</v>
      </c>
      <c r="D6" s="136">
        <f t="shared" ca="1" si="1"/>
        <v>4</v>
      </c>
      <c r="E6" s="136">
        <f t="shared" ca="1" si="1"/>
        <v>9</v>
      </c>
      <c r="F6" s="136">
        <f t="shared" ca="1" si="1"/>
        <v>4</v>
      </c>
      <c r="G6" s="136">
        <f t="shared" ca="1" si="1"/>
        <v>8</v>
      </c>
      <c r="H6" s="136">
        <f t="shared" ca="1" si="1"/>
        <v>17</v>
      </c>
      <c r="I6" s="136">
        <f t="shared" ca="1" si="1"/>
        <v>4</v>
      </c>
      <c r="J6" s="136">
        <f t="shared" ca="1" si="1"/>
        <v>14</v>
      </c>
      <c r="K6" s="136"/>
      <c r="L6" s="136"/>
      <c r="M6" s="136"/>
      <c r="N6" s="136"/>
      <c r="O6" s="136"/>
      <c r="P6" s="136"/>
      <c r="Q6" s="136"/>
      <c r="R6" s="136"/>
      <c r="S6" s="136"/>
      <c r="T6" s="136"/>
      <c r="U6" s="136"/>
      <c r="V6" s="136"/>
      <c r="W6" s="136"/>
      <c r="X6" s="136"/>
      <c r="Y6" s="136"/>
      <c r="Z6" s="136"/>
      <c r="AA6" s="136"/>
      <c r="AB6" s="136"/>
    </row>
    <row r="7" spans="1:28" x14ac:dyDescent="0.2">
      <c r="A7" s="136">
        <v>34567890</v>
      </c>
      <c r="B7" s="136">
        <f t="shared" ca="1" si="2"/>
        <v>7</v>
      </c>
      <c r="C7" s="136">
        <f t="shared" ca="1" si="1"/>
        <v>17</v>
      </c>
      <c r="D7" s="136">
        <f t="shared" ca="1" si="1"/>
        <v>8</v>
      </c>
      <c r="E7" s="136">
        <f t="shared" ca="1" si="1"/>
        <v>5</v>
      </c>
      <c r="F7" s="136">
        <f t="shared" ca="1" si="1"/>
        <v>3</v>
      </c>
      <c r="G7" s="136">
        <f t="shared" ca="1" si="1"/>
        <v>44</v>
      </c>
      <c r="H7" s="136">
        <f t="shared" ca="1" si="1"/>
        <v>19</v>
      </c>
      <c r="I7" s="136">
        <f t="shared" ca="1" si="1"/>
        <v>8</v>
      </c>
      <c r="J7" s="136">
        <f t="shared" ca="1" si="1"/>
        <v>5</v>
      </c>
      <c r="K7" s="136"/>
      <c r="L7" s="136"/>
      <c r="M7" s="136"/>
      <c r="N7" s="136"/>
      <c r="O7" s="136"/>
      <c r="P7" s="136"/>
      <c r="Q7" s="136"/>
      <c r="R7" s="136"/>
      <c r="S7" s="136"/>
      <c r="T7" s="136"/>
      <c r="U7" s="136"/>
      <c r="V7" s="136"/>
      <c r="W7" s="136"/>
      <c r="X7" s="136"/>
      <c r="Y7" s="136"/>
      <c r="Z7" s="136"/>
      <c r="AA7" s="136"/>
      <c r="AB7" s="136"/>
    </row>
    <row r="8" spans="1:28" x14ac:dyDescent="0.2">
      <c r="A8" s="136">
        <v>45678901</v>
      </c>
      <c r="B8" s="136">
        <f t="shared" ca="1" si="2"/>
        <v>17</v>
      </c>
      <c r="C8" s="136">
        <f t="shared" ca="1" si="1"/>
        <v>10</v>
      </c>
      <c r="D8" s="136">
        <f t="shared" ca="1" si="1"/>
        <v>22</v>
      </c>
      <c r="E8" s="136">
        <f t="shared" ca="1" si="1"/>
        <v>3</v>
      </c>
      <c r="F8" s="136">
        <f t="shared" ca="1" si="1"/>
        <v>8</v>
      </c>
      <c r="G8" s="136">
        <f t="shared" ca="1" si="1"/>
        <v>20</v>
      </c>
      <c r="H8" s="136">
        <f t="shared" ca="1" si="1"/>
        <v>14</v>
      </c>
      <c r="I8" s="136">
        <f t="shared" ca="1" si="1"/>
        <v>14</v>
      </c>
      <c r="J8" s="136">
        <f t="shared" ca="1" si="1"/>
        <v>25</v>
      </c>
      <c r="K8" s="136"/>
      <c r="L8" s="136"/>
      <c r="M8" s="136"/>
      <c r="N8" s="136"/>
      <c r="O8" s="136"/>
      <c r="P8" s="136"/>
      <c r="Q8" s="136"/>
      <c r="R8" s="136"/>
      <c r="S8" s="136"/>
      <c r="T8" s="136"/>
      <c r="U8" s="136"/>
      <c r="V8" s="136"/>
      <c r="W8" s="136"/>
      <c r="X8" s="136"/>
      <c r="Y8" s="136"/>
      <c r="Z8" s="136"/>
      <c r="AA8" s="136"/>
      <c r="AB8" s="136"/>
    </row>
    <row r="9" spans="1:28" x14ac:dyDescent="0.2">
      <c r="A9" s="136"/>
      <c r="B9" s="136"/>
      <c r="C9" s="136"/>
      <c r="D9" s="136"/>
      <c r="E9" s="136"/>
      <c r="F9" s="136"/>
      <c r="G9" s="136"/>
      <c r="H9" s="136"/>
      <c r="I9" s="136"/>
      <c r="J9" s="136"/>
      <c r="K9" s="136"/>
      <c r="L9" s="136"/>
      <c r="M9" s="136"/>
      <c r="N9" s="136"/>
      <c r="O9" s="136"/>
      <c r="P9" s="136"/>
      <c r="Q9" s="136"/>
      <c r="R9" s="136"/>
      <c r="S9" s="136"/>
      <c r="T9" s="136"/>
      <c r="U9" s="136"/>
      <c r="V9" s="136"/>
      <c r="W9" s="136"/>
      <c r="X9" s="136"/>
      <c r="Y9" s="136"/>
      <c r="Z9" s="136"/>
      <c r="AA9" s="136"/>
      <c r="AB9" s="136"/>
    </row>
    <row r="10" spans="1:28" x14ac:dyDescent="0.2">
      <c r="A10" s="136"/>
      <c r="B10" s="136"/>
      <c r="C10" s="136"/>
      <c r="D10" s="136"/>
      <c r="E10" s="136"/>
      <c r="F10" s="136"/>
      <c r="G10" s="136"/>
      <c r="H10" s="136"/>
      <c r="I10" s="136"/>
      <c r="J10" s="136"/>
      <c r="K10" s="136"/>
      <c r="L10" s="136"/>
      <c r="M10" s="136"/>
      <c r="N10" s="136"/>
      <c r="O10" s="136"/>
      <c r="P10" s="136"/>
      <c r="Q10" s="136"/>
      <c r="R10" s="136"/>
      <c r="S10" s="136"/>
      <c r="T10" s="136"/>
      <c r="U10" s="136"/>
      <c r="V10" s="136"/>
      <c r="W10" s="136"/>
      <c r="X10" s="136"/>
      <c r="Y10" s="136"/>
      <c r="Z10" s="136"/>
      <c r="AA10" s="136"/>
      <c r="AB10" s="136"/>
    </row>
    <row r="11" spans="1:28" x14ac:dyDescent="0.2">
      <c r="A11" s="136"/>
      <c r="B11" s="136"/>
      <c r="C11" s="136"/>
      <c r="D11" s="136"/>
      <c r="E11" s="136"/>
      <c r="F11" s="136"/>
      <c r="G11" s="136"/>
      <c r="H11" s="136"/>
      <c r="I11" s="136"/>
      <c r="J11" s="136"/>
      <c r="K11" s="136"/>
      <c r="L11" s="136"/>
      <c r="M11" s="136"/>
      <c r="N11" s="136"/>
      <c r="O11" s="136"/>
      <c r="P11" s="136"/>
      <c r="Q11" s="136"/>
      <c r="R11" s="136"/>
      <c r="S11" s="136"/>
      <c r="T11" s="136"/>
      <c r="U11" s="136"/>
      <c r="V11" s="136"/>
      <c r="W11" s="136"/>
      <c r="X11" s="136"/>
      <c r="Y11" s="136"/>
      <c r="Z11" s="136"/>
      <c r="AA11" s="136"/>
      <c r="AB11" s="136"/>
    </row>
    <row r="12" spans="1:28" x14ac:dyDescent="0.2">
      <c r="A12" s="136"/>
      <c r="B12" s="136"/>
      <c r="C12" s="136"/>
      <c r="D12" s="136"/>
      <c r="E12" s="136"/>
      <c r="F12" s="136"/>
      <c r="G12" s="136"/>
      <c r="H12" s="136"/>
      <c r="I12" s="136"/>
      <c r="J12" s="136"/>
      <c r="K12" s="136"/>
      <c r="L12" s="136"/>
      <c r="M12" s="136"/>
      <c r="N12" s="136"/>
      <c r="O12" s="136"/>
      <c r="P12" s="136"/>
      <c r="Q12" s="136"/>
      <c r="R12" s="136"/>
      <c r="S12" s="136"/>
      <c r="T12" s="136"/>
      <c r="U12" s="136"/>
      <c r="V12" s="136"/>
      <c r="W12" s="136"/>
      <c r="X12" s="136"/>
      <c r="Y12" s="136"/>
      <c r="Z12" s="136"/>
      <c r="AA12" s="136"/>
      <c r="AB12" s="136"/>
    </row>
    <row r="13" spans="1:28" x14ac:dyDescent="0.2">
      <c r="A13" s="136"/>
      <c r="B13" s="136"/>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6"/>
      <c r="AA13" s="136"/>
      <c r="AB13" s="136"/>
    </row>
    <row r="14" spans="1:28" x14ac:dyDescent="0.2">
      <c r="A14" s="136"/>
      <c r="B14" s="136"/>
      <c r="C14" s="136"/>
      <c r="D14" s="136"/>
      <c r="E14" s="136"/>
      <c r="F14" s="136"/>
      <c r="G14" s="136"/>
      <c r="H14" s="136"/>
      <c r="I14" s="136"/>
      <c r="J14" s="136"/>
      <c r="K14" s="136"/>
      <c r="L14" s="136"/>
      <c r="M14" s="136"/>
      <c r="N14" s="136"/>
      <c r="O14" s="136"/>
      <c r="P14" s="136"/>
      <c r="Q14" s="136"/>
      <c r="R14" s="136"/>
      <c r="S14" s="136"/>
      <c r="T14" s="136"/>
      <c r="U14" s="136"/>
      <c r="V14" s="136"/>
      <c r="W14" s="136"/>
      <c r="X14" s="136"/>
      <c r="Y14" s="136"/>
      <c r="Z14" s="136"/>
      <c r="AA14" s="136"/>
      <c r="AB14" s="136"/>
    </row>
    <row r="15" spans="1:28" x14ac:dyDescent="0.2">
      <c r="A15" s="136"/>
      <c r="B15" s="136"/>
      <c r="C15" s="136"/>
      <c r="D15" s="136"/>
      <c r="E15" s="136"/>
      <c r="F15" s="136"/>
      <c r="G15" s="136"/>
      <c r="H15" s="136"/>
      <c r="I15" s="136"/>
      <c r="J15" s="136"/>
      <c r="K15" s="136"/>
      <c r="L15" s="136"/>
      <c r="M15" s="136"/>
      <c r="N15" s="136"/>
      <c r="O15" s="136"/>
      <c r="P15" s="136"/>
      <c r="Q15" s="136"/>
      <c r="R15" s="136"/>
      <c r="S15" s="136"/>
      <c r="T15" s="136"/>
      <c r="U15" s="136"/>
      <c r="V15" s="136"/>
      <c r="W15" s="136"/>
      <c r="X15" s="136"/>
      <c r="Y15" s="136"/>
      <c r="Z15" s="136"/>
      <c r="AA15" s="136"/>
      <c r="AB15" s="136"/>
    </row>
    <row r="16" spans="1:28" x14ac:dyDescent="0.2">
      <c r="A16" s="136"/>
      <c r="B16" s="136"/>
      <c r="C16" s="136"/>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6"/>
      <c r="AB16" s="136"/>
    </row>
    <row r="17" spans="1:28" x14ac:dyDescent="0.2">
      <c r="A17" s="136"/>
      <c r="B17" s="136"/>
      <c r="C17" s="136"/>
      <c r="D17" s="136"/>
      <c r="E17" s="136"/>
      <c r="F17" s="136"/>
      <c r="G17" s="136"/>
      <c r="H17" s="136"/>
      <c r="I17" s="136"/>
      <c r="J17" s="136"/>
      <c r="K17" s="136"/>
      <c r="L17" s="136"/>
      <c r="M17" s="136"/>
      <c r="N17" s="136"/>
      <c r="O17" s="136"/>
      <c r="P17" s="136"/>
      <c r="Q17" s="136"/>
      <c r="R17" s="136"/>
      <c r="S17" s="136"/>
      <c r="T17" s="136"/>
      <c r="U17" s="136"/>
      <c r="V17" s="136"/>
      <c r="W17" s="136"/>
      <c r="X17" s="136"/>
      <c r="Y17" s="136"/>
      <c r="Z17" s="136"/>
      <c r="AA17" s="136"/>
      <c r="AB17" s="136"/>
    </row>
    <row r="18" spans="1:28" x14ac:dyDescent="0.2">
      <c r="A18" s="136"/>
      <c r="B18" s="136"/>
      <c r="C18" s="136"/>
      <c r="D18" s="136"/>
      <c r="E18" s="136"/>
      <c r="F18" s="136"/>
      <c r="G18" s="136"/>
      <c r="H18" s="136"/>
      <c r="I18" s="136"/>
      <c r="J18" s="136"/>
      <c r="K18" s="136"/>
      <c r="L18" s="136"/>
      <c r="M18" s="136"/>
      <c r="N18" s="136"/>
      <c r="O18" s="136"/>
      <c r="P18" s="136"/>
      <c r="Q18" s="136"/>
      <c r="R18" s="136"/>
      <c r="S18" s="136"/>
      <c r="T18" s="136"/>
      <c r="U18" s="136"/>
      <c r="V18" s="136"/>
      <c r="W18" s="136"/>
      <c r="X18" s="136"/>
      <c r="Y18" s="136"/>
      <c r="Z18" s="136"/>
      <c r="AA18" s="136"/>
      <c r="AB18" s="136"/>
    </row>
    <row r="19" spans="1:28" x14ac:dyDescent="0.2">
      <c r="A19" s="136"/>
      <c r="B19" s="136"/>
      <c r="C19" s="136"/>
      <c r="D19" s="136"/>
      <c r="E19" s="136"/>
      <c r="F19" s="136"/>
      <c r="G19" s="136"/>
      <c r="H19" s="136"/>
      <c r="I19" s="136"/>
      <c r="J19" s="136"/>
      <c r="K19" s="136"/>
      <c r="L19" s="136"/>
      <c r="M19" s="136"/>
      <c r="N19" s="136"/>
      <c r="O19" s="136"/>
      <c r="P19" s="136"/>
      <c r="Q19" s="136"/>
      <c r="R19" s="136"/>
      <c r="S19" s="136"/>
      <c r="T19" s="136"/>
      <c r="U19" s="136"/>
      <c r="V19" s="136"/>
      <c r="W19" s="136"/>
      <c r="X19" s="136"/>
      <c r="Y19" s="136"/>
      <c r="Z19" s="136"/>
      <c r="AA19" s="136"/>
      <c r="AB19" s="136"/>
    </row>
    <row r="20" spans="1:28" x14ac:dyDescent="0.2">
      <c r="A20" s="136"/>
      <c r="B20" s="136"/>
      <c r="C20" s="136"/>
      <c r="D20" s="136"/>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row>
    <row r="21" spans="1:28" x14ac:dyDescent="0.2">
      <c r="A21" s="136"/>
      <c r="B21" s="136"/>
      <c r="C21" s="136"/>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row>
    <row r="22" spans="1:28" x14ac:dyDescent="0.2">
      <c r="A22" s="136"/>
      <c r="B22" s="136"/>
      <c r="C22" s="136"/>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row>
    <row r="23" spans="1:28" x14ac:dyDescent="0.2">
      <c r="A23" s="136"/>
      <c r="B23" s="136"/>
      <c r="C23" s="136"/>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row>
    <row r="24" spans="1:28" x14ac:dyDescent="0.2">
      <c r="A24" s="136"/>
      <c r="B24" s="136"/>
      <c r="C24" s="136"/>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row>
    <row r="25" spans="1:28" x14ac:dyDescent="0.2">
      <c r="A25" s="136"/>
      <c r="B25" s="136"/>
      <c r="C25" s="136"/>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row>
    <row r="26" spans="1:28" x14ac:dyDescent="0.2">
      <c r="A26" s="136"/>
      <c r="B26" s="136"/>
      <c r="C26" s="136"/>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row>
    <row r="27" spans="1:28" x14ac:dyDescent="0.2">
      <c r="A27" s="136"/>
      <c r="B27" s="136"/>
      <c r="C27" s="136"/>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row>
    <row r="28" spans="1:28" x14ac:dyDescent="0.2">
      <c r="A28" s="136"/>
      <c r="B28" s="136"/>
      <c r="C28" s="136"/>
      <c r="D28" s="136"/>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row>
    <row r="29" spans="1:28" x14ac:dyDescent="0.2">
      <c r="A29" s="136"/>
      <c r="B29" s="136"/>
      <c r="C29" s="136"/>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row>
    <row r="30" spans="1:28" x14ac:dyDescent="0.2">
      <c r="A30" s="136"/>
      <c r="B30" s="136"/>
      <c r="C30" s="136"/>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row>
    <row r="31" spans="1:28" x14ac:dyDescent="0.2">
      <c r="A31" s="136"/>
      <c r="B31" s="136"/>
      <c r="C31" s="136"/>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row>
    <row r="32" spans="1:28" x14ac:dyDescent="0.2">
      <c r="A32" s="136"/>
      <c r="B32" s="136"/>
      <c r="C32" s="136"/>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row>
    <row r="33" spans="1:28" x14ac:dyDescent="0.2">
      <c r="A33" s="136"/>
      <c r="B33" s="136"/>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row>
    <row r="34" spans="1:28" x14ac:dyDescent="0.2">
      <c r="A34" s="136"/>
      <c r="B34" s="136"/>
      <c r="C34" s="136"/>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row>
    <row r="35" spans="1:28" x14ac:dyDescent="0.2">
      <c r="A35" s="136"/>
      <c r="B35" s="136"/>
      <c r="C35" s="136"/>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row>
    <row r="36" spans="1:28" x14ac:dyDescent="0.2">
      <c r="A36" s="136"/>
      <c r="B36" s="136"/>
      <c r="C36" s="136"/>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row>
    <row r="37" spans="1:28" x14ac:dyDescent="0.2">
      <c r="A37" s="136"/>
      <c r="B37" s="136"/>
      <c r="C37" s="136"/>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row>
    <row r="38" spans="1:28" x14ac:dyDescent="0.2">
      <c r="A38" s="136"/>
      <c r="B38" s="136"/>
      <c r="C38" s="136"/>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row>
    <row r="39" spans="1:28" x14ac:dyDescent="0.2">
      <c r="A39" s="136"/>
      <c r="B39" s="136"/>
      <c r="C39" s="136"/>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row>
    <row r="40" spans="1:28" x14ac:dyDescent="0.2">
      <c r="A40" s="136"/>
      <c r="B40" s="136"/>
      <c r="C40" s="136"/>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row>
    <row r="41" spans="1:28" x14ac:dyDescent="0.2">
      <c r="A41" s="136"/>
      <c r="B41" s="136"/>
      <c r="C41" s="136"/>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row>
    <row r="42" spans="1:28" x14ac:dyDescent="0.2">
      <c r="A42" s="136"/>
      <c r="B42" s="136"/>
      <c r="C42" s="136"/>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row>
    <row r="43" spans="1:28" x14ac:dyDescent="0.2">
      <c r="A43" s="136"/>
      <c r="B43" s="136"/>
      <c r="C43" s="136"/>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row>
    <row r="44" spans="1:28" x14ac:dyDescent="0.2">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row>
    <row r="45" spans="1:28" x14ac:dyDescent="0.2">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row>
    <row r="46" spans="1:28" x14ac:dyDescent="0.2">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row>
    <row r="47" spans="1:28" x14ac:dyDescent="0.2">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row>
    <row r="48" spans="1:28" x14ac:dyDescent="0.2">
      <c r="A48" s="136"/>
      <c r="B48" s="136"/>
      <c r="C48" s="136"/>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row>
    <row r="49" spans="1:28" x14ac:dyDescent="0.2">
      <c r="A49" s="136"/>
      <c r="B49" s="136"/>
      <c r="C49" s="136"/>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row>
    <row r="50" spans="1:28" x14ac:dyDescent="0.2">
      <c r="A50" s="136"/>
      <c r="B50" s="136"/>
      <c r="C50" s="136"/>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row>
    <row r="51" spans="1:28" x14ac:dyDescent="0.2">
      <c r="A51" s="136"/>
      <c r="B51" s="136"/>
      <c r="C51" s="136"/>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6"/>
      <c r="AB51" s="136"/>
    </row>
    <row r="52" spans="1:28" x14ac:dyDescent="0.2">
      <c r="A52" s="136"/>
      <c r="B52" s="136"/>
      <c r="C52" s="136"/>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136"/>
      <c r="AB52" s="136"/>
    </row>
    <row r="53" spans="1:28" x14ac:dyDescent="0.2">
      <c r="A53" s="136"/>
      <c r="B53" s="136"/>
      <c r="C53" s="136"/>
      <c r="D53" s="136"/>
      <c r="E53" s="136"/>
      <c r="F53" s="136"/>
      <c r="G53" s="136"/>
      <c r="H53" s="136"/>
      <c r="I53" s="136"/>
      <c r="J53" s="136"/>
      <c r="K53" s="136"/>
      <c r="L53" s="136"/>
      <c r="M53" s="136"/>
      <c r="N53" s="136"/>
      <c r="O53" s="136"/>
      <c r="P53" s="136"/>
      <c r="Q53" s="136"/>
      <c r="R53" s="136"/>
      <c r="S53" s="136"/>
      <c r="T53" s="136"/>
      <c r="U53" s="136"/>
      <c r="V53" s="136"/>
      <c r="W53" s="136"/>
      <c r="X53" s="136"/>
      <c r="Y53" s="136"/>
      <c r="Z53" s="136"/>
      <c r="AA53" s="136"/>
      <c r="AB53" s="136"/>
    </row>
    <row r="54" spans="1:28" x14ac:dyDescent="0.2">
      <c r="A54" s="136"/>
      <c r="B54" s="136"/>
      <c r="C54" s="136"/>
      <c r="D54" s="136"/>
      <c r="E54" s="136"/>
      <c r="F54" s="136"/>
      <c r="G54" s="136"/>
      <c r="H54" s="136"/>
      <c r="I54" s="136"/>
      <c r="J54" s="136"/>
      <c r="K54" s="136"/>
      <c r="L54" s="136"/>
      <c r="M54" s="136"/>
      <c r="N54" s="136"/>
      <c r="O54" s="136"/>
      <c r="P54" s="136"/>
      <c r="Q54" s="136"/>
      <c r="R54" s="136"/>
      <c r="S54" s="136"/>
      <c r="T54" s="136"/>
      <c r="U54" s="136"/>
      <c r="V54" s="136"/>
      <c r="W54" s="136"/>
      <c r="X54" s="136"/>
      <c r="Y54" s="136"/>
      <c r="Z54" s="136"/>
      <c r="AA54" s="136"/>
      <c r="AB54" s="136"/>
    </row>
    <row r="55" spans="1:28" x14ac:dyDescent="0.2">
      <c r="A55" s="136"/>
      <c r="B55" s="136"/>
      <c r="C55" s="136"/>
      <c r="D55" s="136"/>
      <c r="E55" s="136"/>
      <c r="F55" s="136"/>
      <c r="G55" s="136"/>
      <c r="H55" s="136"/>
      <c r="I55" s="136"/>
      <c r="J55" s="136"/>
      <c r="K55" s="136"/>
      <c r="L55" s="136"/>
      <c r="M55" s="136"/>
      <c r="N55" s="136"/>
      <c r="O55" s="136"/>
      <c r="P55" s="136"/>
      <c r="Q55" s="136"/>
      <c r="R55" s="136"/>
      <c r="S55" s="136"/>
      <c r="T55" s="136"/>
      <c r="U55" s="136"/>
      <c r="V55" s="136"/>
      <c r="W55" s="136"/>
      <c r="X55" s="136"/>
      <c r="Y55" s="136"/>
      <c r="Z55" s="136"/>
      <c r="AA55" s="136"/>
      <c r="AB55" s="136"/>
    </row>
    <row r="56" spans="1:28" x14ac:dyDescent="0.2">
      <c r="A56" s="136"/>
      <c r="B56" s="136"/>
      <c r="C56" s="136"/>
      <c r="D56" s="136"/>
      <c r="E56" s="136"/>
      <c r="F56" s="136"/>
      <c r="G56" s="136"/>
      <c r="H56" s="136"/>
      <c r="I56" s="136"/>
      <c r="J56" s="136"/>
      <c r="K56" s="136"/>
      <c r="L56" s="136"/>
      <c r="M56" s="136"/>
      <c r="N56" s="136"/>
      <c r="O56" s="136"/>
      <c r="P56" s="136"/>
      <c r="Q56" s="136"/>
      <c r="R56" s="136"/>
      <c r="S56" s="136"/>
      <c r="T56" s="136"/>
      <c r="U56" s="136"/>
      <c r="V56" s="136"/>
      <c r="W56" s="136"/>
      <c r="X56" s="136"/>
      <c r="Y56" s="136"/>
      <c r="Z56" s="136"/>
      <c r="AA56" s="136"/>
      <c r="AB56" s="136"/>
    </row>
    <row r="57" spans="1:28" x14ac:dyDescent="0.2">
      <c r="A57" s="136"/>
      <c r="B57" s="136"/>
      <c r="C57" s="136"/>
      <c r="D57" s="136"/>
      <c r="E57" s="136"/>
      <c r="F57" s="136"/>
      <c r="G57" s="136"/>
      <c r="H57" s="136"/>
      <c r="I57" s="136"/>
      <c r="J57" s="136"/>
      <c r="K57" s="136"/>
      <c r="L57" s="136"/>
      <c r="M57" s="136"/>
      <c r="N57" s="136"/>
      <c r="O57" s="136"/>
      <c r="P57" s="136"/>
      <c r="Q57" s="136"/>
      <c r="R57" s="136"/>
      <c r="S57" s="136"/>
      <c r="T57" s="136"/>
      <c r="U57" s="136"/>
      <c r="V57" s="136"/>
      <c r="W57" s="136"/>
      <c r="X57" s="136"/>
      <c r="Y57" s="136"/>
      <c r="Z57" s="136"/>
      <c r="AA57" s="136"/>
      <c r="AB57" s="136"/>
    </row>
    <row r="58" spans="1:28" x14ac:dyDescent="0.2">
      <c r="A58" s="136"/>
      <c r="B58" s="136"/>
      <c r="C58" s="136"/>
      <c r="D58" s="136"/>
      <c r="E58" s="136"/>
      <c r="F58" s="136"/>
      <c r="G58" s="136"/>
      <c r="H58" s="136"/>
      <c r="I58" s="136"/>
      <c r="J58" s="136"/>
      <c r="K58" s="136"/>
      <c r="L58" s="136"/>
      <c r="M58" s="136"/>
      <c r="N58" s="136"/>
      <c r="O58" s="136"/>
      <c r="P58" s="136"/>
      <c r="Q58" s="136"/>
      <c r="R58" s="136"/>
      <c r="S58" s="136"/>
      <c r="T58" s="136"/>
      <c r="U58" s="136"/>
      <c r="V58" s="136"/>
      <c r="W58" s="136"/>
      <c r="X58" s="136"/>
      <c r="Y58" s="136"/>
      <c r="Z58" s="136"/>
      <c r="AA58" s="136"/>
      <c r="AB58" s="136"/>
    </row>
    <row r="59" spans="1:28" x14ac:dyDescent="0.2">
      <c r="A59" s="136"/>
      <c r="B59" s="136"/>
      <c r="C59" s="136"/>
      <c r="D59" s="136"/>
      <c r="E59" s="136"/>
      <c r="F59" s="136"/>
      <c r="G59" s="136"/>
      <c r="H59" s="136"/>
      <c r="I59" s="136"/>
      <c r="J59" s="136"/>
      <c r="K59" s="136"/>
      <c r="L59" s="136"/>
      <c r="M59" s="136"/>
      <c r="N59" s="136"/>
      <c r="O59" s="136"/>
      <c r="P59" s="136"/>
      <c r="Q59" s="136"/>
      <c r="R59" s="136"/>
      <c r="S59" s="136"/>
      <c r="T59" s="136"/>
      <c r="U59" s="136"/>
      <c r="V59" s="136"/>
      <c r="W59" s="136"/>
      <c r="X59" s="136"/>
      <c r="Y59" s="136"/>
      <c r="Z59" s="136"/>
      <c r="AA59" s="136"/>
      <c r="AB59" s="136"/>
    </row>
    <row r="60" spans="1:28" x14ac:dyDescent="0.2">
      <c r="A60" s="136"/>
      <c r="B60" s="136"/>
      <c r="C60" s="136"/>
      <c r="D60" s="136"/>
      <c r="E60" s="136"/>
      <c r="F60" s="136"/>
      <c r="G60" s="136"/>
      <c r="H60" s="136"/>
      <c r="I60" s="136"/>
      <c r="J60" s="136"/>
      <c r="K60" s="136"/>
      <c r="L60" s="136"/>
      <c r="M60" s="136"/>
      <c r="N60" s="136"/>
      <c r="O60" s="136"/>
      <c r="P60" s="136"/>
      <c r="Q60" s="136"/>
      <c r="R60" s="136"/>
      <c r="S60" s="136"/>
      <c r="T60" s="136"/>
      <c r="U60" s="136"/>
      <c r="V60" s="136"/>
      <c r="W60" s="136"/>
      <c r="X60" s="136"/>
      <c r="Y60" s="136"/>
      <c r="Z60" s="136"/>
      <c r="AA60" s="136"/>
      <c r="AB60" s="136"/>
    </row>
    <row r="61" spans="1:28" x14ac:dyDescent="0.2">
      <c r="A61" s="136"/>
      <c r="B61" s="136"/>
      <c r="C61" s="136"/>
      <c r="D61" s="136"/>
      <c r="E61" s="136"/>
      <c r="F61" s="136"/>
      <c r="G61" s="136"/>
      <c r="H61" s="136"/>
      <c r="I61" s="136"/>
      <c r="J61" s="136"/>
      <c r="K61" s="136"/>
      <c r="L61" s="136"/>
      <c r="M61" s="136"/>
      <c r="N61" s="136"/>
      <c r="O61" s="136"/>
      <c r="P61" s="136"/>
      <c r="Q61" s="136"/>
      <c r="R61" s="136"/>
      <c r="S61" s="136"/>
      <c r="T61" s="136"/>
      <c r="U61" s="136"/>
      <c r="V61" s="136"/>
      <c r="W61" s="136"/>
      <c r="X61" s="136"/>
      <c r="Y61" s="136"/>
      <c r="Z61" s="136"/>
      <c r="AA61" s="136"/>
      <c r="AB61" s="136"/>
    </row>
    <row r="62" spans="1:28" x14ac:dyDescent="0.2">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row>
    <row r="63" spans="1:28" x14ac:dyDescent="0.2">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row>
    <row r="64" spans="1:28" x14ac:dyDescent="0.2">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row>
    <row r="65" spans="1:28" x14ac:dyDescent="0.2">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row>
    <row r="66" spans="1:28" x14ac:dyDescent="0.2">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row>
    <row r="67" spans="1:28" x14ac:dyDescent="0.2">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row>
    <row r="68" spans="1:28" x14ac:dyDescent="0.2">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row>
    <row r="69" spans="1:28" x14ac:dyDescent="0.2">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row>
    <row r="70" spans="1:28" x14ac:dyDescent="0.2">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row>
    <row r="71" spans="1:28" x14ac:dyDescent="0.2">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row>
    <row r="72" spans="1:28" x14ac:dyDescent="0.2">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row>
    <row r="73" spans="1:28" x14ac:dyDescent="0.2">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row>
    <row r="74" spans="1:28" x14ac:dyDescent="0.2">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row>
    <row r="75" spans="1:28" x14ac:dyDescent="0.2">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row>
    <row r="76" spans="1:28" x14ac:dyDescent="0.2">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row>
    <row r="77" spans="1:28" x14ac:dyDescent="0.2">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row>
    <row r="78" spans="1:28" x14ac:dyDescent="0.2">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row>
    <row r="79" spans="1:28" x14ac:dyDescent="0.2">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row>
    <row r="80" spans="1:28" x14ac:dyDescent="0.2">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row>
    <row r="81" spans="1:28" x14ac:dyDescent="0.2">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row>
    <row r="82" spans="1:28" x14ac:dyDescent="0.2">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row>
    <row r="83" spans="1:28" x14ac:dyDescent="0.2">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row>
    <row r="84" spans="1:28" x14ac:dyDescent="0.2">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row>
    <row r="85" spans="1:28" x14ac:dyDescent="0.2">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row>
    <row r="86" spans="1:28" x14ac:dyDescent="0.2">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row>
    <row r="87" spans="1:28" x14ac:dyDescent="0.2">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row>
    <row r="88" spans="1:28" x14ac:dyDescent="0.2">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row>
    <row r="89" spans="1:28" x14ac:dyDescent="0.2">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row>
    <row r="90" spans="1:28" x14ac:dyDescent="0.2">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row>
    <row r="91" spans="1:28" x14ac:dyDescent="0.2">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row>
    <row r="92" spans="1:28" x14ac:dyDescent="0.2">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row>
    <row r="93" spans="1:28" x14ac:dyDescent="0.2">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row>
    <row r="94" spans="1:28" x14ac:dyDescent="0.2">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row>
    <row r="95" spans="1:28" x14ac:dyDescent="0.2">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row>
    <row r="96" spans="1:28" x14ac:dyDescent="0.2">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row>
    <row r="97" spans="1:28" x14ac:dyDescent="0.2">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row>
    <row r="98" spans="1:28" x14ac:dyDescent="0.2">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row>
    <row r="99" spans="1:28" x14ac:dyDescent="0.2">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row>
    <row r="100" spans="1:28" x14ac:dyDescent="0.2">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row>
    <row r="101" spans="1:28" x14ac:dyDescent="0.2">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row>
    <row r="102" spans="1:28" x14ac:dyDescent="0.2">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row>
    <row r="103" spans="1:28" x14ac:dyDescent="0.2">
      <c r="A103" s="136"/>
      <c r="B103" s="136"/>
      <c r="C103" s="136"/>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row>
    <row r="104" spans="1:28" x14ac:dyDescent="0.2">
      <c r="A104" s="136"/>
      <c r="B104" s="136"/>
      <c r="C104" s="136"/>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row>
    <row r="105" spans="1:28" x14ac:dyDescent="0.2">
      <c r="A105" s="136"/>
      <c r="B105" s="136"/>
      <c r="C105" s="136"/>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row>
    <row r="106" spans="1:28" x14ac:dyDescent="0.2">
      <c r="A106" s="136"/>
      <c r="B106" s="136"/>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row>
    <row r="107" spans="1:28" x14ac:dyDescent="0.2">
      <c r="A107" s="136"/>
      <c r="B107" s="136"/>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row>
    <row r="108" spans="1:28" x14ac:dyDescent="0.2">
      <c r="A108" s="136"/>
      <c r="B108" s="136"/>
      <c r="C108" s="13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row>
    <row r="109" spans="1:28" x14ac:dyDescent="0.2">
      <c r="A109" s="136"/>
      <c r="B109" s="136"/>
      <c r="C109" s="13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row>
    <row r="110" spans="1:28" x14ac:dyDescent="0.2">
      <c r="A110" s="136"/>
      <c r="B110" s="136"/>
      <c r="C110" s="136"/>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row>
    <row r="111" spans="1:28" x14ac:dyDescent="0.2">
      <c r="A111" s="136"/>
      <c r="B111" s="136"/>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row>
    <row r="112" spans="1:28" x14ac:dyDescent="0.2">
      <c r="A112" s="136"/>
      <c r="B112" s="136"/>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row>
    <row r="113" spans="1:28" x14ac:dyDescent="0.2">
      <c r="A113" s="136"/>
      <c r="B113" s="136"/>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row>
    <row r="114" spans="1:28" x14ac:dyDescent="0.2">
      <c r="A114" s="136"/>
      <c r="B114" s="136"/>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row>
    <row r="115" spans="1:28" x14ac:dyDescent="0.2">
      <c r="A115" s="136"/>
      <c r="B115" s="136"/>
      <c r="C115" s="136"/>
      <c r="D115" s="136"/>
      <c r="E115" s="136"/>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36"/>
    </row>
    <row r="116" spans="1:28" x14ac:dyDescent="0.2">
      <c r="A116" s="136"/>
      <c r="B116" s="136"/>
      <c r="C116" s="136"/>
      <c r="D116" s="136"/>
      <c r="E116" s="136"/>
      <c r="F116" s="136"/>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36"/>
    </row>
    <row r="117" spans="1:28" x14ac:dyDescent="0.2">
      <c r="A117" s="136"/>
      <c r="B117" s="136"/>
      <c r="C117" s="136"/>
      <c r="D117" s="136"/>
      <c r="E117" s="136"/>
      <c r="F117" s="136"/>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36"/>
    </row>
    <row r="118" spans="1:28" x14ac:dyDescent="0.2">
      <c r="A118" s="136"/>
      <c r="B118" s="136"/>
      <c r="C118" s="136"/>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36"/>
    </row>
    <row r="119" spans="1:28" x14ac:dyDescent="0.2">
      <c r="A119" s="136"/>
      <c r="B119" s="136"/>
      <c r="C119" s="136"/>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36"/>
    </row>
    <row r="120" spans="1:28" x14ac:dyDescent="0.2">
      <c r="A120" s="136"/>
      <c r="B120" s="136"/>
      <c r="C120" s="136"/>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36"/>
    </row>
    <row r="121" spans="1:28" x14ac:dyDescent="0.2">
      <c r="A121" s="136"/>
      <c r="B121" s="136"/>
      <c r="C121" s="136"/>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36"/>
    </row>
    <row r="122" spans="1:28" x14ac:dyDescent="0.2">
      <c r="A122" s="136"/>
      <c r="B122" s="136"/>
      <c r="C122" s="136"/>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36"/>
    </row>
    <row r="123" spans="1:28" x14ac:dyDescent="0.2">
      <c r="A123" s="136"/>
      <c r="B123" s="136"/>
      <c r="C123" s="136"/>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36"/>
    </row>
    <row r="124" spans="1:28" x14ac:dyDescent="0.2">
      <c r="A124" s="136"/>
      <c r="B124" s="136"/>
      <c r="C124" s="136"/>
      <c r="D124" s="136"/>
      <c r="E124" s="136"/>
      <c r="F124" s="136"/>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36"/>
    </row>
    <row r="125" spans="1:28" x14ac:dyDescent="0.2">
      <c r="A125" s="136"/>
      <c r="B125" s="136"/>
      <c r="C125" s="136"/>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36"/>
    </row>
    <row r="126" spans="1:28" x14ac:dyDescent="0.2">
      <c r="A126" s="136"/>
      <c r="B126" s="136"/>
      <c r="C126" s="136"/>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36"/>
    </row>
    <row r="127" spans="1:28" x14ac:dyDescent="0.2">
      <c r="A127" s="136"/>
      <c r="B127" s="136"/>
      <c r="C127" s="136"/>
      <c r="D127" s="136"/>
      <c r="E127" s="136"/>
      <c r="F127" s="136"/>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36"/>
    </row>
    <row r="128" spans="1:28" x14ac:dyDescent="0.2">
      <c r="A128" s="136"/>
      <c r="B128" s="136"/>
      <c r="C128" s="136"/>
      <c r="D128" s="136"/>
      <c r="E128" s="136"/>
      <c r="F128" s="136"/>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36"/>
    </row>
    <row r="129" spans="1:28" x14ac:dyDescent="0.2">
      <c r="A129" s="136"/>
      <c r="B129" s="136"/>
      <c r="C129" s="136"/>
      <c r="D129" s="136"/>
      <c r="E129" s="136"/>
      <c r="F129" s="136"/>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36"/>
    </row>
    <row r="130" spans="1:28" x14ac:dyDescent="0.2">
      <c r="A130" s="136"/>
      <c r="B130" s="136"/>
      <c r="C130" s="136"/>
      <c r="D130" s="136"/>
      <c r="E130" s="136"/>
      <c r="F130" s="136"/>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36"/>
    </row>
    <row r="131" spans="1:28" x14ac:dyDescent="0.2">
      <c r="A131" s="136"/>
      <c r="B131" s="136"/>
      <c r="C131" s="136"/>
      <c r="D131" s="136"/>
      <c r="E131" s="136"/>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36"/>
    </row>
    <row r="132" spans="1:28" x14ac:dyDescent="0.2">
      <c r="A132" s="136"/>
      <c r="B132" s="136"/>
      <c r="C132" s="136"/>
      <c r="D132" s="136"/>
      <c r="E132" s="136"/>
      <c r="F132" s="136"/>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36"/>
    </row>
    <row r="133" spans="1:28" x14ac:dyDescent="0.2">
      <c r="A133" s="136"/>
      <c r="B133" s="136"/>
      <c r="C133" s="136"/>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row>
    <row r="134" spans="1:28" x14ac:dyDescent="0.2">
      <c r="A134" s="136"/>
      <c r="B134" s="136"/>
      <c r="C134" s="136"/>
      <c r="D134" s="136"/>
      <c r="E134" s="136"/>
      <c r="F134" s="13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row>
    <row r="135" spans="1:28" x14ac:dyDescent="0.2">
      <c r="A135" s="136"/>
      <c r="B135" s="136"/>
      <c r="C135" s="136"/>
      <c r="D135" s="136"/>
      <c r="E135" s="136"/>
      <c r="F135" s="136"/>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36"/>
    </row>
    <row r="136" spans="1:28" x14ac:dyDescent="0.2">
      <c r="A136" s="136"/>
      <c r="B136" s="136"/>
      <c r="C136" s="136"/>
      <c r="D136" s="136"/>
      <c r="E136" s="136"/>
      <c r="F136" s="136"/>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36"/>
    </row>
    <row r="137" spans="1:28" x14ac:dyDescent="0.2">
      <c r="A137" s="136"/>
      <c r="B137" s="136"/>
      <c r="C137" s="136"/>
      <c r="D137" s="136"/>
      <c r="E137" s="136"/>
      <c r="F137" s="136"/>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36"/>
    </row>
    <row r="138" spans="1:28" x14ac:dyDescent="0.2">
      <c r="A138" s="136"/>
      <c r="B138" s="136"/>
      <c r="C138" s="136"/>
      <c r="D138" s="136"/>
      <c r="E138" s="136"/>
      <c r="F138" s="136"/>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36"/>
    </row>
    <row r="139" spans="1:28" x14ac:dyDescent="0.2">
      <c r="A139" s="136"/>
      <c r="B139" s="136"/>
      <c r="C139" s="136"/>
      <c r="D139" s="136"/>
      <c r="E139" s="136"/>
      <c r="F139" s="136"/>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36"/>
    </row>
    <row r="140" spans="1:28" x14ac:dyDescent="0.2">
      <c r="A140" s="136"/>
      <c r="B140" s="136"/>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36"/>
    </row>
    <row r="141" spans="1:28" x14ac:dyDescent="0.2">
      <c r="A141" s="136"/>
      <c r="B141" s="136"/>
      <c r="C141" s="136"/>
      <c r="D141" s="136"/>
      <c r="E141" s="136"/>
      <c r="F141" s="136"/>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36"/>
    </row>
    <row r="142" spans="1:28" x14ac:dyDescent="0.2">
      <c r="A142" s="136"/>
      <c r="B142" s="136"/>
      <c r="C142" s="136"/>
      <c r="D142" s="136"/>
      <c r="E142" s="136"/>
      <c r="F142" s="136"/>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36"/>
    </row>
    <row r="143" spans="1:28" x14ac:dyDescent="0.2">
      <c r="A143" s="136"/>
      <c r="B143" s="136"/>
      <c r="C143" s="136"/>
      <c r="D143" s="136"/>
      <c r="E143" s="136"/>
      <c r="F143" s="136"/>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36"/>
    </row>
    <row r="144" spans="1:28" x14ac:dyDescent="0.2">
      <c r="A144" s="136"/>
      <c r="B144" s="136"/>
      <c r="C144" s="136"/>
      <c r="D144" s="136"/>
      <c r="E144" s="136"/>
      <c r="F144" s="136"/>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36"/>
    </row>
    <row r="145" spans="1:28" x14ac:dyDescent="0.2">
      <c r="A145" s="136"/>
      <c r="B145" s="136"/>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36"/>
    </row>
    <row r="146" spans="1:28" x14ac:dyDescent="0.2">
      <c r="A146" s="136"/>
      <c r="B146" s="136"/>
      <c r="C146" s="136"/>
      <c r="D146" s="136"/>
      <c r="E146" s="136"/>
      <c r="F146" s="136"/>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36"/>
    </row>
    <row r="147" spans="1:28" x14ac:dyDescent="0.2">
      <c r="A147" s="136"/>
      <c r="B147" s="136"/>
      <c r="C147" s="136"/>
      <c r="D147" s="136"/>
      <c r="E147" s="136"/>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36"/>
    </row>
    <row r="148" spans="1:28" x14ac:dyDescent="0.2">
      <c r="A148" s="136"/>
      <c r="B148" s="136"/>
      <c r="C148" s="136"/>
      <c r="D148" s="136"/>
      <c r="E148" s="136"/>
      <c r="F148" s="136"/>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36"/>
    </row>
    <row r="149" spans="1:28" x14ac:dyDescent="0.2">
      <c r="A149" s="136"/>
      <c r="B149" s="136"/>
      <c r="C149" s="136"/>
      <c r="D149" s="136"/>
      <c r="E149" s="136"/>
      <c r="F149" s="136"/>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36"/>
    </row>
    <row r="150" spans="1:28" x14ac:dyDescent="0.2">
      <c r="A150" s="136"/>
      <c r="B150" s="136"/>
      <c r="C150" s="136"/>
      <c r="D150" s="136"/>
      <c r="E150" s="136"/>
      <c r="F150" s="136"/>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36"/>
    </row>
    <row r="151" spans="1:28" x14ac:dyDescent="0.2">
      <c r="A151" s="136"/>
      <c r="B151" s="136"/>
      <c r="C151" s="136"/>
      <c r="D151" s="136"/>
      <c r="E151" s="136"/>
      <c r="F151" s="136"/>
      <c r="G151" s="136"/>
      <c r="H151" s="136"/>
      <c r="I151" s="136"/>
      <c r="J151" s="136"/>
      <c r="K151" s="136"/>
      <c r="L151" s="136"/>
      <c r="M151" s="136"/>
      <c r="N151" s="136"/>
      <c r="O151" s="136"/>
      <c r="P151" s="136"/>
      <c r="Q151" s="136"/>
      <c r="R151" s="136"/>
      <c r="S151" s="136"/>
      <c r="T151" s="136"/>
      <c r="U151" s="136"/>
      <c r="V151" s="136"/>
      <c r="W151" s="136"/>
      <c r="X151" s="136"/>
      <c r="Y151" s="136"/>
      <c r="Z151" s="136"/>
      <c r="AA151" s="136"/>
      <c r="AB151" s="136"/>
    </row>
    <row r="152" spans="1:28" x14ac:dyDescent="0.2">
      <c r="A152" s="136"/>
      <c r="B152" s="136"/>
      <c r="C152" s="136"/>
      <c r="D152" s="136"/>
      <c r="E152" s="136"/>
      <c r="F152" s="136"/>
      <c r="G152" s="136"/>
      <c r="H152" s="136"/>
      <c r="I152" s="136"/>
      <c r="J152" s="136"/>
      <c r="K152" s="136"/>
      <c r="L152" s="136"/>
      <c r="M152" s="136"/>
      <c r="N152" s="136"/>
      <c r="O152" s="136"/>
      <c r="P152" s="136"/>
      <c r="Q152" s="136"/>
      <c r="R152" s="136"/>
      <c r="S152" s="136"/>
      <c r="T152" s="136"/>
      <c r="U152" s="136"/>
      <c r="V152" s="136"/>
      <c r="W152" s="136"/>
      <c r="X152" s="136"/>
      <c r="Y152" s="136"/>
      <c r="Z152" s="136"/>
      <c r="AA152" s="136"/>
      <c r="AB152" s="136"/>
    </row>
    <row r="153" spans="1:28" x14ac:dyDescent="0.2">
      <c r="A153" s="136"/>
      <c r="B153" s="136"/>
      <c r="C153" s="136"/>
      <c r="D153" s="136"/>
      <c r="E153" s="136"/>
      <c r="F153" s="136"/>
      <c r="G153" s="136"/>
      <c r="H153" s="136"/>
      <c r="I153" s="136"/>
      <c r="J153" s="136"/>
      <c r="K153" s="136"/>
      <c r="L153" s="136"/>
      <c r="M153" s="136"/>
      <c r="N153" s="136"/>
      <c r="O153" s="136"/>
      <c r="P153" s="136"/>
      <c r="Q153" s="136"/>
      <c r="R153" s="136"/>
      <c r="S153" s="136"/>
      <c r="T153" s="136"/>
      <c r="U153" s="136"/>
      <c r="V153" s="136"/>
      <c r="W153" s="136"/>
      <c r="X153" s="136"/>
      <c r="Y153" s="136"/>
      <c r="Z153" s="136"/>
      <c r="AA153" s="136"/>
      <c r="AB153" s="136"/>
    </row>
    <row r="154" spans="1:28" x14ac:dyDescent="0.2">
      <c r="A154" s="136"/>
      <c r="B154" s="136"/>
      <c r="C154" s="136"/>
      <c r="D154" s="136"/>
      <c r="E154" s="136"/>
      <c r="F154" s="136"/>
      <c r="G154" s="136"/>
      <c r="H154" s="136"/>
      <c r="I154" s="136"/>
      <c r="J154" s="136"/>
      <c r="K154" s="136"/>
      <c r="L154" s="136"/>
      <c r="M154" s="136"/>
      <c r="N154" s="136"/>
      <c r="O154" s="136"/>
      <c r="P154" s="136"/>
      <c r="Q154" s="136"/>
      <c r="R154" s="136"/>
      <c r="S154" s="136"/>
      <c r="T154" s="136"/>
      <c r="U154" s="136"/>
      <c r="V154" s="136"/>
      <c r="W154" s="136"/>
      <c r="X154" s="136"/>
      <c r="Y154" s="136"/>
      <c r="Z154" s="136"/>
      <c r="AA154" s="136"/>
      <c r="AB154" s="136"/>
    </row>
    <row r="155" spans="1:28" x14ac:dyDescent="0.2">
      <c r="A155" s="136"/>
      <c r="B155" s="136"/>
      <c r="C155" s="136"/>
      <c r="D155" s="136"/>
      <c r="E155" s="136"/>
      <c r="F155" s="136"/>
      <c r="G155" s="136"/>
      <c r="H155" s="136"/>
      <c r="I155" s="136"/>
      <c r="J155" s="136"/>
      <c r="K155" s="136"/>
      <c r="L155" s="136"/>
      <c r="M155" s="136"/>
      <c r="N155" s="136"/>
      <c r="O155" s="136"/>
      <c r="P155" s="136"/>
      <c r="Q155" s="136"/>
      <c r="R155" s="136"/>
      <c r="S155" s="136"/>
      <c r="T155" s="136"/>
      <c r="U155" s="136"/>
      <c r="V155" s="136"/>
      <c r="W155" s="136"/>
      <c r="X155" s="136"/>
      <c r="Y155" s="136"/>
      <c r="Z155" s="136"/>
      <c r="AA155" s="136"/>
      <c r="AB155" s="136"/>
    </row>
    <row r="156" spans="1:28" x14ac:dyDescent="0.2">
      <c r="A156" s="136"/>
      <c r="B156" s="136"/>
      <c r="C156" s="136"/>
      <c r="D156" s="136"/>
      <c r="E156" s="136"/>
      <c r="F156" s="136"/>
      <c r="G156" s="136"/>
      <c r="H156" s="136"/>
      <c r="I156" s="136"/>
      <c r="J156" s="136"/>
      <c r="K156" s="136"/>
      <c r="L156" s="136"/>
      <c r="M156" s="136"/>
      <c r="N156" s="136"/>
      <c r="O156" s="136"/>
      <c r="P156" s="136"/>
      <c r="Q156" s="136"/>
      <c r="R156" s="136"/>
      <c r="S156" s="136"/>
      <c r="T156" s="136"/>
      <c r="U156" s="136"/>
      <c r="V156" s="136"/>
      <c r="W156" s="136"/>
      <c r="X156" s="136"/>
      <c r="Y156" s="136"/>
      <c r="Z156" s="136"/>
      <c r="AA156" s="136"/>
      <c r="AB156" s="136"/>
    </row>
    <row r="157" spans="1:28" x14ac:dyDescent="0.2">
      <c r="A157" s="136"/>
      <c r="B157" s="136"/>
      <c r="C157" s="136"/>
      <c r="D157" s="136"/>
      <c r="E157" s="136"/>
      <c r="F157" s="136"/>
      <c r="G157" s="136"/>
      <c r="H157" s="136"/>
      <c r="I157" s="136"/>
      <c r="J157" s="136"/>
      <c r="K157" s="136"/>
      <c r="L157" s="136"/>
      <c r="M157" s="136"/>
      <c r="N157" s="136"/>
      <c r="O157" s="136"/>
      <c r="P157" s="136"/>
      <c r="Q157" s="136"/>
      <c r="R157" s="136"/>
      <c r="S157" s="136"/>
      <c r="T157" s="136"/>
      <c r="U157" s="136"/>
      <c r="V157" s="136"/>
      <c r="W157" s="136"/>
      <c r="X157" s="136"/>
      <c r="Y157" s="136"/>
      <c r="Z157" s="136"/>
      <c r="AA157" s="136"/>
      <c r="AB157" s="136"/>
    </row>
    <row r="158" spans="1:28" x14ac:dyDescent="0.2">
      <c r="A158" s="136"/>
      <c r="B158" s="136"/>
      <c r="C158" s="136"/>
      <c r="D158" s="136"/>
      <c r="E158" s="136"/>
      <c r="F158" s="136"/>
      <c r="G158" s="136"/>
      <c r="H158" s="136"/>
      <c r="I158" s="136"/>
      <c r="J158" s="136"/>
      <c r="K158" s="136"/>
      <c r="L158" s="136"/>
      <c r="M158" s="136"/>
      <c r="N158" s="136"/>
      <c r="O158" s="136"/>
      <c r="P158" s="136"/>
      <c r="Q158" s="136"/>
      <c r="R158" s="136"/>
      <c r="S158" s="136"/>
      <c r="T158" s="136"/>
      <c r="U158" s="136"/>
      <c r="V158" s="136"/>
      <c r="W158" s="136"/>
      <c r="X158" s="136"/>
      <c r="Y158" s="136"/>
      <c r="Z158" s="136"/>
      <c r="AA158" s="136"/>
      <c r="AB158" s="136"/>
    </row>
    <row r="159" spans="1:28" x14ac:dyDescent="0.2">
      <c r="A159" s="136"/>
      <c r="B159" s="136"/>
      <c r="C159" s="136"/>
      <c r="D159" s="136"/>
      <c r="E159" s="136"/>
      <c r="F159" s="136"/>
      <c r="G159" s="136"/>
      <c r="H159" s="136"/>
      <c r="I159" s="136"/>
      <c r="J159" s="136"/>
      <c r="K159" s="136"/>
      <c r="L159" s="136"/>
      <c r="M159" s="136"/>
      <c r="N159" s="136"/>
      <c r="O159" s="136"/>
      <c r="P159" s="136"/>
      <c r="Q159" s="136"/>
      <c r="R159" s="136"/>
      <c r="S159" s="136"/>
      <c r="T159" s="136"/>
      <c r="U159" s="136"/>
      <c r="V159" s="136"/>
      <c r="W159" s="136"/>
      <c r="X159" s="136"/>
      <c r="Y159" s="136"/>
      <c r="Z159" s="136"/>
      <c r="AA159" s="136"/>
      <c r="AB159" s="136"/>
    </row>
    <row r="160" spans="1:28" x14ac:dyDescent="0.2">
      <c r="A160" s="136"/>
      <c r="B160" s="136"/>
      <c r="C160" s="136"/>
      <c r="D160" s="136"/>
      <c r="E160" s="136"/>
      <c r="F160" s="136"/>
      <c r="G160" s="136"/>
      <c r="H160" s="136"/>
      <c r="I160" s="136"/>
      <c r="J160" s="136"/>
      <c r="K160" s="136"/>
      <c r="L160" s="136"/>
      <c r="M160" s="136"/>
      <c r="N160" s="136"/>
      <c r="O160" s="136"/>
      <c r="P160" s="136"/>
      <c r="Q160" s="136"/>
      <c r="R160" s="136"/>
      <c r="S160" s="136"/>
      <c r="T160" s="136"/>
      <c r="U160" s="136"/>
      <c r="V160" s="136"/>
      <c r="W160" s="136"/>
      <c r="X160" s="136"/>
      <c r="Y160" s="136"/>
      <c r="Z160" s="136"/>
      <c r="AA160" s="136"/>
      <c r="AB160" s="136"/>
    </row>
    <row r="161" spans="1:28" x14ac:dyDescent="0.2">
      <c r="A161" s="136"/>
      <c r="B161" s="136"/>
      <c r="C161" s="136"/>
      <c r="D161" s="136"/>
      <c r="E161" s="136"/>
      <c r="F161" s="136"/>
      <c r="G161" s="136"/>
      <c r="H161" s="136"/>
      <c r="I161" s="136"/>
      <c r="J161" s="136"/>
      <c r="K161" s="136"/>
      <c r="L161" s="136"/>
      <c r="M161" s="136"/>
      <c r="N161" s="136"/>
      <c r="O161" s="136"/>
      <c r="P161" s="136"/>
      <c r="Q161" s="136"/>
      <c r="R161" s="136"/>
      <c r="S161" s="136"/>
      <c r="T161" s="136"/>
      <c r="U161" s="136"/>
      <c r="V161" s="136"/>
      <c r="W161" s="136"/>
      <c r="X161" s="136"/>
      <c r="Y161" s="136"/>
      <c r="Z161" s="136"/>
      <c r="AA161" s="136"/>
      <c r="AB161" s="136"/>
    </row>
    <row r="162" spans="1:28" x14ac:dyDescent="0.2">
      <c r="A162" s="136"/>
      <c r="B162" s="136"/>
      <c r="C162" s="136"/>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36"/>
    </row>
    <row r="163" spans="1:28" x14ac:dyDescent="0.2">
      <c r="A163" s="136"/>
      <c r="B163" s="136"/>
      <c r="C163" s="136"/>
      <c r="D163" s="136"/>
      <c r="E163" s="136"/>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36"/>
    </row>
    <row r="164" spans="1:28" x14ac:dyDescent="0.2">
      <c r="A164" s="136"/>
      <c r="B164" s="136"/>
      <c r="C164" s="136"/>
      <c r="D164" s="136"/>
      <c r="E164" s="136"/>
      <c r="F164" s="136"/>
      <c r="G164" s="136"/>
      <c r="H164" s="136"/>
      <c r="I164" s="136"/>
      <c r="J164" s="136"/>
      <c r="K164" s="136"/>
      <c r="L164" s="136"/>
      <c r="M164" s="136"/>
      <c r="N164" s="136"/>
      <c r="O164" s="136"/>
      <c r="P164" s="136"/>
      <c r="Q164" s="136"/>
      <c r="R164" s="136"/>
      <c r="S164" s="136"/>
      <c r="T164" s="136"/>
      <c r="U164" s="136"/>
      <c r="V164" s="136"/>
      <c r="W164" s="136"/>
      <c r="X164" s="136"/>
      <c r="Y164" s="136"/>
      <c r="Z164" s="136"/>
      <c r="AA164" s="136"/>
      <c r="AB164" s="136"/>
    </row>
    <row r="165" spans="1:28" x14ac:dyDescent="0.2">
      <c r="A165" s="136"/>
      <c r="B165" s="136"/>
      <c r="C165" s="136"/>
      <c r="D165" s="136"/>
      <c r="E165" s="136"/>
      <c r="F165" s="136"/>
      <c r="G165" s="136"/>
      <c r="H165" s="136"/>
      <c r="I165" s="136"/>
      <c r="J165" s="136"/>
      <c r="K165" s="136"/>
      <c r="L165" s="136"/>
      <c r="M165" s="136"/>
      <c r="N165" s="136"/>
      <c r="O165" s="136"/>
      <c r="P165" s="136"/>
      <c r="Q165" s="136"/>
      <c r="R165" s="136"/>
      <c r="S165" s="136"/>
      <c r="T165" s="136"/>
      <c r="U165" s="136"/>
      <c r="V165" s="136"/>
      <c r="W165" s="136"/>
      <c r="X165" s="136"/>
      <c r="Y165" s="136"/>
      <c r="Z165" s="136"/>
      <c r="AA165" s="136"/>
      <c r="AB165" s="136"/>
    </row>
    <row r="166" spans="1:28" x14ac:dyDescent="0.2">
      <c r="A166" s="136"/>
      <c r="B166" s="136"/>
      <c r="C166" s="136"/>
      <c r="D166" s="136"/>
      <c r="E166" s="136"/>
      <c r="F166" s="136"/>
      <c r="G166" s="136"/>
      <c r="H166" s="136"/>
      <c r="I166" s="136"/>
      <c r="J166" s="136"/>
      <c r="K166" s="136"/>
      <c r="L166" s="136"/>
      <c r="M166" s="136"/>
      <c r="N166" s="136"/>
      <c r="O166" s="136"/>
      <c r="P166" s="136"/>
      <c r="Q166" s="136"/>
      <c r="R166" s="136"/>
      <c r="S166" s="136"/>
      <c r="T166" s="136"/>
      <c r="U166" s="136"/>
      <c r="V166" s="136"/>
      <c r="W166" s="136"/>
      <c r="X166" s="136"/>
      <c r="Y166" s="136"/>
      <c r="Z166" s="136"/>
      <c r="AA166" s="136"/>
      <c r="AB166" s="136"/>
    </row>
    <row r="167" spans="1:28" x14ac:dyDescent="0.2">
      <c r="A167" s="136"/>
      <c r="B167" s="136"/>
      <c r="C167" s="136"/>
      <c r="D167" s="136"/>
      <c r="E167" s="136"/>
      <c r="F167" s="136"/>
      <c r="G167" s="136"/>
      <c r="H167" s="136"/>
      <c r="I167" s="136"/>
      <c r="J167" s="136"/>
      <c r="K167" s="136"/>
      <c r="L167" s="136"/>
      <c r="M167" s="136"/>
      <c r="N167" s="136"/>
      <c r="O167" s="136"/>
      <c r="P167" s="136"/>
      <c r="Q167" s="136"/>
      <c r="R167" s="136"/>
      <c r="S167" s="136"/>
      <c r="T167" s="136"/>
      <c r="U167" s="136"/>
      <c r="V167" s="136"/>
      <c r="W167" s="136"/>
      <c r="X167" s="136"/>
      <c r="Y167" s="136"/>
      <c r="Z167" s="136"/>
      <c r="AA167" s="136"/>
      <c r="AB167" s="136"/>
    </row>
    <row r="168" spans="1:28" x14ac:dyDescent="0.2">
      <c r="A168" s="136"/>
      <c r="B168" s="136"/>
      <c r="C168" s="136"/>
      <c r="D168" s="136"/>
      <c r="E168" s="136"/>
      <c r="F168" s="136"/>
      <c r="G168" s="136"/>
      <c r="H168" s="136"/>
      <c r="I168" s="136"/>
      <c r="J168" s="136"/>
      <c r="K168" s="136"/>
      <c r="L168" s="136"/>
      <c r="M168" s="136"/>
      <c r="N168" s="136"/>
      <c r="O168" s="136"/>
      <c r="P168" s="136"/>
      <c r="Q168" s="136"/>
      <c r="R168" s="136"/>
      <c r="S168" s="136"/>
      <c r="T168" s="136"/>
      <c r="U168" s="136"/>
      <c r="V168" s="136"/>
      <c r="W168" s="136"/>
      <c r="X168" s="136"/>
      <c r="Y168" s="136"/>
      <c r="Z168" s="136"/>
      <c r="AA168" s="136"/>
      <c r="AB168" s="136"/>
    </row>
    <row r="169" spans="1:28" x14ac:dyDescent="0.2">
      <c r="A169" s="136"/>
      <c r="B169" s="136"/>
      <c r="C169" s="136"/>
      <c r="D169" s="136"/>
      <c r="E169" s="136"/>
      <c r="F169" s="136"/>
      <c r="G169" s="136"/>
      <c r="H169" s="136"/>
      <c r="I169" s="136"/>
      <c r="J169" s="136"/>
      <c r="K169" s="136"/>
      <c r="L169" s="136"/>
      <c r="M169" s="136"/>
      <c r="N169" s="136"/>
      <c r="O169" s="136"/>
      <c r="P169" s="136"/>
      <c r="Q169" s="136"/>
      <c r="R169" s="136"/>
      <c r="S169" s="136"/>
      <c r="T169" s="136"/>
      <c r="U169" s="136"/>
      <c r="V169" s="136"/>
      <c r="W169" s="136"/>
      <c r="X169" s="136"/>
      <c r="Y169" s="136"/>
      <c r="Z169" s="136"/>
      <c r="AA169" s="136"/>
      <c r="AB169" s="136"/>
    </row>
    <row r="170" spans="1:28" x14ac:dyDescent="0.2">
      <c r="A170" s="136"/>
      <c r="B170" s="136"/>
      <c r="C170" s="136"/>
      <c r="D170" s="136"/>
      <c r="E170" s="136"/>
      <c r="F170" s="136"/>
      <c r="G170" s="136"/>
      <c r="H170" s="136"/>
      <c r="I170" s="136"/>
      <c r="J170" s="136"/>
      <c r="K170" s="136"/>
      <c r="L170" s="136"/>
      <c r="M170" s="136"/>
      <c r="N170" s="136"/>
      <c r="O170" s="136"/>
      <c r="P170" s="136"/>
      <c r="Q170" s="136"/>
      <c r="R170" s="136"/>
      <c r="S170" s="136"/>
      <c r="T170" s="136"/>
      <c r="U170" s="136"/>
      <c r="V170" s="136"/>
      <c r="W170" s="136"/>
      <c r="X170" s="136"/>
      <c r="Y170" s="136"/>
      <c r="Z170" s="136"/>
      <c r="AA170" s="136"/>
      <c r="AB170" s="136"/>
    </row>
    <row r="171" spans="1:28" x14ac:dyDescent="0.2">
      <c r="A171" s="136"/>
      <c r="B171" s="136"/>
      <c r="C171" s="136"/>
      <c r="D171" s="136"/>
      <c r="E171" s="136"/>
      <c r="F171" s="136"/>
      <c r="G171" s="136"/>
      <c r="H171" s="136"/>
      <c r="I171" s="136"/>
      <c r="J171" s="136"/>
      <c r="K171" s="136"/>
      <c r="L171" s="136"/>
      <c r="M171" s="136"/>
      <c r="N171" s="136"/>
      <c r="O171" s="136"/>
      <c r="P171" s="136"/>
      <c r="Q171" s="136"/>
      <c r="R171" s="136"/>
      <c r="S171" s="136"/>
      <c r="T171" s="136"/>
      <c r="U171" s="136"/>
      <c r="V171" s="136"/>
      <c r="W171" s="136"/>
      <c r="X171" s="136"/>
      <c r="Y171" s="136"/>
      <c r="Z171" s="136"/>
      <c r="AA171" s="136"/>
      <c r="AB171" s="136"/>
    </row>
    <row r="172" spans="1:28" x14ac:dyDescent="0.2">
      <c r="A172" s="136"/>
      <c r="B172" s="136"/>
      <c r="C172" s="136"/>
      <c r="D172" s="136"/>
      <c r="E172" s="136"/>
      <c r="F172" s="136"/>
      <c r="G172" s="136"/>
      <c r="H172" s="136"/>
      <c r="I172" s="136"/>
      <c r="J172" s="136"/>
      <c r="K172" s="136"/>
      <c r="L172" s="136"/>
      <c r="M172" s="136"/>
      <c r="N172" s="136"/>
      <c r="O172" s="136"/>
      <c r="P172" s="136"/>
      <c r="Q172" s="136"/>
      <c r="R172" s="136"/>
      <c r="S172" s="136"/>
      <c r="T172" s="136"/>
      <c r="U172" s="136"/>
      <c r="V172" s="136"/>
      <c r="W172" s="136"/>
      <c r="X172" s="136"/>
      <c r="Y172" s="136"/>
      <c r="Z172" s="136"/>
      <c r="AA172" s="136"/>
      <c r="AB172" s="136"/>
    </row>
    <row r="173" spans="1:28" x14ac:dyDescent="0.2">
      <c r="A173" s="136"/>
      <c r="B173" s="136"/>
      <c r="C173" s="136"/>
      <c r="D173" s="136"/>
      <c r="E173" s="136"/>
      <c r="F173" s="136"/>
      <c r="G173" s="136"/>
      <c r="H173" s="136"/>
      <c r="I173" s="136"/>
      <c r="J173" s="136"/>
      <c r="K173" s="136"/>
      <c r="L173" s="136"/>
      <c r="M173" s="136"/>
      <c r="N173" s="136"/>
      <c r="O173" s="136"/>
      <c r="P173" s="136"/>
      <c r="Q173" s="136"/>
      <c r="R173" s="136"/>
      <c r="S173" s="136"/>
      <c r="T173" s="136"/>
      <c r="U173" s="136"/>
      <c r="V173" s="136"/>
      <c r="W173" s="136"/>
      <c r="X173" s="136"/>
      <c r="Y173" s="136"/>
      <c r="Z173" s="136"/>
      <c r="AA173" s="136"/>
      <c r="AB173" s="136"/>
    </row>
    <row r="174" spans="1:28" x14ac:dyDescent="0.2">
      <c r="A174" s="136"/>
      <c r="B174" s="136"/>
      <c r="C174" s="136"/>
      <c r="D174" s="136"/>
      <c r="E174" s="136"/>
      <c r="F174" s="136"/>
      <c r="G174" s="136"/>
      <c r="H174" s="136"/>
      <c r="I174" s="136"/>
      <c r="J174" s="136"/>
      <c r="K174" s="136"/>
      <c r="L174" s="136"/>
      <c r="M174" s="136"/>
      <c r="N174" s="136"/>
      <c r="O174" s="136"/>
      <c r="P174" s="136"/>
      <c r="Q174" s="136"/>
      <c r="R174" s="136"/>
      <c r="S174" s="136"/>
      <c r="T174" s="136"/>
      <c r="U174" s="136"/>
      <c r="V174" s="136"/>
      <c r="W174" s="136"/>
      <c r="X174" s="136"/>
      <c r="Y174" s="136"/>
      <c r="Z174" s="136"/>
      <c r="AA174" s="136"/>
      <c r="AB174" s="136"/>
    </row>
    <row r="175" spans="1:28" x14ac:dyDescent="0.2">
      <c r="A175" s="136"/>
      <c r="B175" s="136"/>
      <c r="C175" s="136"/>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36"/>
    </row>
    <row r="176" spans="1:28" x14ac:dyDescent="0.2">
      <c r="A176" s="136"/>
      <c r="B176" s="136"/>
      <c r="C176" s="136"/>
      <c r="D176" s="136"/>
      <c r="E176" s="136"/>
      <c r="F176" s="136"/>
      <c r="G176" s="136"/>
      <c r="H176" s="136"/>
      <c r="I176" s="136"/>
      <c r="J176" s="136"/>
      <c r="K176" s="136"/>
      <c r="L176" s="136"/>
      <c r="M176" s="136"/>
      <c r="N176" s="136"/>
      <c r="O176" s="136"/>
      <c r="P176" s="136"/>
      <c r="Q176" s="136"/>
      <c r="R176" s="136"/>
      <c r="S176" s="136"/>
      <c r="T176" s="136"/>
      <c r="U176" s="136"/>
      <c r="V176" s="136"/>
      <c r="W176" s="136"/>
      <c r="X176" s="136"/>
      <c r="Y176" s="136"/>
      <c r="Z176" s="136"/>
      <c r="AA176" s="136"/>
      <c r="AB176" s="136"/>
    </row>
    <row r="177" spans="1:28" x14ac:dyDescent="0.2">
      <c r="A177" s="136"/>
      <c r="B177" s="136"/>
      <c r="C177" s="136"/>
      <c r="D177" s="136"/>
      <c r="E177" s="136"/>
      <c r="F177" s="136"/>
      <c r="G177" s="136"/>
      <c r="H177" s="136"/>
      <c r="I177" s="136"/>
      <c r="J177" s="136"/>
      <c r="K177" s="136"/>
      <c r="L177" s="136"/>
      <c r="M177" s="136"/>
      <c r="N177" s="136"/>
      <c r="O177" s="136"/>
      <c r="P177" s="136"/>
      <c r="Q177" s="136"/>
      <c r="R177" s="136"/>
      <c r="S177" s="136"/>
      <c r="T177" s="136"/>
      <c r="U177" s="136"/>
      <c r="V177" s="136"/>
      <c r="W177" s="136"/>
      <c r="X177" s="136"/>
      <c r="Y177" s="136"/>
      <c r="Z177" s="136"/>
      <c r="AA177" s="136"/>
      <c r="AB177" s="136"/>
    </row>
    <row r="178" spans="1:28" x14ac:dyDescent="0.2">
      <c r="A178" s="136"/>
      <c r="B178" s="136"/>
      <c r="C178" s="136"/>
      <c r="D178" s="136"/>
      <c r="E178" s="136"/>
      <c r="F178" s="136"/>
      <c r="G178" s="136"/>
      <c r="H178" s="136"/>
      <c r="I178" s="136"/>
      <c r="J178" s="136"/>
      <c r="K178" s="136"/>
      <c r="L178" s="136"/>
      <c r="M178" s="136"/>
      <c r="N178" s="136"/>
      <c r="O178" s="136"/>
      <c r="P178" s="136"/>
      <c r="Q178" s="136"/>
      <c r="R178" s="136"/>
      <c r="S178" s="136"/>
      <c r="T178" s="136"/>
      <c r="U178" s="136"/>
      <c r="V178" s="136"/>
      <c r="W178" s="136"/>
      <c r="X178" s="136"/>
      <c r="Y178" s="136"/>
      <c r="Z178" s="136"/>
      <c r="AA178" s="136"/>
      <c r="AB178" s="136"/>
    </row>
    <row r="179" spans="1:28" x14ac:dyDescent="0.2">
      <c r="A179" s="136"/>
      <c r="B179" s="136"/>
      <c r="C179" s="136"/>
      <c r="D179" s="136"/>
      <c r="E179" s="136"/>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36"/>
    </row>
    <row r="180" spans="1:28" x14ac:dyDescent="0.2">
      <c r="A180" s="136"/>
      <c r="B180" s="136"/>
      <c r="C180" s="136"/>
      <c r="D180" s="136"/>
      <c r="E180" s="136"/>
      <c r="F180" s="136"/>
      <c r="G180" s="136"/>
      <c r="H180" s="136"/>
      <c r="I180" s="136"/>
      <c r="J180" s="136"/>
      <c r="K180" s="136"/>
      <c r="L180" s="136"/>
      <c r="M180" s="136"/>
      <c r="N180" s="136"/>
      <c r="O180" s="136"/>
      <c r="P180" s="136"/>
      <c r="Q180" s="136"/>
      <c r="R180" s="136"/>
      <c r="S180" s="136"/>
      <c r="T180" s="136"/>
      <c r="U180" s="136"/>
      <c r="V180" s="136"/>
      <c r="W180" s="136"/>
      <c r="X180" s="136"/>
      <c r="Y180" s="136"/>
      <c r="Z180" s="136"/>
      <c r="AA180" s="136"/>
      <c r="AB180" s="136"/>
    </row>
    <row r="181" spans="1:28" x14ac:dyDescent="0.2">
      <c r="A181" s="136"/>
      <c r="B181" s="136"/>
      <c r="C181" s="136"/>
      <c r="D181" s="136"/>
      <c r="E181" s="136"/>
      <c r="F181" s="136"/>
      <c r="G181" s="136"/>
      <c r="H181" s="136"/>
      <c r="I181" s="136"/>
      <c r="J181" s="136"/>
      <c r="K181" s="136"/>
      <c r="L181" s="136"/>
      <c r="M181" s="136"/>
      <c r="N181" s="136"/>
      <c r="O181" s="136"/>
      <c r="P181" s="136"/>
      <c r="Q181" s="136"/>
      <c r="R181" s="136"/>
      <c r="S181" s="136"/>
      <c r="T181" s="136"/>
      <c r="U181" s="136"/>
      <c r="V181" s="136"/>
      <c r="W181" s="136"/>
      <c r="X181" s="136"/>
      <c r="Y181" s="136"/>
      <c r="Z181" s="136"/>
      <c r="AA181" s="136"/>
      <c r="AB181" s="136"/>
    </row>
    <row r="182" spans="1:28" x14ac:dyDescent="0.2">
      <c r="A182" s="136"/>
      <c r="B182" s="136"/>
      <c r="C182" s="136"/>
      <c r="D182" s="136"/>
      <c r="E182" s="136"/>
      <c r="F182" s="136"/>
      <c r="G182" s="136"/>
      <c r="H182" s="136"/>
      <c r="I182" s="136"/>
      <c r="J182" s="136"/>
      <c r="K182" s="136"/>
      <c r="L182" s="136"/>
      <c r="M182" s="136"/>
      <c r="N182" s="136"/>
      <c r="O182" s="136"/>
      <c r="P182" s="136"/>
      <c r="Q182" s="136"/>
      <c r="R182" s="136"/>
      <c r="S182" s="136"/>
      <c r="T182" s="136"/>
      <c r="U182" s="136"/>
      <c r="V182" s="136"/>
      <c r="W182" s="136"/>
      <c r="X182" s="136"/>
      <c r="Y182" s="136"/>
      <c r="Z182" s="136"/>
      <c r="AA182" s="136"/>
      <c r="AB182" s="136"/>
    </row>
    <row r="183" spans="1:28" x14ac:dyDescent="0.2">
      <c r="A183" s="136"/>
      <c r="B183" s="136"/>
      <c r="C183" s="136"/>
      <c r="D183" s="136"/>
      <c r="E183" s="136"/>
      <c r="F183" s="136"/>
      <c r="G183" s="136"/>
      <c r="H183" s="136"/>
      <c r="I183" s="136"/>
      <c r="J183" s="136"/>
      <c r="K183" s="136"/>
      <c r="L183" s="136"/>
      <c r="M183" s="136"/>
      <c r="N183" s="136"/>
      <c r="O183" s="136"/>
      <c r="P183" s="136"/>
      <c r="Q183" s="136"/>
      <c r="R183" s="136"/>
      <c r="S183" s="136"/>
      <c r="T183" s="136"/>
      <c r="U183" s="136"/>
      <c r="V183" s="136"/>
      <c r="W183" s="136"/>
      <c r="X183" s="136"/>
      <c r="Y183" s="136"/>
      <c r="Z183" s="136"/>
      <c r="AA183" s="136"/>
      <c r="AB183" s="136"/>
    </row>
    <row r="184" spans="1:28" x14ac:dyDescent="0.2">
      <c r="A184" s="136"/>
      <c r="B184" s="136"/>
      <c r="C184" s="136"/>
      <c r="D184" s="136"/>
      <c r="E184" s="136"/>
      <c r="F184" s="136"/>
      <c r="G184" s="136"/>
      <c r="H184" s="136"/>
      <c r="I184" s="136"/>
      <c r="J184" s="136"/>
      <c r="K184" s="136"/>
      <c r="L184" s="136"/>
      <c r="M184" s="136"/>
      <c r="N184" s="136"/>
      <c r="O184" s="136"/>
      <c r="P184" s="136"/>
      <c r="Q184" s="136"/>
      <c r="R184" s="136"/>
      <c r="S184" s="136"/>
      <c r="T184" s="136"/>
      <c r="U184" s="136"/>
      <c r="V184" s="136"/>
      <c r="W184" s="136"/>
      <c r="X184" s="136"/>
      <c r="Y184" s="136"/>
      <c r="Z184" s="136"/>
      <c r="AA184" s="136"/>
      <c r="AB184" s="136"/>
    </row>
    <row r="185" spans="1:28" x14ac:dyDescent="0.2">
      <c r="A185" s="136"/>
      <c r="B185" s="136"/>
      <c r="C185" s="136"/>
      <c r="D185" s="136"/>
      <c r="E185" s="136"/>
      <c r="F185" s="136"/>
      <c r="G185" s="136"/>
      <c r="H185" s="136"/>
      <c r="I185" s="136"/>
      <c r="J185" s="136"/>
      <c r="K185" s="136"/>
      <c r="L185" s="136"/>
      <c r="M185" s="136"/>
      <c r="N185" s="136"/>
      <c r="O185" s="136"/>
      <c r="P185" s="136"/>
      <c r="Q185" s="136"/>
      <c r="R185" s="136"/>
      <c r="S185" s="136"/>
      <c r="T185" s="136"/>
      <c r="U185" s="136"/>
      <c r="V185" s="136"/>
      <c r="W185" s="136"/>
      <c r="X185" s="136"/>
      <c r="Y185" s="136"/>
      <c r="Z185" s="136"/>
      <c r="AA185" s="136"/>
      <c r="AB185" s="136"/>
    </row>
    <row r="186" spans="1:28" x14ac:dyDescent="0.2">
      <c r="A186" s="136"/>
      <c r="B186" s="136"/>
      <c r="C186" s="136"/>
      <c r="D186" s="136"/>
      <c r="E186" s="136"/>
      <c r="F186" s="136"/>
      <c r="G186" s="136"/>
      <c r="H186" s="136"/>
      <c r="I186" s="136"/>
      <c r="J186" s="136"/>
      <c r="K186" s="136"/>
      <c r="L186" s="136"/>
      <c r="M186" s="136"/>
      <c r="N186" s="136"/>
      <c r="O186" s="136"/>
      <c r="P186" s="136"/>
      <c r="Q186" s="136"/>
      <c r="R186" s="136"/>
      <c r="S186" s="136"/>
      <c r="T186" s="136"/>
      <c r="U186" s="136"/>
      <c r="V186" s="136"/>
      <c r="W186" s="136"/>
      <c r="X186" s="136"/>
      <c r="Y186" s="136"/>
      <c r="Z186" s="136"/>
      <c r="AA186" s="136"/>
      <c r="AB186" s="136"/>
    </row>
    <row r="187" spans="1:28" x14ac:dyDescent="0.2">
      <c r="A187" s="136"/>
      <c r="B187" s="136"/>
      <c r="C187" s="136"/>
      <c r="D187" s="136"/>
      <c r="E187" s="136"/>
      <c r="F187" s="136"/>
      <c r="G187" s="136"/>
      <c r="H187" s="136"/>
      <c r="I187" s="136"/>
      <c r="J187" s="136"/>
      <c r="K187" s="136"/>
      <c r="L187" s="136"/>
      <c r="M187" s="136"/>
      <c r="N187" s="136"/>
      <c r="O187" s="136"/>
      <c r="P187" s="136"/>
      <c r="Q187" s="136"/>
      <c r="R187" s="136"/>
      <c r="S187" s="136"/>
      <c r="T187" s="136"/>
      <c r="U187" s="136"/>
      <c r="V187" s="136"/>
      <c r="W187" s="136"/>
      <c r="X187" s="136"/>
      <c r="Y187" s="136"/>
      <c r="Z187" s="136"/>
      <c r="AA187" s="136"/>
      <c r="AB187" s="136"/>
    </row>
    <row r="188" spans="1:28" x14ac:dyDescent="0.2">
      <c r="A188" s="136"/>
      <c r="B188" s="136"/>
      <c r="C188" s="136"/>
      <c r="D188" s="136"/>
      <c r="E188" s="136"/>
      <c r="F188" s="136"/>
      <c r="G188" s="136"/>
      <c r="H188" s="136"/>
      <c r="I188" s="136"/>
      <c r="J188" s="136"/>
      <c r="K188" s="136"/>
      <c r="L188" s="136"/>
      <c r="M188" s="136"/>
      <c r="N188" s="136"/>
      <c r="O188" s="136"/>
      <c r="P188" s="136"/>
      <c r="Q188" s="136"/>
      <c r="R188" s="136"/>
      <c r="S188" s="136"/>
      <c r="T188" s="136"/>
      <c r="U188" s="136"/>
      <c r="V188" s="136"/>
      <c r="W188" s="136"/>
      <c r="X188" s="136"/>
      <c r="Y188" s="136"/>
      <c r="Z188" s="136"/>
      <c r="AA188" s="136"/>
      <c r="AB188" s="136"/>
    </row>
    <row r="189" spans="1:28" x14ac:dyDescent="0.2">
      <c r="A189" s="136"/>
      <c r="B189" s="136"/>
      <c r="C189" s="136"/>
      <c r="D189" s="136"/>
      <c r="E189" s="136"/>
      <c r="F189" s="136"/>
      <c r="G189" s="136"/>
      <c r="H189" s="136"/>
      <c r="I189" s="136"/>
      <c r="J189" s="136"/>
      <c r="K189" s="136"/>
      <c r="L189" s="136"/>
      <c r="M189" s="136"/>
      <c r="N189" s="136"/>
      <c r="O189" s="136"/>
      <c r="P189" s="136"/>
      <c r="Q189" s="136"/>
      <c r="R189" s="136"/>
      <c r="S189" s="136"/>
      <c r="T189" s="136"/>
      <c r="U189" s="136"/>
      <c r="V189" s="136"/>
      <c r="W189" s="136"/>
      <c r="X189" s="136"/>
      <c r="Y189" s="136"/>
      <c r="Z189" s="136"/>
      <c r="AA189" s="136"/>
      <c r="AB189" s="136"/>
    </row>
    <row r="190" spans="1:28" x14ac:dyDescent="0.2">
      <c r="A190" s="136"/>
      <c r="B190" s="136"/>
      <c r="C190" s="136"/>
      <c r="D190" s="136"/>
      <c r="E190" s="136"/>
      <c r="F190" s="136"/>
      <c r="G190" s="136"/>
      <c r="H190" s="136"/>
      <c r="I190" s="136"/>
      <c r="J190" s="136"/>
      <c r="K190" s="136"/>
      <c r="L190" s="136"/>
      <c r="M190" s="136"/>
      <c r="N190" s="136"/>
      <c r="O190" s="136"/>
      <c r="P190" s="136"/>
      <c r="Q190" s="136"/>
      <c r="R190" s="136"/>
      <c r="S190" s="136"/>
      <c r="T190" s="136"/>
      <c r="U190" s="136"/>
      <c r="V190" s="136"/>
      <c r="W190" s="136"/>
      <c r="X190" s="136"/>
      <c r="Y190" s="136"/>
      <c r="Z190" s="136"/>
      <c r="AA190" s="136"/>
      <c r="AB190" s="136"/>
    </row>
    <row r="191" spans="1:28" x14ac:dyDescent="0.2">
      <c r="A191" s="136"/>
      <c r="B191" s="136"/>
      <c r="C191" s="136"/>
      <c r="D191" s="136"/>
      <c r="E191" s="136"/>
      <c r="F191" s="136"/>
      <c r="G191" s="136"/>
      <c r="H191" s="136"/>
      <c r="I191" s="136"/>
      <c r="J191" s="136"/>
      <c r="K191" s="136"/>
      <c r="L191" s="136"/>
      <c r="M191" s="136"/>
      <c r="N191" s="136"/>
      <c r="O191" s="136"/>
      <c r="P191" s="136"/>
      <c r="Q191" s="136"/>
      <c r="R191" s="136"/>
      <c r="S191" s="136"/>
      <c r="T191" s="136"/>
      <c r="U191" s="136"/>
      <c r="V191" s="136"/>
      <c r="W191" s="136"/>
      <c r="X191" s="136"/>
      <c r="Y191" s="136"/>
      <c r="Z191" s="136"/>
      <c r="AA191" s="136"/>
      <c r="AB191" s="136"/>
    </row>
    <row r="192" spans="1:28" x14ac:dyDescent="0.2">
      <c r="A192" s="136"/>
      <c r="B192" s="136"/>
      <c r="C192" s="136"/>
      <c r="D192" s="136"/>
      <c r="E192" s="136"/>
      <c r="F192" s="136"/>
      <c r="G192" s="136"/>
      <c r="H192" s="136"/>
      <c r="I192" s="136"/>
      <c r="J192" s="136"/>
      <c r="K192" s="136"/>
      <c r="L192" s="136"/>
      <c r="M192" s="136"/>
      <c r="N192" s="136"/>
      <c r="O192" s="136"/>
      <c r="P192" s="136"/>
      <c r="Q192" s="136"/>
      <c r="R192" s="136"/>
      <c r="S192" s="136"/>
      <c r="T192" s="136"/>
      <c r="U192" s="136"/>
      <c r="V192" s="136"/>
      <c r="W192" s="136"/>
      <c r="X192" s="136"/>
      <c r="Y192" s="136"/>
      <c r="Z192" s="136"/>
      <c r="AA192" s="136"/>
      <c r="AB192" s="136"/>
    </row>
    <row r="193" spans="1:28" x14ac:dyDescent="0.2">
      <c r="A193" s="136"/>
      <c r="B193" s="136"/>
      <c r="C193" s="136"/>
      <c r="D193" s="136"/>
      <c r="E193" s="136"/>
      <c r="F193" s="136"/>
      <c r="G193" s="136"/>
      <c r="H193" s="136"/>
      <c r="I193" s="136"/>
      <c r="J193" s="136"/>
      <c r="K193" s="136"/>
      <c r="L193" s="136"/>
      <c r="M193" s="136"/>
      <c r="N193" s="136"/>
      <c r="O193" s="136"/>
      <c r="P193" s="136"/>
      <c r="Q193" s="136"/>
      <c r="R193" s="136"/>
      <c r="S193" s="136"/>
      <c r="T193" s="136"/>
      <c r="U193" s="136"/>
      <c r="V193" s="136"/>
      <c r="W193" s="136"/>
      <c r="X193" s="136"/>
      <c r="Y193" s="136"/>
      <c r="Z193" s="136"/>
      <c r="AA193" s="136"/>
      <c r="AB193" s="136"/>
    </row>
    <row r="194" spans="1:28" x14ac:dyDescent="0.2">
      <c r="A194" s="136"/>
      <c r="B194" s="136"/>
      <c r="C194" s="136"/>
      <c r="D194" s="136"/>
      <c r="E194" s="136"/>
      <c r="F194" s="136"/>
      <c r="G194" s="136"/>
      <c r="H194" s="136"/>
      <c r="I194" s="136"/>
      <c r="J194" s="136"/>
      <c r="K194" s="136"/>
      <c r="L194" s="136"/>
      <c r="M194" s="136"/>
      <c r="N194" s="136"/>
      <c r="O194" s="136"/>
      <c r="P194" s="136"/>
      <c r="Q194" s="136"/>
      <c r="R194" s="136"/>
      <c r="S194" s="136"/>
      <c r="T194" s="136"/>
      <c r="U194" s="136"/>
      <c r="V194" s="136"/>
      <c r="W194" s="136"/>
      <c r="X194" s="136"/>
      <c r="Y194" s="136"/>
      <c r="Z194" s="136"/>
      <c r="AA194" s="136"/>
      <c r="AB194" s="136"/>
    </row>
    <row r="195" spans="1:28" x14ac:dyDescent="0.2">
      <c r="A195" s="136"/>
      <c r="B195" s="136"/>
      <c r="C195" s="136"/>
      <c r="D195" s="136"/>
      <c r="E195" s="136"/>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36"/>
    </row>
    <row r="196" spans="1:28" x14ac:dyDescent="0.2">
      <c r="A196" s="136"/>
      <c r="B196" s="136"/>
      <c r="C196" s="136"/>
      <c r="D196" s="136"/>
      <c r="E196" s="136"/>
      <c r="F196" s="136"/>
      <c r="G196" s="136"/>
      <c r="H196" s="136"/>
      <c r="I196" s="136"/>
      <c r="J196" s="136"/>
      <c r="K196" s="136"/>
      <c r="L196" s="136"/>
      <c r="M196" s="136"/>
      <c r="N196" s="136"/>
      <c r="O196" s="136"/>
      <c r="P196" s="136"/>
      <c r="Q196" s="136"/>
      <c r="R196" s="136"/>
      <c r="S196" s="136"/>
      <c r="T196" s="136"/>
      <c r="U196" s="136"/>
      <c r="V196" s="136"/>
      <c r="W196" s="136"/>
      <c r="X196" s="136"/>
      <c r="Y196" s="136"/>
      <c r="Z196" s="136"/>
      <c r="AA196" s="136"/>
      <c r="AB196" s="136"/>
    </row>
    <row r="197" spans="1:28" x14ac:dyDescent="0.2">
      <c r="A197" s="136"/>
      <c r="B197" s="136"/>
      <c r="C197" s="136"/>
      <c r="D197" s="136"/>
      <c r="E197" s="136"/>
      <c r="F197" s="136"/>
      <c r="G197" s="136"/>
      <c r="H197" s="136"/>
      <c r="I197" s="136"/>
      <c r="J197" s="136"/>
      <c r="K197" s="136"/>
      <c r="L197" s="136"/>
      <c r="M197" s="136"/>
      <c r="N197" s="136"/>
      <c r="O197" s="136"/>
      <c r="P197" s="136"/>
      <c r="Q197" s="136"/>
      <c r="R197" s="136"/>
      <c r="S197" s="136"/>
      <c r="T197" s="136"/>
      <c r="U197" s="136"/>
      <c r="V197" s="136"/>
      <c r="W197" s="136"/>
      <c r="X197" s="136"/>
      <c r="Y197" s="136"/>
      <c r="Z197" s="136"/>
      <c r="AA197" s="136"/>
      <c r="AB197" s="136"/>
    </row>
    <row r="198" spans="1:28" x14ac:dyDescent="0.2">
      <c r="A198" s="136"/>
      <c r="B198" s="136"/>
      <c r="C198" s="136"/>
      <c r="D198" s="136"/>
      <c r="E198" s="136"/>
      <c r="F198" s="136"/>
      <c r="G198" s="136"/>
      <c r="H198" s="136"/>
      <c r="I198" s="136"/>
      <c r="J198" s="136"/>
      <c r="K198" s="136"/>
      <c r="L198" s="136"/>
      <c r="M198" s="136"/>
      <c r="N198" s="136"/>
      <c r="O198" s="136"/>
      <c r="P198" s="136"/>
      <c r="Q198" s="136"/>
      <c r="R198" s="136"/>
      <c r="S198" s="136"/>
      <c r="T198" s="136"/>
      <c r="U198" s="136"/>
      <c r="V198" s="136"/>
      <c r="W198" s="136"/>
      <c r="X198" s="136"/>
      <c r="Y198" s="136"/>
      <c r="Z198" s="136"/>
      <c r="AA198" s="136"/>
      <c r="AB198" s="136"/>
    </row>
    <row r="199" spans="1:28" x14ac:dyDescent="0.2">
      <c r="A199" s="136"/>
      <c r="B199" s="136"/>
      <c r="C199" s="136"/>
      <c r="D199" s="136"/>
      <c r="E199" s="136"/>
      <c r="F199" s="136"/>
      <c r="G199" s="136"/>
      <c r="H199" s="136"/>
      <c r="I199" s="136"/>
      <c r="J199" s="136"/>
      <c r="K199" s="136"/>
      <c r="L199" s="136"/>
      <c r="M199" s="136"/>
      <c r="N199" s="136"/>
      <c r="O199" s="136"/>
      <c r="P199" s="136"/>
      <c r="Q199" s="136"/>
      <c r="R199" s="136"/>
      <c r="S199" s="136"/>
      <c r="T199" s="136"/>
      <c r="U199" s="136"/>
      <c r="V199" s="136"/>
      <c r="W199" s="136"/>
      <c r="X199" s="136"/>
      <c r="Y199" s="136"/>
      <c r="Z199" s="136"/>
      <c r="AA199" s="136"/>
      <c r="AB199" s="136"/>
    </row>
    <row r="200" spans="1:28" x14ac:dyDescent="0.2">
      <c r="A200" s="136"/>
      <c r="B200" s="136"/>
      <c r="C200" s="136"/>
      <c r="D200" s="136"/>
      <c r="E200" s="136"/>
      <c r="F200" s="136"/>
      <c r="G200" s="136"/>
      <c r="H200" s="136"/>
      <c r="I200" s="136"/>
      <c r="J200" s="136"/>
      <c r="K200" s="136"/>
      <c r="L200" s="136"/>
      <c r="M200" s="136"/>
      <c r="N200" s="136"/>
      <c r="O200" s="136"/>
      <c r="P200" s="136"/>
      <c r="Q200" s="136"/>
      <c r="R200" s="136"/>
      <c r="S200" s="136"/>
      <c r="T200" s="136"/>
      <c r="U200" s="136"/>
      <c r="V200" s="136"/>
      <c r="W200" s="136"/>
      <c r="X200" s="136"/>
      <c r="Y200" s="136"/>
      <c r="Z200" s="136"/>
      <c r="AA200" s="136"/>
      <c r="AB200" s="136"/>
    </row>
    <row r="201" spans="1:28" x14ac:dyDescent="0.2">
      <c r="A201" s="136"/>
      <c r="B201" s="136"/>
      <c r="C201" s="136"/>
      <c r="D201" s="136"/>
      <c r="E201" s="136"/>
      <c r="F201" s="136"/>
      <c r="G201" s="136"/>
      <c r="H201" s="136"/>
      <c r="I201" s="136"/>
      <c r="J201" s="136"/>
      <c r="K201" s="136"/>
      <c r="L201" s="136"/>
      <c r="M201" s="136"/>
      <c r="N201" s="136"/>
      <c r="O201" s="136"/>
      <c r="P201" s="136"/>
      <c r="Q201" s="136"/>
      <c r="R201" s="136"/>
      <c r="S201" s="136"/>
      <c r="T201" s="136"/>
      <c r="U201" s="136"/>
      <c r="V201" s="136"/>
      <c r="W201" s="136"/>
      <c r="X201" s="136"/>
      <c r="Y201" s="136"/>
      <c r="Z201" s="136"/>
      <c r="AA201" s="136"/>
      <c r="AB201" s="136"/>
    </row>
    <row r="202" spans="1:28" x14ac:dyDescent="0.2">
      <c r="A202" s="136"/>
      <c r="B202" s="136"/>
      <c r="C202" s="136"/>
      <c r="D202" s="136"/>
      <c r="E202" s="136"/>
      <c r="F202" s="136"/>
      <c r="G202" s="136"/>
      <c r="H202" s="136"/>
      <c r="I202" s="136"/>
      <c r="J202" s="136"/>
      <c r="K202" s="136"/>
      <c r="L202" s="136"/>
      <c r="M202" s="136"/>
      <c r="N202" s="136"/>
      <c r="O202" s="136"/>
      <c r="P202" s="136"/>
      <c r="Q202" s="136"/>
      <c r="R202" s="136"/>
      <c r="S202" s="136"/>
      <c r="T202" s="136"/>
      <c r="U202" s="136"/>
      <c r="V202" s="136"/>
      <c r="W202" s="136"/>
      <c r="X202" s="136"/>
      <c r="Y202" s="136"/>
      <c r="Z202" s="136"/>
      <c r="AA202" s="136"/>
      <c r="AB202" s="136"/>
    </row>
    <row r="203" spans="1:28" x14ac:dyDescent="0.2">
      <c r="A203" s="136"/>
      <c r="B203" s="136"/>
      <c r="C203" s="136"/>
      <c r="D203" s="136"/>
      <c r="E203" s="136"/>
      <c r="F203" s="136"/>
      <c r="G203" s="136"/>
      <c r="H203" s="136"/>
      <c r="I203" s="136"/>
      <c r="J203" s="136"/>
      <c r="K203" s="136"/>
      <c r="L203" s="136"/>
      <c r="M203" s="136"/>
      <c r="N203" s="136"/>
      <c r="O203" s="136"/>
      <c r="P203" s="136"/>
      <c r="Q203" s="136"/>
      <c r="R203" s="136"/>
      <c r="S203" s="136"/>
      <c r="T203" s="136"/>
      <c r="U203" s="136"/>
      <c r="V203" s="136"/>
      <c r="W203" s="136"/>
      <c r="X203" s="136"/>
      <c r="Y203" s="136"/>
      <c r="Z203" s="136"/>
      <c r="AA203" s="136"/>
      <c r="AB203" s="136"/>
    </row>
    <row r="204" spans="1:28" x14ac:dyDescent="0.2">
      <c r="A204" s="136"/>
      <c r="B204" s="136"/>
      <c r="C204" s="136"/>
      <c r="D204" s="136"/>
      <c r="E204" s="136"/>
      <c r="F204" s="136"/>
      <c r="G204" s="136"/>
      <c r="H204" s="136"/>
      <c r="I204" s="136"/>
      <c r="J204" s="136"/>
      <c r="K204" s="136"/>
      <c r="L204" s="136"/>
      <c r="M204" s="136"/>
      <c r="N204" s="136"/>
      <c r="O204" s="136"/>
      <c r="P204" s="136"/>
      <c r="Q204" s="136"/>
      <c r="R204" s="136"/>
      <c r="S204" s="136"/>
      <c r="T204" s="136"/>
      <c r="U204" s="136"/>
      <c r="V204" s="136"/>
      <c r="W204" s="136"/>
      <c r="X204" s="136"/>
      <c r="Y204" s="136"/>
      <c r="Z204" s="136"/>
      <c r="AA204" s="136"/>
      <c r="AB204" s="136"/>
    </row>
    <row r="205" spans="1:28" x14ac:dyDescent="0.2">
      <c r="A205" s="136"/>
      <c r="B205" s="136"/>
      <c r="C205" s="136"/>
      <c r="D205" s="136"/>
      <c r="E205" s="136"/>
      <c r="F205" s="136"/>
      <c r="G205" s="136"/>
      <c r="H205" s="136"/>
      <c r="I205" s="136"/>
      <c r="J205" s="136"/>
      <c r="K205" s="136"/>
      <c r="L205" s="136"/>
      <c r="M205" s="136"/>
      <c r="N205" s="136"/>
      <c r="O205" s="136"/>
      <c r="P205" s="136"/>
      <c r="Q205" s="136"/>
      <c r="R205" s="136"/>
      <c r="S205" s="136"/>
      <c r="T205" s="136"/>
      <c r="U205" s="136"/>
      <c r="V205" s="136"/>
      <c r="W205" s="136"/>
      <c r="X205" s="136"/>
      <c r="Y205" s="136"/>
      <c r="Z205" s="136"/>
      <c r="AA205" s="136"/>
      <c r="AB205" s="136"/>
    </row>
    <row r="206" spans="1:28" x14ac:dyDescent="0.2">
      <c r="A206" s="136"/>
      <c r="B206" s="136"/>
      <c r="C206" s="136"/>
      <c r="D206" s="136"/>
      <c r="E206" s="136"/>
      <c r="F206" s="136"/>
      <c r="G206" s="136"/>
      <c r="H206" s="136"/>
      <c r="I206" s="136"/>
      <c r="J206" s="136"/>
      <c r="K206" s="136"/>
      <c r="L206" s="136"/>
      <c r="M206" s="136"/>
      <c r="N206" s="136"/>
      <c r="O206" s="136"/>
      <c r="P206" s="136"/>
      <c r="Q206" s="136"/>
      <c r="R206" s="136"/>
      <c r="S206" s="136"/>
      <c r="T206" s="136"/>
      <c r="U206" s="136"/>
      <c r="V206" s="136"/>
      <c r="W206" s="136"/>
      <c r="X206" s="136"/>
      <c r="Y206" s="136"/>
      <c r="Z206" s="136"/>
      <c r="AA206" s="136"/>
      <c r="AB206" s="136"/>
    </row>
    <row r="207" spans="1:28" x14ac:dyDescent="0.2">
      <c r="A207" s="136"/>
      <c r="B207" s="136"/>
      <c r="C207" s="136"/>
      <c r="D207" s="136"/>
      <c r="E207" s="136"/>
      <c r="F207" s="136"/>
      <c r="G207" s="136"/>
      <c r="H207" s="136"/>
      <c r="I207" s="136"/>
      <c r="J207" s="136"/>
      <c r="K207" s="136"/>
      <c r="L207" s="136"/>
      <c r="M207" s="136"/>
      <c r="N207" s="136"/>
      <c r="O207" s="136"/>
      <c r="P207" s="136"/>
      <c r="Q207" s="136"/>
      <c r="R207" s="136"/>
      <c r="S207" s="136"/>
      <c r="T207" s="136"/>
      <c r="U207" s="136"/>
      <c r="V207" s="136"/>
      <c r="W207" s="136"/>
      <c r="X207" s="136"/>
      <c r="Y207" s="136"/>
      <c r="Z207" s="136"/>
      <c r="AA207" s="136"/>
      <c r="AB207" s="136"/>
    </row>
    <row r="208" spans="1:28" x14ac:dyDescent="0.2">
      <c r="A208" s="136"/>
      <c r="B208" s="136"/>
      <c r="C208" s="136"/>
      <c r="D208" s="136"/>
      <c r="E208" s="136"/>
      <c r="F208" s="136"/>
      <c r="G208" s="136"/>
      <c r="H208" s="136"/>
      <c r="I208" s="136"/>
      <c r="J208" s="136"/>
      <c r="K208" s="136"/>
      <c r="L208" s="136"/>
      <c r="M208" s="136"/>
      <c r="N208" s="136"/>
      <c r="O208" s="136"/>
      <c r="P208" s="136"/>
      <c r="Q208" s="136"/>
      <c r="R208" s="136"/>
      <c r="S208" s="136"/>
      <c r="T208" s="136"/>
      <c r="U208" s="136"/>
      <c r="V208" s="136"/>
      <c r="W208" s="136"/>
      <c r="X208" s="136"/>
      <c r="Y208" s="136"/>
      <c r="Z208" s="136"/>
      <c r="AA208" s="136"/>
      <c r="AB208" s="136"/>
    </row>
    <row r="209" spans="1:28" x14ac:dyDescent="0.2">
      <c r="A209" s="136"/>
      <c r="B209" s="136"/>
      <c r="C209" s="136"/>
      <c r="D209" s="136"/>
      <c r="E209" s="136"/>
      <c r="F209" s="136"/>
      <c r="G209" s="136"/>
      <c r="H209" s="136"/>
      <c r="I209" s="136"/>
      <c r="J209" s="136"/>
      <c r="K209" s="136"/>
      <c r="L209" s="136"/>
      <c r="M209" s="136"/>
      <c r="N209" s="136"/>
      <c r="O209" s="136"/>
      <c r="P209" s="136"/>
      <c r="Q209" s="136"/>
      <c r="R209" s="136"/>
      <c r="S209" s="136"/>
      <c r="T209" s="136"/>
      <c r="U209" s="136"/>
      <c r="V209" s="136"/>
      <c r="W209" s="136"/>
      <c r="X209" s="136"/>
      <c r="Y209" s="136"/>
      <c r="Z209" s="136"/>
      <c r="AA209" s="136"/>
      <c r="AB209" s="136"/>
    </row>
    <row r="210" spans="1:28" x14ac:dyDescent="0.2">
      <c r="A210" s="136"/>
      <c r="B210" s="136"/>
      <c r="C210" s="136"/>
      <c r="D210" s="136"/>
      <c r="E210" s="136"/>
      <c r="F210" s="136"/>
      <c r="G210" s="136"/>
      <c r="H210" s="136"/>
      <c r="I210" s="136"/>
      <c r="J210" s="136"/>
      <c r="K210" s="136"/>
      <c r="L210" s="136"/>
      <c r="M210" s="136"/>
      <c r="N210" s="136"/>
      <c r="O210" s="136"/>
      <c r="P210" s="136"/>
      <c r="Q210" s="136"/>
      <c r="R210" s="136"/>
      <c r="S210" s="136"/>
      <c r="T210" s="136"/>
      <c r="U210" s="136"/>
      <c r="V210" s="136"/>
      <c r="W210" s="136"/>
      <c r="X210" s="136"/>
      <c r="Y210" s="136"/>
      <c r="Z210" s="136"/>
      <c r="AA210" s="136"/>
      <c r="AB210" s="136"/>
    </row>
    <row r="211" spans="1:28" x14ac:dyDescent="0.2">
      <c r="A211" s="136"/>
      <c r="B211" s="136"/>
      <c r="C211" s="136"/>
      <c r="D211" s="136"/>
      <c r="E211" s="136"/>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36"/>
    </row>
    <row r="212" spans="1:28" x14ac:dyDescent="0.2">
      <c r="A212" s="136"/>
      <c r="B212" s="136"/>
      <c r="C212" s="136"/>
      <c r="D212" s="136"/>
      <c r="E212" s="136"/>
      <c r="F212" s="136"/>
      <c r="G212" s="136"/>
      <c r="H212" s="136"/>
      <c r="I212" s="136"/>
      <c r="J212" s="136"/>
      <c r="K212" s="136"/>
      <c r="L212" s="136"/>
      <c r="M212" s="136"/>
      <c r="N212" s="136"/>
      <c r="O212" s="136"/>
      <c r="P212" s="136"/>
      <c r="Q212" s="136"/>
      <c r="R212" s="136"/>
      <c r="S212" s="136"/>
      <c r="T212" s="136"/>
      <c r="U212" s="136"/>
      <c r="V212" s="136"/>
      <c r="W212" s="136"/>
      <c r="X212" s="136"/>
      <c r="Y212" s="136"/>
      <c r="Z212" s="136"/>
      <c r="AA212" s="136"/>
      <c r="AB212" s="136"/>
    </row>
    <row r="213" spans="1:28" x14ac:dyDescent="0.2">
      <c r="A213" s="136"/>
      <c r="B213" s="136"/>
      <c r="C213" s="136"/>
      <c r="D213" s="136"/>
      <c r="E213" s="136"/>
      <c r="F213" s="136"/>
      <c r="G213" s="136"/>
      <c r="H213" s="136"/>
      <c r="I213" s="136"/>
      <c r="J213" s="136"/>
      <c r="K213" s="136"/>
      <c r="L213" s="136"/>
      <c r="M213" s="136"/>
      <c r="N213" s="136"/>
      <c r="O213" s="136"/>
      <c r="P213" s="136"/>
      <c r="Q213" s="136"/>
      <c r="R213" s="136"/>
      <c r="S213" s="136"/>
      <c r="T213" s="136"/>
      <c r="U213" s="136"/>
      <c r="V213" s="136"/>
      <c r="W213" s="136"/>
      <c r="X213" s="136"/>
      <c r="Y213" s="136"/>
      <c r="Z213" s="136"/>
      <c r="AA213" s="136"/>
      <c r="AB213" s="136"/>
    </row>
    <row r="214" spans="1:28" x14ac:dyDescent="0.2">
      <c r="A214" s="136"/>
      <c r="B214" s="136"/>
      <c r="C214" s="136"/>
      <c r="D214" s="136"/>
      <c r="E214" s="136"/>
      <c r="F214" s="136"/>
      <c r="G214" s="136"/>
      <c r="H214" s="136"/>
      <c r="I214" s="136"/>
      <c r="J214" s="136"/>
      <c r="K214" s="136"/>
      <c r="L214" s="136"/>
      <c r="M214" s="136"/>
      <c r="N214" s="136"/>
      <c r="O214" s="136"/>
      <c r="P214" s="136"/>
      <c r="Q214" s="136"/>
      <c r="R214" s="136"/>
      <c r="S214" s="136"/>
      <c r="T214" s="136"/>
      <c r="U214" s="136"/>
      <c r="V214" s="136"/>
      <c r="W214" s="136"/>
      <c r="X214" s="136"/>
      <c r="Y214" s="136"/>
      <c r="Z214" s="136"/>
      <c r="AA214" s="136"/>
      <c r="AB214" s="136"/>
    </row>
    <row r="215" spans="1:28" x14ac:dyDescent="0.2">
      <c r="A215" s="136"/>
      <c r="B215" s="136"/>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136"/>
      <c r="AB215" s="136"/>
    </row>
    <row r="216" spans="1:28" x14ac:dyDescent="0.2">
      <c r="A216" s="136"/>
      <c r="B216" s="136"/>
      <c r="C216" s="136"/>
      <c r="D216" s="136"/>
      <c r="E216" s="136"/>
      <c r="F216" s="136"/>
      <c r="G216" s="136"/>
      <c r="H216" s="136"/>
      <c r="I216" s="136"/>
      <c r="J216" s="136"/>
      <c r="K216" s="136"/>
      <c r="L216" s="136"/>
      <c r="M216" s="136"/>
      <c r="N216" s="136"/>
      <c r="O216" s="136"/>
      <c r="P216" s="136"/>
      <c r="Q216" s="136"/>
      <c r="R216" s="136"/>
      <c r="S216" s="136"/>
      <c r="T216" s="136"/>
      <c r="U216" s="136"/>
      <c r="V216" s="136"/>
      <c r="W216" s="136"/>
      <c r="X216" s="136"/>
      <c r="Y216" s="136"/>
      <c r="Z216" s="136"/>
      <c r="AA216" s="136"/>
      <c r="AB216" s="136"/>
    </row>
    <row r="217" spans="1:28" x14ac:dyDescent="0.2">
      <c r="A217" s="136"/>
      <c r="B217" s="136"/>
      <c r="C217" s="136"/>
      <c r="D217" s="136"/>
      <c r="E217" s="136"/>
      <c r="F217" s="136"/>
      <c r="G217" s="136"/>
      <c r="H217" s="136"/>
      <c r="I217" s="136"/>
      <c r="J217" s="136"/>
      <c r="K217" s="136"/>
      <c r="L217" s="136"/>
      <c r="M217" s="136"/>
      <c r="N217" s="136"/>
      <c r="O217" s="136"/>
      <c r="P217" s="136"/>
      <c r="Q217" s="136"/>
      <c r="R217" s="136"/>
      <c r="S217" s="136"/>
      <c r="T217" s="136"/>
      <c r="U217" s="136"/>
      <c r="V217" s="136"/>
      <c r="W217" s="136"/>
      <c r="X217" s="136"/>
      <c r="Y217" s="136"/>
      <c r="Z217" s="136"/>
      <c r="AA217" s="136"/>
      <c r="AB217" s="136"/>
    </row>
    <row r="218" spans="1:28" x14ac:dyDescent="0.2">
      <c r="A218" s="136"/>
      <c r="B218" s="136"/>
      <c r="C218" s="136"/>
      <c r="D218" s="136"/>
      <c r="E218" s="136"/>
      <c r="F218" s="136"/>
      <c r="G218" s="136"/>
      <c r="H218" s="136"/>
      <c r="I218" s="136"/>
      <c r="J218" s="136"/>
      <c r="K218" s="136"/>
      <c r="L218" s="136"/>
      <c r="M218" s="136"/>
      <c r="N218" s="136"/>
      <c r="O218" s="136"/>
      <c r="P218" s="136"/>
      <c r="Q218" s="136"/>
      <c r="R218" s="136"/>
      <c r="S218" s="136"/>
      <c r="T218" s="136"/>
      <c r="U218" s="136"/>
      <c r="V218" s="136"/>
      <c r="W218" s="136"/>
      <c r="X218" s="136"/>
      <c r="Y218" s="136"/>
      <c r="Z218" s="136"/>
      <c r="AA218" s="136"/>
      <c r="AB218" s="136"/>
    </row>
    <row r="219" spans="1:28" x14ac:dyDescent="0.2">
      <c r="A219" s="136"/>
      <c r="B219" s="136"/>
      <c r="C219" s="136"/>
      <c r="D219" s="136"/>
      <c r="E219" s="136"/>
      <c r="F219" s="136"/>
      <c r="G219" s="136"/>
      <c r="H219" s="136"/>
      <c r="I219" s="136"/>
      <c r="J219" s="136"/>
      <c r="K219" s="136"/>
      <c r="L219" s="136"/>
      <c r="M219" s="136"/>
      <c r="N219" s="136"/>
      <c r="O219" s="136"/>
      <c r="P219" s="136"/>
      <c r="Q219" s="136"/>
      <c r="R219" s="136"/>
      <c r="S219" s="136"/>
      <c r="T219" s="136"/>
      <c r="U219" s="136"/>
      <c r="V219" s="136"/>
      <c r="W219" s="136"/>
      <c r="X219" s="136"/>
      <c r="Y219" s="136"/>
      <c r="Z219" s="136"/>
      <c r="AA219" s="136"/>
      <c r="AB219" s="136"/>
    </row>
    <row r="220" spans="1:28" x14ac:dyDescent="0.2">
      <c r="A220" s="136"/>
      <c r="B220" s="136"/>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136"/>
      <c r="AB220" s="136"/>
    </row>
    <row r="221" spans="1:28" x14ac:dyDescent="0.2">
      <c r="A221" s="136"/>
      <c r="B221" s="136"/>
      <c r="C221" s="136"/>
      <c r="D221" s="136"/>
      <c r="E221" s="136"/>
      <c r="F221" s="136"/>
      <c r="G221" s="136"/>
      <c r="H221" s="136"/>
      <c r="I221" s="136"/>
      <c r="J221" s="136"/>
      <c r="K221" s="136"/>
      <c r="L221" s="136"/>
      <c r="M221" s="136"/>
      <c r="N221" s="136"/>
      <c r="O221" s="136"/>
      <c r="P221" s="136"/>
      <c r="Q221" s="136"/>
      <c r="R221" s="136"/>
      <c r="S221" s="136"/>
      <c r="T221" s="136"/>
      <c r="U221" s="136"/>
      <c r="V221" s="136"/>
      <c r="W221" s="136"/>
      <c r="X221" s="136"/>
      <c r="Y221" s="136"/>
      <c r="Z221" s="136"/>
      <c r="AA221" s="136"/>
      <c r="AB221" s="136"/>
    </row>
    <row r="222" spans="1:28" x14ac:dyDescent="0.2">
      <c r="A222" s="136"/>
      <c r="B222" s="136"/>
      <c r="C222" s="136"/>
      <c r="D222" s="136"/>
      <c r="E222" s="136"/>
      <c r="F222" s="136"/>
      <c r="G222" s="136"/>
      <c r="H222" s="136"/>
      <c r="I222" s="136"/>
      <c r="J222" s="136"/>
      <c r="K222" s="136"/>
      <c r="L222" s="136"/>
      <c r="M222" s="136"/>
      <c r="N222" s="136"/>
      <c r="O222" s="136"/>
      <c r="P222" s="136"/>
      <c r="Q222" s="136"/>
      <c r="R222" s="136"/>
      <c r="S222" s="136"/>
      <c r="T222" s="136"/>
      <c r="U222" s="136"/>
      <c r="V222" s="136"/>
      <c r="W222" s="136"/>
      <c r="X222" s="136"/>
      <c r="Y222" s="136"/>
      <c r="Z222" s="136"/>
      <c r="AA222" s="136"/>
      <c r="AB222" s="136"/>
    </row>
    <row r="223" spans="1:28" x14ac:dyDescent="0.2">
      <c r="A223" s="136"/>
      <c r="B223" s="136"/>
      <c r="C223" s="136"/>
      <c r="D223" s="136"/>
      <c r="E223" s="136"/>
      <c r="F223" s="136"/>
      <c r="G223" s="136"/>
      <c r="H223" s="136"/>
      <c r="I223" s="136"/>
      <c r="J223" s="136"/>
      <c r="K223" s="136"/>
      <c r="L223" s="136"/>
      <c r="M223" s="136"/>
      <c r="N223" s="136"/>
      <c r="O223" s="136"/>
      <c r="P223" s="136"/>
      <c r="Q223" s="136"/>
      <c r="R223" s="136"/>
      <c r="S223" s="136"/>
      <c r="T223" s="136"/>
      <c r="U223" s="136"/>
      <c r="V223" s="136"/>
      <c r="W223" s="136"/>
      <c r="X223" s="136"/>
      <c r="Y223" s="136"/>
      <c r="Z223" s="136"/>
      <c r="AA223" s="136"/>
      <c r="AB223" s="136"/>
    </row>
    <row r="224" spans="1:28" x14ac:dyDescent="0.2">
      <c r="A224" s="136"/>
      <c r="B224" s="136"/>
      <c r="C224" s="136"/>
      <c r="D224" s="136"/>
      <c r="E224" s="136"/>
      <c r="F224" s="136"/>
      <c r="G224" s="136"/>
      <c r="H224" s="136"/>
      <c r="I224" s="136"/>
      <c r="J224" s="136"/>
      <c r="K224" s="136"/>
      <c r="L224" s="136"/>
      <c r="M224" s="136"/>
      <c r="N224" s="136"/>
      <c r="O224" s="136"/>
      <c r="P224" s="136"/>
      <c r="Q224" s="136"/>
      <c r="R224" s="136"/>
      <c r="S224" s="136"/>
      <c r="T224" s="136"/>
      <c r="U224" s="136"/>
      <c r="V224" s="136"/>
      <c r="W224" s="136"/>
      <c r="X224" s="136"/>
      <c r="Y224" s="136"/>
      <c r="Z224" s="136"/>
      <c r="AA224" s="136"/>
      <c r="AB224" s="136"/>
    </row>
    <row r="225" spans="1:28" x14ac:dyDescent="0.2">
      <c r="A225" s="136"/>
      <c r="B225" s="136"/>
      <c r="C225" s="136"/>
      <c r="D225" s="136"/>
      <c r="E225" s="136"/>
      <c r="F225" s="136"/>
      <c r="G225" s="136"/>
      <c r="H225" s="136"/>
      <c r="I225" s="136"/>
      <c r="J225" s="136"/>
      <c r="K225" s="136"/>
      <c r="L225" s="136"/>
      <c r="M225" s="136"/>
      <c r="N225" s="136"/>
      <c r="O225" s="136"/>
      <c r="P225" s="136"/>
      <c r="Q225" s="136"/>
      <c r="R225" s="136"/>
      <c r="S225" s="136"/>
      <c r="T225" s="136"/>
      <c r="U225" s="136"/>
      <c r="V225" s="136"/>
      <c r="W225" s="136"/>
      <c r="X225" s="136"/>
      <c r="Y225" s="136"/>
      <c r="Z225" s="136"/>
      <c r="AA225" s="136"/>
      <c r="AB225" s="136"/>
    </row>
    <row r="226" spans="1:28" x14ac:dyDescent="0.2">
      <c r="A226" s="136"/>
      <c r="B226" s="136"/>
      <c r="C226" s="136"/>
      <c r="D226" s="136"/>
      <c r="E226" s="136"/>
      <c r="F226" s="136"/>
      <c r="G226" s="136"/>
      <c r="H226" s="136"/>
      <c r="I226" s="136"/>
      <c r="J226" s="136"/>
      <c r="K226" s="136"/>
      <c r="L226" s="136"/>
      <c r="M226" s="136"/>
      <c r="N226" s="136"/>
      <c r="O226" s="136"/>
      <c r="P226" s="136"/>
      <c r="Q226" s="136"/>
      <c r="R226" s="136"/>
      <c r="S226" s="136"/>
      <c r="T226" s="136"/>
      <c r="U226" s="136"/>
      <c r="V226" s="136"/>
      <c r="W226" s="136"/>
      <c r="X226" s="136"/>
      <c r="Y226" s="136"/>
      <c r="Z226" s="136"/>
      <c r="AA226" s="136"/>
      <c r="AB226" s="136"/>
    </row>
    <row r="227" spans="1:28" x14ac:dyDescent="0.2">
      <c r="A227" s="136"/>
      <c r="B227" s="136"/>
      <c r="C227" s="136"/>
      <c r="D227" s="136"/>
      <c r="E227" s="136"/>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36"/>
    </row>
    <row r="228" spans="1:28" x14ac:dyDescent="0.2">
      <c r="A228" s="136"/>
      <c r="B228" s="136"/>
      <c r="C228" s="136"/>
      <c r="D228" s="136"/>
      <c r="E228" s="136"/>
      <c r="F228" s="136"/>
      <c r="G228" s="136"/>
      <c r="H228" s="136"/>
      <c r="I228" s="136"/>
      <c r="J228" s="136"/>
      <c r="K228" s="136"/>
      <c r="L228" s="136"/>
      <c r="M228" s="136"/>
      <c r="N228" s="136"/>
      <c r="O228" s="136"/>
      <c r="P228" s="136"/>
      <c r="Q228" s="136"/>
      <c r="R228" s="136"/>
      <c r="S228" s="136"/>
      <c r="T228" s="136"/>
      <c r="U228" s="136"/>
      <c r="V228" s="136"/>
      <c r="W228" s="136"/>
      <c r="X228" s="136"/>
      <c r="Y228" s="136"/>
      <c r="Z228" s="136"/>
      <c r="AA228" s="136"/>
      <c r="AB228" s="136"/>
    </row>
    <row r="229" spans="1:28" x14ac:dyDescent="0.2">
      <c r="A229" s="136"/>
      <c r="B229" s="136"/>
      <c r="C229" s="136"/>
      <c r="D229" s="136"/>
      <c r="E229" s="136"/>
      <c r="F229" s="136"/>
      <c r="G229" s="136"/>
      <c r="H229" s="136"/>
      <c r="I229" s="136"/>
      <c r="J229" s="136"/>
      <c r="K229" s="136"/>
      <c r="L229" s="136"/>
      <c r="M229" s="136"/>
      <c r="N229" s="136"/>
      <c r="O229" s="136"/>
      <c r="P229" s="136"/>
      <c r="Q229" s="136"/>
      <c r="R229" s="136"/>
      <c r="S229" s="136"/>
      <c r="T229" s="136"/>
      <c r="U229" s="136"/>
      <c r="V229" s="136"/>
      <c r="W229" s="136"/>
      <c r="X229" s="136"/>
      <c r="Y229" s="136"/>
      <c r="Z229" s="136"/>
      <c r="AA229" s="136"/>
      <c r="AB229" s="136"/>
    </row>
    <row r="230" spans="1:28" x14ac:dyDescent="0.2">
      <c r="A230" s="136"/>
      <c r="B230" s="136"/>
      <c r="C230" s="136"/>
      <c r="D230" s="136"/>
      <c r="E230" s="136"/>
      <c r="F230" s="136"/>
      <c r="G230" s="136"/>
      <c r="H230" s="136"/>
      <c r="I230" s="136"/>
      <c r="J230" s="136"/>
      <c r="K230" s="136"/>
      <c r="L230" s="136"/>
      <c r="M230" s="136"/>
      <c r="N230" s="136"/>
      <c r="O230" s="136"/>
      <c r="P230" s="136"/>
      <c r="Q230" s="136"/>
      <c r="R230" s="136"/>
      <c r="S230" s="136"/>
      <c r="T230" s="136"/>
      <c r="U230" s="136"/>
      <c r="V230" s="136"/>
      <c r="W230" s="136"/>
      <c r="X230" s="136"/>
      <c r="Y230" s="136"/>
      <c r="Z230" s="136"/>
      <c r="AA230" s="136"/>
      <c r="AB230" s="136"/>
    </row>
    <row r="231" spans="1:28" x14ac:dyDescent="0.2">
      <c r="A231" s="136"/>
      <c r="B231" s="136"/>
      <c r="C231" s="136"/>
      <c r="D231" s="136"/>
      <c r="E231" s="136"/>
      <c r="F231" s="136"/>
      <c r="G231" s="136"/>
      <c r="H231" s="136"/>
      <c r="I231" s="136"/>
      <c r="J231" s="136"/>
      <c r="K231" s="136"/>
      <c r="L231" s="136"/>
      <c r="M231" s="136"/>
      <c r="N231" s="136"/>
      <c r="O231" s="136"/>
      <c r="P231" s="136"/>
      <c r="Q231" s="136"/>
      <c r="R231" s="136"/>
      <c r="S231" s="136"/>
      <c r="T231" s="136"/>
      <c r="U231" s="136"/>
      <c r="V231" s="136"/>
      <c r="W231" s="136"/>
      <c r="X231" s="136"/>
      <c r="Y231" s="136"/>
      <c r="Z231" s="136"/>
      <c r="AA231" s="136"/>
      <c r="AB231" s="136"/>
    </row>
    <row r="232" spans="1:28" x14ac:dyDescent="0.2">
      <c r="A232" s="136"/>
      <c r="B232" s="136"/>
      <c r="C232" s="136"/>
      <c r="D232" s="136"/>
      <c r="E232" s="136"/>
      <c r="F232" s="136"/>
      <c r="G232" s="136"/>
      <c r="H232" s="136"/>
      <c r="I232" s="136"/>
      <c r="J232" s="136"/>
      <c r="K232" s="136"/>
      <c r="L232" s="136"/>
      <c r="M232" s="136"/>
      <c r="N232" s="136"/>
      <c r="O232" s="136"/>
      <c r="P232" s="136"/>
      <c r="Q232" s="136"/>
      <c r="R232" s="136"/>
      <c r="S232" s="136"/>
      <c r="T232" s="136"/>
      <c r="U232" s="136"/>
      <c r="V232" s="136"/>
      <c r="W232" s="136"/>
      <c r="X232" s="136"/>
      <c r="Y232" s="136"/>
      <c r="Z232" s="136"/>
      <c r="AA232" s="136"/>
      <c r="AB232" s="136"/>
    </row>
    <row r="233" spans="1:28" x14ac:dyDescent="0.2">
      <c r="A233" s="136"/>
      <c r="B233" s="136"/>
      <c r="C233" s="136"/>
      <c r="D233" s="136"/>
      <c r="E233" s="136"/>
      <c r="F233" s="136"/>
      <c r="G233" s="136"/>
      <c r="H233" s="136"/>
      <c r="I233" s="136"/>
      <c r="J233" s="136"/>
      <c r="K233" s="136"/>
      <c r="L233" s="136"/>
      <c r="M233" s="136"/>
      <c r="N233" s="136"/>
      <c r="O233" s="136"/>
      <c r="P233" s="136"/>
      <c r="Q233" s="136"/>
      <c r="R233" s="136"/>
      <c r="S233" s="136"/>
      <c r="T233" s="136"/>
      <c r="U233" s="136"/>
      <c r="V233" s="136"/>
      <c r="W233" s="136"/>
      <c r="X233" s="136"/>
      <c r="Y233" s="136"/>
      <c r="Z233" s="136"/>
      <c r="AA233" s="136"/>
      <c r="AB233" s="136"/>
    </row>
    <row r="234" spans="1:28" x14ac:dyDescent="0.2">
      <c r="A234" s="136"/>
      <c r="B234" s="136"/>
      <c r="C234" s="136"/>
      <c r="D234" s="136"/>
      <c r="E234" s="136"/>
      <c r="F234" s="136"/>
      <c r="G234" s="136"/>
      <c r="H234" s="136"/>
      <c r="I234" s="136"/>
      <c r="J234" s="136"/>
      <c r="K234" s="136"/>
      <c r="L234" s="136"/>
      <c r="M234" s="136"/>
      <c r="N234" s="136"/>
      <c r="O234" s="136"/>
      <c r="P234" s="136"/>
      <c r="Q234" s="136"/>
      <c r="R234" s="136"/>
      <c r="S234" s="136"/>
      <c r="T234" s="136"/>
      <c r="U234" s="136"/>
      <c r="V234" s="136"/>
      <c r="W234" s="136"/>
      <c r="X234" s="136"/>
      <c r="Y234" s="136"/>
      <c r="Z234" s="136"/>
      <c r="AA234" s="136"/>
      <c r="AB234" s="136"/>
    </row>
    <row r="235" spans="1:28" x14ac:dyDescent="0.2">
      <c r="A235" s="136"/>
      <c r="B235" s="136"/>
      <c r="C235" s="136"/>
      <c r="D235" s="136"/>
      <c r="E235" s="136"/>
      <c r="F235" s="136"/>
      <c r="G235" s="136"/>
      <c r="H235" s="136"/>
      <c r="I235" s="136"/>
      <c r="J235" s="136"/>
      <c r="K235" s="136"/>
      <c r="L235" s="136"/>
      <c r="M235" s="136"/>
      <c r="N235" s="136"/>
      <c r="O235" s="136"/>
      <c r="P235" s="136"/>
      <c r="Q235" s="136"/>
      <c r="R235" s="136"/>
      <c r="S235" s="136"/>
      <c r="T235" s="136"/>
      <c r="U235" s="136"/>
      <c r="V235" s="136"/>
      <c r="W235" s="136"/>
      <c r="X235" s="136"/>
      <c r="Y235" s="136"/>
      <c r="Z235" s="136"/>
      <c r="AA235" s="136"/>
      <c r="AB235" s="136"/>
    </row>
    <row r="236" spans="1:28" x14ac:dyDescent="0.2">
      <c r="A236" s="136"/>
      <c r="B236" s="136"/>
      <c r="C236" s="136"/>
      <c r="D236" s="136"/>
      <c r="E236" s="136"/>
      <c r="F236" s="136"/>
      <c r="G236" s="136"/>
      <c r="H236" s="136"/>
      <c r="I236" s="136"/>
      <c r="J236" s="136"/>
      <c r="K236" s="136"/>
      <c r="L236" s="136"/>
      <c r="M236" s="136"/>
      <c r="N236" s="136"/>
      <c r="O236" s="136"/>
      <c r="P236" s="136"/>
      <c r="Q236" s="136"/>
      <c r="R236" s="136"/>
      <c r="S236" s="136"/>
      <c r="T236" s="136"/>
      <c r="U236" s="136"/>
      <c r="V236" s="136"/>
      <c r="W236" s="136"/>
      <c r="X236" s="136"/>
      <c r="Y236" s="136"/>
      <c r="Z236" s="136"/>
      <c r="AA236" s="136"/>
      <c r="AB236" s="136"/>
    </row>
    <row r="237" spans="1:28" x14ac:dyDescent="0.2">
      <c r="A237" s="136"/>
      <c r="B237" s="136"/>
      <c r="C237" s="136"/>
      <c r="D237" s="136"/>
      <c r="E237" s="136"/>
      <c r="F237" s="136"/>
      <c r="G237" s="136"/>
      <c r="H237" s="136"/>
      <c r="I237" s="136"/>
      <c r="J237" s="136"/>
      <c r="K237" s="136"/>
      <c r="L237" s="136"/>
      <c r="M237" s="136"/>
      <c r="N237" s="136"/>
      <c r="O237" s="136"/>
      <c r="P237" s="136"/>
      <c r="Q237" s="136"/>
      <c r="R237" s="136"/>
      <c r="S237" s="136"/>
      <c r="T237" s="136"/>
      <c r="U237" s="136"/>
      <c r="V237" s="136"/>
      <c r="W237" s="136"/>
      <c r="X237" s="136"/>
      <c r="Y237" s="136"/>
      <c r="Z237" s="136"/>
      <c r="AA237" s="136"/>
      <c r="AB237" s="136"/>
    </row>
    <row r="238" spans="1:28" x14ac:dyDescent="0.2">
      <c r="A238" s="136"/>
      <c r="B238" s="136"/>
      <c r="C238" s="136"/>
      <c r="D238" s="136"/>
      <c r="E238" s="136"/>
      <c r="F238" s="136"/>
      <c r="G238" s="136"/>
      <c r="H238" s="136"/>
      <c r="I238" s="136"/>
      <c r="J238" s="136"/>
      <c r="K238" s="136"/>
      <c r="L238" s="136"/>
      <c r="M238" s="136"/>
      <c r="N238" s="136"/>
      <c r="O238" s="136"/>
      <c r="P238" s="136"/>
      <c r="Q238" s="136"/>
      <c r="R238" s="136"/>
      <c r="S238" s="136"/>
      <c r="T238" s="136"/>
      <c r="U238" s="136"/>
      <c r="V238" s="136"/>
      <c r="W238" s="136"/>
      <c r="X238" s="136"/>
      <c r="Y238" s="136"/>
      <c r="Z238" s="136"/>
      <c r="AA238" s="136"/>
      <c r="AB238" s="136"/>
    </row>
    <row r="239" spans="1:28" x14ac:dyDescent="0.2">
      <c r="A239" s="136"/>
      <c r="B239" s="136"/>
      <c r="C239" s="136"/>
      <c r="D239" s="136"/>
      <c r="E239" s="136"/>
      <c r="F239" s="136"/>
      <c r="G239" s="136"/>
      <c r="H239" s="136"/>
      <c r="I239" s="136"/>
      <c r="J239" s="136"/>
      <c r="K239" s="136"/>
      <c r="L239" s="136"/>
      <c r="M239" s="136"/>
      <c r="N239" s="136"/>
      <c r="O239" s="136"/>
      <c r="P239" s="136"/>
      <c r="Q239" s="136"/>
      <c r="R239" s="136"/>
      <c r="S239" s="136"/>
      <c r="T239" s="136"/>
      <c r="U239" s="136"/>
      <c r="V239" s="136"/>
      <c r="W239" s="136"/>
      <c r="X239" s="136"/>
      <c r="Y239" s="136"/>
      <c r="Z239" s="136"/>
      <c r="AA239" s="136"/>
      <c r="AB239" s="136"/>
    </row>
    <row r="240" spans="1:28" x14ac:dyDescent="0.2">
      <c r="A240" s="136"/>
      <c r="B240" s="136"/>
      <c r="C240" s="136"/>
      <c r="D240" s="136"/>
      <c r="E240" s="136"/>
      <c r="F240" s="136"/>
      <c r="G240" s="136"/>
      <c r="H240" s="136"/>
      <c r="I240" s="136"/>
      <c r="J240" s="136"/>
      <c r="K240" s="136"/>
      <c r="L240" s="136"/>
      <c r="M240" s="136"/>
      <c r="N240" s="136"/>
      <c r="O240" s="136"/>
      <c r="P240" s="136"/>
      <c r="Q240" s="136"/>
      <c r="R240" s="136"/>
      <c r="S240" s="136"/>
      <c r="T240" s="136"/>
      <c r="U240" s="136"/>
      <c r="V240" s="136"/>
      <c r="W240" s="136"/>
      <c r="X240" s="136"/>
      <c r="Y240" s="136"/>
      <c r="Z240" s="136"/>
      <c r="AA240" s="136"/>
      <c r="AB240" s="136"/>
    </row>
    <row r="241" spans="1:28" x14ac:dyDescent="0.2">
      <c r="A241" s="136"/>
      <c r="B241" s="136"/>
      <c r="C241" s="136"/>
      <c r="D241" s="136"/>
      <c r="E241" s="136"/>
      <c r="F241" s="136"/>
      <c r="G241" s="136"/>
      <c r="H241" s="136"/>
      <c r="I241" s="136"/>
      <c r="J241" s="136"/>
      <c r="K241" s="136"/>
      <c r="L241" s="136"/>
      <c r="M241" s="136"/>
      <c r="N241" s="136"/>
      <c r="O241" s="136"/>
      <c r="P241" s="136"/>
      <c r="Q241" s="136"/>
      <c r="R241" s="136"/>
      <c r="S241" s="136"/>
      <c r="T241" s="136"/>
      <c r="U241" s="136"/>
      <c r="V241" s="136"/>
      <c r="W241" s="136"/>
      <c r="X241" s="136"/>
      <c r="Y241" s="136"/>
      <c r="Z241" s="136"/>
      <c r="AA241" s="136"/>
      <c r="AB241" s="136"/>
    </row>
    <row r="242" spans="1:28" x14ac:dyDescent="0.2">
      <c r="A242" s="136"/>
      <c r="B242" s="136"/>
      <c r="C242" s="136"/>
      <c r="D242" s="136"/>
      <c r="E242" s="136"/>
      <c r="F242" s="136"/>
      <c r="G242" s="136"/>
      <c r="H242" s="136"/>
      <c r="I242" s="136"/>
      <c r="J242" s="136"/>
      <c r="K242" s="136"/>
      <c r="L242" s="136"/>
      <c r="M242" s="136"/>
      <c r="N242" s="136"/>
      <c r="O242" s="136"/>
      <c r="P242" s="136"/>
      <c r="Q242" s="136"/>
      <c r="R242" s="136"/>
      <c r="S242" s="136"/>
      <c r="T242" s="136"/>
      <c r="U242" s="136"/>
      <c r="V242" s="136"/>
      <c r="W242" s="136"/>
      <c r="X242" s="136"/>
      <c r="Y242" s="136"/>
      <c r="Z242" s="136"/>
      <c r="AA242" s="136"/>
      <c r="AB242" s="136"/>
    </row>
    <row r="243" spans="1:28" x14ac:dyDescent="0.2">
      <c r="A243" s="136"/>
      <c r="B243" s="136"/>
      <c r="C243" s="136"/>
      <c r="D243" s="136"/>
      <c r="E243" s="136"/>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36"/>
    </row>
    <row r="244" spans="1:28" x14ac:dyDescent="0.2">
      <c r="A244" s="136"/>
      <c r="B244" s="136"/>
      <c r="C244" s="136"/>
      <c r="D244" s="136"/>
      <c r="E244" s="136"/>
      <c r="F244" s="136"/>
      <c r="G244" s="136"/>
      <c r="H244" s="136"/>
      <c r="I244" s="136"/>
      <c r="J244" s="136"/>
      <c r="K244" s="136"/>
      <c r="L244" s="136"/>
      <c r="M244" s="136"/>
      <c r="N244" s="136"/>
      <c r="O244" s="136"/>
      <c r="P244" s="136"/>
      <c r="Q244" s="136"/>
      <c r="R244" s="136"/>
      <c r="S244" s="136"/>
      <c r="T244" s="136"/>
      <c r="U244" s="136"/>
      <c r="V244" s="136"/>
      <c r="W244" s="136"/>
      <c r="X244" s="136"/>
      <c r="Y244" s="136"/>
      <c r="Z244" s="136"/>
      <c r="AA244" s="136"/>
      <c r="AB244" s="136"/>
    </row>
    <row r="245" spans="1:28" x14ac:dyDescent="0.2">
      <c r="A245" s="136"/>
      <c r="B245" s="136"/>
      <c r="C245" s="136"/>
      <c r="D245" s="136"/>
      <c r="E245" s="136"/>
      <c r="F245" s="136"/>
      <c r="G245" s="136"/>
      <c r="H245" s="136"/>
      <c r="I245" s="136"/>
      <c r="J245" s="136"/>
      <c r="K245" s="136"/>
      <c r="L245" s="136"/>
      <c r="M245" s="136"/>
      <c r="N245" s="136"/>
      <c r="O245" s="136"/>
      <c r="P245" s="136"/>
      <c r="Q245" s="136"/>
      <c r="R245" s="136"/>
      <c r="S245" s="136"/>
      <c r="T245" s="136"/>
      <c r="U245" s="136"/>
      <c r="V245" s="136"/>
      <c r="W245" s="136"/>
      <c r="X245" s="136"/>
      <c r="Y245" s="136"/>
      <c r="Z245" s="136"/>
      <c r="AA245" s="136"/>
      <c r="AB245" s="136"/>
    </row>
    <row r="246" spans="1:28" x14ac:dyDescent="0.2">
      <c r="A246" s="136"/>
      <c r="B246" s="136"/>
      <c r="C246" s="136"/>
      <c r="D246" s="136"/>
      <c r="E246" s="136"/>
      <c r="F246" s="136"/>
      <c r="G246" s="136"/>
      <c r="H246" s="136"/>
      <c r="I246" s="136"/>
      <c r="J246" s="136"/>
      <c r="K246" s="136"/>
      <c r="L246" s="136"/>
      <c r="M246" s="136"/>
      <c r="N246" s="136"/>
      <c r="O246" s="136"/>
      <c r="P246" s="136"/>
      <c r="Q246" s="136"/>
      <c r="R246" s="136"/>
      <c r="S246" s="136"/>
      <c r="T246" s="136"/>
      <c r="U246" s="136"/>
      <c r="V246" s="136"/>
      <c r="W246" s="136"/>
      <c r="X246" s="136"/>
      <c r="Y246" s="136"/>
      <c r="Z246" s="136"/>
      <c r="AA246" s="136"/>
      <c r="AB246" s="136"/>
    </row>
    <row r="247" spans="1:28" x14ac:dyDescent="0.2">
      <c r="A247" s="136"/>
      <c r="B247" s="136"/>
      <c r="C247" s="136"/>
      <c r="D247" s="136"/>
      <c r="E247" s="136"/>
      <c r="F247" s="136"/>
      <c r="G247" s="136"/>
      <c r="H247" s="136"/>
      <c r="I247" s="136"/>
      <c r="J247" s="136"/>
      <c r="K247" s="136"/>
      <c r="L247" s="136"/>
      <c r="M247" s="136"/>
      <c r="N247" s="136"/>
      <c r="O247" s="136"/>
      <c r="P247" s="136"/>
      <c r="Q247" s="136"/>
      <c r="R247" s="136"/>
      <c r="S247" s="136"/>
      <c r="T247" s="136"/>
      <c r="U247" s="136"/>
      <c r="V247" s="136"/>
      <c r="W247" s="136"/>
      <c r="X247" s="136"/>
      <c r="Y247" s="136"/>
      <c r="Z247" s="136"/>
      <c r="AA247" s="136"/>
      <c r="AB247" s="136"/>
    </row>
    <row r="248" spans="1:28" x14ac:dyDescent="0.2">
      <c r="A248" s="136"/>
      <c r="B248" s="136"/>
      <c r="C248" s="136"/>
      <c r="D248" s="136"/>
      <c r="E248" s="136"/>
      <c r="F248" s="136"/>
      <c r="G248" s="136"/>
      <c r="H248" s="136"/>
      <c r="I248" s="136"/>
      <c r="J248" s="136"/>
      <c r="K248" s="136"/>
      <c r="L248" s="136"/>
      <c r="M248" s="136"/>
      <c r="N248" s="136"/>
      <c r="O248" s="136"/>
      <c r="P248" s="136"/>
      <c r="Q248" s="136"/>
      <c r="R248" s="136"/>
      <c r="S248" s="136"/>
      <c r="T248" s="136"/>
      <c r="U248" s="136"/>
      <c r="V248" s="136"/>
      <c r="W248" s="136"/>
      <c r="X248" s="136"/>
      <c r="Y248" s="136"/>
      <c r="Z248" s="136"/>
      <c r="AA248" s="136"/>
      <c r="AB248" s="136"/>
    </row>
    <row r="249" spans="1:28" x14ac:dyDescent="0.2">
      <c r="A249" s="136"/>
      <c r="B249" s="136"/>
      <c r="C249" s="136"/>
      <c r="D249" s="136"/>
      <c r="E249" s="136"/>
      <c r="F249" s="136"/>
      <c r="G249" s="136"/>
      <c r="H249" s="136"/>
      <c r="I249" s="136"/>
      <c r="J249" s="136"/>
      <c r="K249" s="136"/>
      <c r="L249" s="136"/>
      <c r="M249" s="136"/>
      <c r="N249" s="136"/>
      <c r="O249" s="136"/>
      <c r="P249" s="136"/>
      <c r="Q249" s="136"/>
      <c r="R249" s="136"/>
      <c r="S249" s="136"/>
      <c r="T249" s="136"/>
      <c r="U249" s="136"/>
      <c r="V249" s="136"/>
      <c r="W249" s="136"/>
      <c r="X249" s="136"/>
      <c r="Y249" s="136"/>
      <c r="Z249" s="136"/>
      <c r="AA249" s="136"/>
      <c r="AB249" s="136"/>
    </row>
    <row r="250" spans="1:28" x14ac:dyDescent="0.2">
      <c r="A250" s="136"/>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row>
    <row r="251" spans="1:28" x14ac:dyDescent="0.2">
      <c r="A251" s="136"/>
      <c r="B251" s="136"/>
      <c r="C251" s="136"/>
      <c r="D251" s="136"/>
      <c r="E251" s="136"/>
      <c r="F251" s="136"/>
      <c r="G251" s="136"/>
      <c r="H251" s="136"/>
      <c r="I251" s="136"/>
      <c r="J251" s="136"/>
      <c r="K251" s="136"/>
      <c r="L251" s="136"/>
      <c r="M251" s="136"/>
      <c r="N251" s="136"/>
      <c r="O251" s="136"/>
      <c r="P251" s="136"/>
      <c r="Q251" s="136"/>
      <c r="R251" s="136"/>
      <c r="S251" s="136"/>
      <c r="T251" s="136"/>
      <c r="U251" s="136"/>
      <c r="V251" s="136"/>
      <c r="W251" s="136"/>
      <c r="X251" s="136"/>
      <c r="Y251" s="136"/>
      <c r="Z251" s="136"/>
      <c r="AA251" s="136"/>
      <c r="AB251" s="136"/>
    </row>
    <row r="252" spans="1:28" x14ac:dyDescent="0.2">
      <c r="A252" s="136"/>
      <c r="B252" s="136"/>
      <c r="C252" s="136"/>
      <c r="D252" s="136"/>
      <c r="E252" s="136"/>
      <c r="F252" s="136"/>
      <c r="G252" s="136"/>
      <c r="H252" s="136"/>
      <c r="I252" s="136"/>
      <c r="J252" s="136"/>
      <c r="K252" s="136"/>
      <c r="L252" s="136"/>
      <c r="M252" s="136"/>
      <c r="N252" s="136"/>
      <c r="O252" s="136"/>
      <c r="P252" s="136"/>
      <c r="Q252" s="136"/>
      <c r="R252" s="136"/>
      <c r="S252" s="136"/>
      <c r="T252" s="136"/>
      <c r="U252" s="136"/>
      <c r="V252" s="136"/>
      <c r="W252" s="136"/>
      <c r="X252" s="136"/>
      <c r="Y252" s="136"/>
      <c r="Z252" s="136"/>
      <c r="AA252" s="136"/>
      <c r="AB252" s="136"/>
    </row>
    <row r="253" spans="1:28" x14ac:dyDescent="0.2">
      <c r="A253" s="136"/>
      <c r="B253" s="136"/>
      <c r="C253" s="136"/>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36"/>
    </row>
    <row r="254" spans="1:28" x14ac:dyDescent="0.2">
      <c r="A254" s="136"/>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row>
    <row r="255" spans="1:28" x14ac:dyDescent="0.2">
      <c r="A255" s="136"/>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row>
    <row r="256" spans="1:28" x14ac:dyDescent="0.2">
      <c r="A256" s="136"/>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row>
    <row r="257" spans="1:28" x14ac:dyDescent="0.2">
      <c r="A257" s="136"/>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row>
    <row r="258" spans="1:28" x14ac:dyDescent="0.2">
      <c r="A258" s="136"/>
      <c r="B258" s="136"/>
      <c r="C258" s="136"/>
      <c r="D258" s="136"/>
      <c r="E258" s="136"/>
      <c r="F258" s="136"/>
      <c r="G258" s="136"/>
      <c r="H258" s="136"/>
      <c r="I258" s="136"/>
      <c r="J258" s="136"/>
      <c r="K258" s="136"/>
      <c r="L258" s="136"/>
      <c r="M258" s="136"/>
      <c r="N258" s="136"/>
      <c r="O258" s="136"/>
      <c r="P258" s="136"/>
      <c r="Q258" s="136"/>
      <c r="R258" s="136"/>
      <c r="S258" s="136"/>
      <c r="T258" s="136"/>
      <c r="U258" s="136"/>
      <c r="V258" s="136"/>
      <c r="W258" s="136"/>
      <c r="X258" s="136"/>
      <c r="Y258" s="136"/>
      <c r="Z258" s="136"/>
      <c r="AA258" s="136"/>
      <c r="AB258" s="136"/>
    </row>
    <row r="259" spans="1:28" x14ac:dyDescent="0.2">
      <c r="A259" s="136"/>
      <c r="B259" s="136"/>
      <c r="C259" s="136"/>
      <c r="D259" s="136"/>
      <c r="E259" s="136"/>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36"/>
    </row>
    <row r="260" spans="1:28" x14ac:dyDescent="0.2">
      <c r="A260" s="136"/>
      <c r="B260" s="136"/>
      <c r="C260" s="136"/>
      <c r="D260" s="136"/>
      <c r="E260" s="136"/>
      <c r="F260" s="136"/>
      <c r="G260" s="136"/>
      <c r="H260" s="136"/>
      <c r="I260" s="136"/>
      <c r="J260" s="136"/>
      <c r="K260" s="136"/>
      <c r="L260" s="136"/>
      <c r="M260" s="136"/>
      <c r="N260" s="136"/>
      <c r="O260" s="136"/>
      <c r="P260" s="136"/>
      <c r="Q260" s="136"/>
      <c r="R260" s="136"/>
      <c r="S260" s="136"/>
      <c r="T260" s="136"/>
      <c r="U260" s="136"/>
      <c r="V260" s="136"/>
      <c r="W260" s="136"/>
      <c r="X260" s="136"/>
      <c r="Y260" s="136"/>
      <c r="Z260" s="136"/>
      <c r="AA260" s="136"/>
      <c r="AB260" s="136"/>
    </row>
    <row r="261" spans="1:28" x14ac:dyDescent="0.2">
      <c r="A261" s="136"/>
      <c r="B261" s="136"/>
      <c r="C261" s="136"/>
      <c r="D261" s="136"/>
      <c r="E261" s="136"/>
      <c r="F261" s="136"/>
      <c r="G261" s="136"/>
      <c r="H261" s="136"/>
      <c r="I261" s="136"/>
      <c r="J261" s="136"/>
      <c r="K261" s="136"/>
      <c r="L261" s="136"/>
      <c r="M261" s="136"/>
      <c r="N261" s="136"/>
      <c r="O261" s="136"/>
      <c r="P261" s="136"/>
      <c r="Q261" s="136"/>
      <c r="R261" s="136"/>
      <c r="S261" s="136"/>
      <c r="T261" s="136"/>
      <c r="U261" s="136"/>
      <c r="V261" s="136"/>
      <c r="W261" s="136"/>
      <c r="X261" s="136"/>
      <c r="Y261" s="136"/>
      <c r="Z261" s="136"/>
      <c r="AA261" s="136"/>
      <c r="AB261" s="136"/>
    </row>
    <row r="262" spans="1:28" x14ac:dyDescent="0.2">
      <c r="A262" s="136"/>
      <c r="B262" s="136"/>
      <c r="C262" s="136"/>
      <c r="D262" s="136"/>
      <c r="E262" s="136"/>
      <c r="F262" s="136"/>
      <c r="G262" s="136"/>
      <c r="H262" s="136"/>
      <c r="I262" s="136"/>
      <c r="J262" s="136"/>
      <c r="K262" s="136"/>
      <c r="L262" s="136"/>
      <c r="M262" s="136"/>
      <c r="N262" s="136"/>
      <c r="O262" s="136"/>
      <c r="P262" s="136"/>
      <c r="Q262" s="136"/>
      <c r="R262" s="136"/>
      <c r="S262" s="136"/>
      <c r="T262" s="136"/>
      <c r="U262" s="136"/>
      <c r="V262" s="136"/>
      <c r="W262" s="136"/>
      <c r="X262" s="136"/>
      <c r="Y262" s="136"/>
      <c r="Z262" s="136"/>
      <c r="AA262" s="136"/>
      <c r="AB262" s="136"/>
    </row>
    <row r="263" spans="1:28" x14ac:dyDescent="0.2">
      <c r="A263" s="136"/>
      <c r="B263" s="136"/>
      <c r="C263" s="136"/>
      <c r="D263" s="136"/>
      <c r="E263" s="136"/>
      <c r="F263" s="136"/>
      <c r="G263" s="136"/>
      <c r="H263" s="136"/>
      <c r="I263" s="136"/>
      <c r="J263" s="136"/>
      <c r="K263" s="136"/>
      <c r="L263" s="136"/>
      <c r="M263" s="136"/>
      <c r="N263" s="136"/>
      <c r="O263" s="136"/>
      <c r="P263" s="136"/>
      <c r="Q263" s="136"/>
      <c r="R263" s="136"/>
      <c r="S263" s="136"/>
      <c r="T263" s="136"/>
      <c r="U263" s="136"/>
      <c r="V263" s="136"/>
      <c r="W263" s="136"/>
      <c r="X263" s="136"/>
      <c r="Y263" s="136"/>
      <c r="Z263" s="136"/>
      <c r="AA263" s="136"/>
      <c r="AB263" s="136"/>
    </row>
    <row r="264" spans="1:28" x14ac:dyDescent="0.2">
      <c r="A264" s="136"/>
      <c r="B264" s="136"/>
      <c r="C264" s="136"/>
      <c r="D264" s="136"/>
      <c r="E264" s="136"/>
      <c r="F264" s="136"/>
      <c r="G264" s="136"/>
      <c r="H264" s="136"/>
      <c r="I264" s="136"/>
      <c r="J264" s="136"/>
      <c r="K264" s="136"/>
      <c r="L264" s="136"/>
      <c r="M264" s="136"/>
      <c r="N264" s="136"/>
      <c r="O264" s="136"/>
      <c r="P264" s="136"/>
      <c r="Q264" s="136"/>
      <c r="R264" s="136"/>
      <c r="S264" s="136"/>
      <c r="T264" s="136"/>
      <c r="U264" s="136"/>
      <c r="V264" s="136"/>
      <c r="W264" s="136"/>
      <c r="X264" s="136"/>
      <c r="Y264" s="136"/>
      <c r="Z264" s="136"/>
      <c r="AA264" s="136"/>
      <c r="AB264" s="136"/>
    </row>
    <row r="265" spans="1:28" x14ac:dyDescent="0.2">
      <c r="A265" s="136"/>
      <c r="B265" s="136"/>
      <c r="C265" s="136"/>
      <c r="D265" s="136"/>
      <c r="E265" s="136"/>
      <c r="F265" s="136"/>
      <c r="G265" s="136"/>
      <c r="H265" s="136"/>
      <c r="I265" s="136"/>
      <c r="J265" s="136"/>
      <c r="K265" s="136"/>
      <c r="L265" s="136"/>
      <c r="M265" s="136"/>
      <c r="N265" s="136"/>
      <c r="O265" s="136"/>
      <c r="P265" s="136"/>
      <c r="Q265" s="136"/>
      <c r="R265" s="136"/>
      <c r="S265" s="136"/>
      <c r="T265" s="136"/>
      <c r="U265" s="136"/>
      <c r="V265" s="136"/>
      <c r="W265" s="136"/>
      <c r="X265" s="136"/>
      <c r="Y265" s="136"/>
      <c r="Z265" s="136"/>
      <c r="AA265" s="136"/>
      <c r="AB265" s="136"/>
    </row>
    <row r="266" spans="1:28" x14ac:dyDescent="0.2">
      <c r="A266" s="136"/>
      <c r="B266" s="136"/>
      <c r="C266" s="136"/>
      <c r="D266" s="136"/>
      <c r="E266" s="136"/>
      <c r="F266" s="136"/>
      <c r="G266" s="136"/>
      <c r="H266" s="136"/>
      <c r="I266" s="136"/>
      <c r="J266" s="136"/>
      <c r="K266" s="136"/>
      <c r="L266" s="136"/>
      <c r="M266" s="136"/>
      <c r="N266" s="136"/>
      <c r="O266" s="136"/>
      <c r="P266" s="136"/>
      <c r="Q266" s="136"/>
      <c r="R266" s="136"/>
      <c r="S266" s="136"/>
      <c r="T266" s="136"/>
      <c r="U266" s="136"/>
      <c r="V266" s="136"/>
      <c r="W266" s="136"/>
      <c r="X266" s="136"/>
      <c r="Y266" s="136"/>
      <c r="Z266" s="136"/>
      <c r="AA266" s="136"/>
      <c r="AB266" s="136"/>
    </row>
    <row r="267" spans="1:28" x14ac:dyDescent="0.2">
      <c r="A267" s="136"/>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row>
    <row r="268" spans="1:28" x14ac:dyDescent="0.2">
      <c r="A268" s="136"/>
      <c r="B268" s="136"/>
      <c r="C268" s="136"/>
      <c r="D268" s="136"/>
      <c r="E268" s="136"/>
      <c r="F268" s="136"/>
      <c r="G268" s="136"/>
      <c r="H268" s="136"/>
      <c r="I268" s="136"/>
      <c r="J268" s="136"/>
      <c r="K268" s="136"/>
      <c r="L268" s="136"/>
      <c r="M268" s="136"/>
      <c r="N268" s="136"/>
      <c r="O268" s="136"/>
      <c r="P268" s="136"/>
      <c r="Q268" s="136"/>
      <c r="R268" s="136"/>
      <c r="S268" s="136"/>
      <c r="T268" s="136"/>
      <c r="U268" s="136"/>
      <c r="V268" s="136"/>
      <c r="W268" s="136"/>
      <c r="X268" s="136"/>
      <c r="Y268" s="136"/>
      <c r="Z268" s="136"/>
      <c r="AA268" s="136"/>
      <c r="AB268" s="136"/>
    </row>
    <row r="269" spans="1:28" x14ac:dyDescent="0.2">
      <c r="A269" s="136"/>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row>
    <row r="270" spans="1:28" x14ac:dyDescent="0.2">
      <c r="A270" s="136"/>
      <c r="B270" s="136"/>
      <c r="C270" s="136"/>
      <c r="D270" s="136"/>
      <c r="E270" s="136"/>
      <c r="F270" s="136"/>
      <c r="G270" s="136"/>
      <c r="H270" s="136"/>
      <c r="I270" s="136"/>
      <c r="J270" s="136"/>
      <c r="K270" s="136"/>
      <c r="L270" s="136"/>
      <c r="M270" s="136"/>
      <c r="N270" s="136"/>
      <c r="O270" s="136"/>
      <c r="P270" s="136"/>
      <c r="Q270" s="136"/>
      <c r="R270" s="136"/>
      <c r="S270" s="136"/>
      <c r="T270" s="136"/>
      <c r="U270" s="136"/>
      <c r="V270" s="136"/>
      <c r="W270" s="136"/>
      <c r="X270" s="136"/>
      <c r="Y270" s="136"/>
      <c r="Z270" s="136"/>
      <c r="AA270" s="136"/>
      <c r="AB270" s="136"/>
    </row>
    <row r="271" spans="1:28" x14ac:dyDescent="0.2">
      <c r="A271" s="136"/>
      <c r="B271" s="136"/>
      <c r="C271" s="136"/>
      <c r="D271" s="136"/>
      <c r="E271" s="136"/>
      <c r="F271" s="136"/>
      <c r="G271" s="136"/>
      <c r="H271" s="136"/>
      <c r="I271" s="136"/>
      <c r="J271" s="136"/>
      <c r="K271" s="136"/>
      <c r="L271" s="136"/>
      <c r="M271" s="136"/>
      <c r="N271" s="136"/>
      <c r="O271" s="136"/>
      <c r="P271" s="136"/>
      <c r="Q271" s="136"/>
      <c r="R271" s="136"/>
      <c r="S271" s="136"/>
      <c r="T271" s="136"/>
      <c r="U271" s="136"/>
      <c r="V271" s="136"/>
      <c r="W271" s="136"/>
      <c r="X271" s="136"/>
      <c r="Y271" s="136"/>
      <c r="Z271" s="136"/>
      <c r="AA271" s="136"/>
      <c r="AB271" s="136"/>
    </row>
    <row r="272" spans="1:28" x14ac:dyDescent="0.2">
      <c r="A272" s="136"/>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row>
    <row r="273" spans="1:28" x14ac:dyDescent="0.2">
      <c r="A273" s="136"/>
      <c r="B273" s="136"/>
      <c r="C273" s="136"/>
      <c r="D273" s="136"/>
      <c r="E273" s="136"/>
      <c r="F273" s="136"/>
      <c r="G273" s="136"/>
      <c r="H273" s="136"/>
      <c r="I273" s="136"/>
      <c r="J273" s="136"/>
      <c r="K273" s="136"/>
      <c r="L273" s="136"/>
      <c r="M273" s="136"/>
      <c r="N273" s="136"/>
      <c r="O273" s="136"/>
      <c r="P273" s="136"/>
      <c r="Q273" s="136"/>
      <c r="R273" s="136"/>
      <c r="S273" s="136"/>
      <c r="T273" s="136"/>
      <c r="U273" s="136"/>
      <c r="V273" s="136"/>
      <c r="W273" s="136"/>
      <c r="X273" s="136"/>
      <c r="Y273" s="136"/>
      <c r="Z273" s="136"/>
      <c r="AA273" s="136"/>
      <c r="AB273" s="136"/>
    </row>
    <row r="274" spans="1:28" x14ac:dyDescent="0.2">
      <c r="A274" s="136"/>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row>
    <row r="275" spans="1:28" x14ac:dyDescent="0.2">
      <c r="A275" s="136"/>
      <c r="B275" s="136"/>
      <c r="C275" s="136"/>
      <c r="D275" s="136"/>
      <c r="E275" s="136"/>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36"/>
    </row>
    <row r="276" spans="1:28" x14ac:dyDescent="0.2">
      <c r="A276" s="136"/>
      <c r="B276" s="136"/>
      <c r="C276" s="136"/>
      <c r="D276" s="136"/>
      <c r="E276" s="136"/>
      <c r="F276" s="136"/>
      <c r="G276" s="136"/>
      <c r="H276" s="136"/>
      <c r="I276" s="136"/>
      <c r="J276" s="136"/>
      <c r="K276" s="136"/>
      <c r="L276" s="136"/>
      <c r="M276" s="136"/>
      <c r="N276" s="136"/>
      <c r="O276" s="136"/>
      <c r="P276" s="136"/>
      <c r="Q276" s="136"/>
      <c r="R276" s="136"/>
      <c r="S276" s="136"/>
      <c r="T276" s="136"/>
      <c r="U276" s="136"/>
      <c r="V276" s="136"/>
      <c r="W276" s="136"/>
      <c r="X276" s="136"/>
      <c r="Y276" s="136"/>
      <c r="Z276" s="136"/>
      <c r="AA276" s="136"/>
      <c r="AB276" s="136"/>
    </row>
    <row r="277" spans="1:28" x14ac:dyDescent="0.2">
      <c r="A277" s="136"/>
      <c r="B277" s="136"/>
      <c r="C277" s="136"/>
      <c r="D277" s="136"/>
      <c r="E277" s="136"/>
      <c r="F277" s="136"/>
      <c r="G277" s="136"/>
      <c r="H277" s="136"/>
      <c r="I277" s="136"/>
      <c r="J277" s="136"/>
      <c r="K277" s="136"/>
      <c r="L277" s="136"/>
      <c r="M277" s="136"/>
      <c r="N277" s="136"/>
      <c r="O277" s="136"/>
      <c r="P277" s="136"/>
      <c r="Q277" s="136"/>
      <c r="R277" s="136"/>
      <c r="S277" s="136"/>
      <c r="T277" s="136"/>
      <c r="U277" s="136"/>
      <c r="V277" s="136"/>
      <c r="W277" s="136"/>
      <c r="X277" s="136"/>
      <c r="Y277" s="136"/>
      <c r="Z277" s="136"/>
      <c r="AA277" s="136"/>
      <c r="AB277" s="136"/>
    </row>
    <row r="278" spans="1:28" x14ac:dyDescent="0.2">
      <c r="A278" s="136"/>
      <c r="B278" s="136"/>
      <c r="C278" s="136"/>
      <c r="D278" s="136"/>
      <c r="E278" s="136"/>
      <c r="F278" s="136"/>
      <c r="G278" s="136"/>
      <c r="H278" s="136"/>
      <c r="I278" s="136"/>
      <c r="J278" s="136"/>
      <c r="K278" s="136"/>
      <c r="L278" s="136"/>
      <c r="M278" s="136"/>
      <c r="N278" s="136"/>
      <c r="O278" s="136"/>
      <c r="P278" s="136"/>
      <c r="Q278" s="136"/>
      <c r="R278" s="136"/>
      <c r="S278" s="136"/>
      <c r="T278" s="136"/>
      <c r="U278" s="136"/>
      <c r="V278" s="136"/>
      <c r="W278" s="136"/>
      <c r="X278" s="136"/>
      <c r="Y278" s="136"/>
      <c r="Z278" s="136"/>
      <c r="AA278" s="136"/>
      <c r="AB278" s="136"/>
    </row>
    <row r="279" spans="1:28" x14ac:dyDescent="0.2">
      <c r="A279" s="136"/>
      <c r="B279" s="136"/>
      <c r="C279" s="136"/>
      <c r="D279" s="136"/>
      <c r="E279" s="136"/>
      <c r="F279" s="136"/>
      <c r="G279" s="136"/>
      <c r="H279" s="136"/>
      <c r="I279" s="136"/>
      <c r="J279" s="136"/>
      <c r="K279" s="136"/>
      <c r="L279" s="136"/>
      <c r="M279" s="136"/>
      <c r="N279" s="136"/>
      <c r="O279" s="136"/>
      <c r="P279" s="136"/>
      <c r="Q279" s="136"/>
      <c r="R279" s="136"/>
      <c r="S279" s="136"/>
      <c r="T279" s="136"/>
      <c r="U279" s="136"/>
      <c r="V279" s="136"/>
      <c r="W279" s="136"/>
      <c r="X279" s="136"/>
      <c r="Y279" s="136"/>
      <c r="Z279" s="136"/>
      <c r="AA279" s="136"/>
      <c r="AB279" s="136"/>
    </row>
    <row r="280" spans="1:28" x14ac:dyDescent="0.2">
      <c r="A280" s="136"/>
      <c r="B280" s="136"/>
      <c r="C280" s="136"/>
      <c r="D280" s="136"/>
      <c r="E280" s="136"/>
      <c r="F280" s="136"/>
      <c r="G280" s="136"/>
      <c r="H280" s="136"/>
      <c r="I280" s="136"/>
      <c r="J280" s="136"/>
      <c r="K280" s="136"/>
      <c r="L280" s="136"/>
      <c r="M280" s="136"/>
      <c r="N280" s="136"/>
      <c r="O280" s="136"/>
      <c r="P280" s="136"/>
      <c r="Q280" s="136"/>
      <c r="R280" s="136"/>
      <c r="S280" s="136"/>
      <c r="T280" s="136"/>
      <c r="U280" s="136"/>
      <c r="V280" s="136"/>
      <c r="W280" s="136"/>
      <c r="X280" s="136"/>
      <c r="Y280" s="136"/>
      <c r="Z280" s="136"/>
      <c r="AA280" s="136"/>
      <c r="AB280" s="136"/>
    </row>
    <row r="281" spans="1:28" x14ac:dyDescent="0.2">
      <c r="A281" s="136"/>
      <c r="B281" s="136"/>
      <c r="C281" s="136"/>
      <c r="D281" s="136"/>
      <c r="E281" s="136"/>
      <c r="F281" s="136"/>
      <c r="G281" s="136"/>
      <c r="H281" s="136"/>
      <c r="I281" s="136"/>
      <c r="J281" s="136"/>
      <c r="K281" s="136"/>
      <c r="L281" s="136"/>
      <c r="M281" s="136"/>
      <c r="N281" s="136"/>
      <c r="O281" s="136"/>
      <c r="P281" s="136"/>
      <c r="Q281" s="136"/>
      <c r="R281" s="136"/>
      <c r="S281" s="136"/>
      <c r="T281" s="136"/>
      <c r="U281" s="136"/>
      <c r="V281" s="136"/>
      <c r="W281" s="136"/>
      <c r="X281" s="136"/>
      <c r="Y281" s="136"/>
      <c r="Z281" s="136"/>
      <c r="AA281" s="136"/>
      <c r="AB281" s="136"/>
    </row>
    <row r="282" spans="1:28" x14ac:dyDescent="0.2">
      <c r="A282" s="136"/>
      <c r="B282" s="136"/>
      <c r="C282" s="136"/>
      <c r="D282" s="136"/>
      <c r="E282" s="136"/>
      <c r="F282" s="136"/>
      <c r="G282" s="136"/>
      <c r="H282" s="136"/>
      <c r="I282" s="136"/>
      <c r="J282" s="136"/>
      <c r="K282" s="136"/>
      <c r="L282" s="136"/>
      <c r="M282" s="136"/>
      <c r="N282" s="136"/>
      <c r="O282" s="136"/>
      <c r="P282" s="136"/>
      <c r="Q282" s="136"/>
      <c r="R282" s="136"/>
      <c r="S282" s="136"/>
      <c r="T282" s="136"/>
      <c r="U282" s="136"/>
      <c r="V282" s="136"/>
      <c r="W282" s="136"/>
      <c r="X282" s="136"/>
      <c r="Y282" s="136"/>
      <c r="Z282" s="136"/>
      <c r="AA282" s="136"/>
      <c r="AB282" s="136"/>
    </row>
    <row r="283" spans="1:28" x14ac:dyDescent="0.2">
      <c r="A283" s="136"/>
      <c r="B283" s="136"/>
      <c r="C283" s="136"/>
      <c r="D283" s="136"/>
      <c r="E283" s="136"/>
      <c r="F283" s="136"/>
      <c r="G283" s="136"/>
      <c r="H283" s="136"/>
      <c r="I283" s="136"/>
      <c r="J283" s="136"/>
      <c r="K283" s="136"/>
      <c r="L283" s="136"/>
      <c r="M283" s="136"/>
      <c r="N283" s="136"/>
      <c r="O283" s="136"/>
      <c r="P283" s="136"/>
      <c r="Q283" s="136"/>
      <c r="R283" s="136"/>
      <c r="S283" s="136"/>
      <c r="T283" s="136"/>
      <c r="U283" s="136"/>
      <c r="V283" s="136"/>
      <c r="W283" s="136"/>
      <c r="X283" s="136"/>
      <c r="Y283" s="136"/>
      <c r="Z283" s="136"/>
      <c r="AA283" s="136"/>
      <c r="AB283" s="136"/>
    </row>
    <row r="284" spans="1:28" x14ac:dyDescent="0.2">
      <c r="A284" s="136"/>
      <c r="B284" s="136"/>
      <c r="C284" s="136"/>
      <c r="D284" s="136"/>
      <c r="E284" s="136"/>
      <c r="F284" s="136"/>
      <c r="G284" s="136"/>
      <c r="H284" s="136"/>
      <c r="I284" s="136"/>
      <c r="J284" s="136"/>
      <c r="K284" s="136"/>
      <c r="L284" s="136"/>
      <c r="M284" s="136"/>
      <c r="N284" s="136"/>
      <c r="O284" s="136"/>
      <c r="P284" s="136"/>
      <c r="Q284" s="136"/>
      <c r="R284" s="136"/>
      <c r="S284" s="136"/>
      <c r="T284" s="136"/>
      <c r="U284" s="136"/>
      <c r="V284" s="136"/>
      <c r="W284" s="136"/>
      <c r="X284" s="136"/>
      <c r="Y284" s="136"/>
      <c r="Z284" s="136"/>
      <c r="AA284" s="136"/>
      <c r="AB284" s="136"/>
    </row>
    <row r="285" spans="1:28" x14ac:dyDescent="0.2">
      <c r="A285" s="136"/>
      <c r="B285" s="136"/>
      <c r="C285" s="136"/>
      <c r="D285" s="136"/>
      <c r="E285" s="136"/>
      <c r="F285" s="136"/>
      <c r="G285" s="136"/>
      <c r="H285" s="136"/>
      <c r="I285" s="136"/>
      <c r="J285" s="136"/>
      <c r="K285" s="136"/>
      <c r="L285" s="136"/>
      <c r="M285" s="136"/>
      <c r="N285" s="136"/>
      <c r="O285" s="136"/>
      <c r="P285" s="136"/>
      <c r="Q285" s="136"/>
      <c r="R285" s="136"/>
      <c r="S285" s="136"/>
      <c r="T285" s="136"/>
      <c r="U285" s="136"/>
      <c r="V285" s="136"/>
      <c r="W285" s="136"/>
      <c r="X285" s="136"/>
      <c r="Y285" s="136"/>
      <c r="Z285" s="136"/>
      <c r="AA285" s="136"/>
      <c r="AB285" s="136"/>
    </row>
    <row r="286" spans="1:28" x14ac:dyDescent="0.2">
      <c r="A286" s="136"/>
      <c r="B286" s="136"/>
      <c r="C286" s="136"/>
      <c r="D286" s="136"/>
      <c r="E286" s="136"/>
      <c r="F286" s="136"/>
      <c r="G286" s="136"/>
      <c r="H286" s="136"/>
      <c r="I286" s="136"/>
      <c r="J286" s="136"/>
      <c r="K286" s="136"/>
      <c r="L286" s="136"/>
      <c r="M286" s="136"/>
      <c r="N286" s="136"/>
      <c r="O286" s="136"/>
      <c r="P286" s="136"/>
      <c r="Q286" s="136"/>
      <c r="R286" s="136"/>
      <c r="S286" s="136"/>
      <c r="T286" s="136"/>
      <c r="U286" s="136"/>
      <c r="V286" s="136"/>
      <c r="W286" s="136"/>
      <c r="X286" s="136"/>
      <c r="Y286" s="136"/>
      <c r="Z286" s="136"/>
      <c r="AA286" s="136"/>
      <c r="AB286" s="136"/>
    </row>
    <row r="287" spans="1:28" x14ac:dyDescent="0.2">
      <c r="A287" s="136"/>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6"/>
      <c r="AA287" s="136"/>
      <c r="AB287" s="136"/>
    </row>
    <row r="288" spans="1:28" x14ac:dyDescent="0.2">
      <c r="A288" s="136"/>
      <c r="B288" s="136"/>
      <c r="C288" s="136"/>
      <c r="D288" s="136"/>
      <c r="E288" s="136"/>
      <c r="F288" s="136"/>
      <c r="G288" s="136"/>
      <c r="H288" s="136"/>
      <c r="I288" s="136"/>
      <c r="J288" s="136"/>
      <c r="K288" s="136"/>
      <c r="L288" s="136"/>
      <c r="M288" s="136"/>
      <c r="N288" s="136"/>
      <c r="O288" s="136"/>
      <c r="P288" s="136"/>
      <c r="Q288" s="136"/>
      <c r="R288" s="136"/>
      <c r="S288" s="136"/>
      <c r="T288" s="136"/>
      <c r="U288" s="136"/>
      <c r="V288" s="136"/>
      <c r="W288" s="136"/>
      <c r="X288" s="136"/>
      <c r="Y288" s="136"/>
      <c r="Z288" s="136"/>
      <c r="AA288" s="136"/>
      <c r="AB288" s="136"/>
    </row>
    <row r="289" spans="1:28" x14ac:dyDescent="0.2">
      <c r="A289" s="136"/>
      <c r="B289" s="136"/>
      <c r="C289" s="136"/>
      <c r="D289" s="136"/>
      <c r="E289" s="136"/>
      <c r="F289" s="136"/>
      <c r="G289" s="136"/>
      <c r="H289" s="136"/>
      <c r="I289" s="136"/>
      <c r="J289" s="136"/>
      <c r="K289" s="136"/>
      <c r="L289" s="136"/>
      <c r="M289" s="136"/>
      <c r="N289" s="136"/>
      <c r="O289" s="136"/>
      <c r="P289" s="136"/>
      <c r="Q289" s="136"/>
      <c r="R289" s="136"/>
      <c r="S289" s="136"/>
      <c r="T289" s="136"/>
      <c r="U289" s="136"/>
      <c r="V289" s="136"/>
      <c r="W289" s="136"/>
      <c r="X289" s="136"/>
      <c r="Y289" s="136"/>
      <c r="Z289" s="136"/>
      <c r="AA289" s="136"/>
      <c r="AB289" s="136"/>
    </row>
    <row r="290" spans="1:28" x14ac:dyDescent="0.2">
      <c r="A290" s="136"/>
      <c r="B290" s="136"/>
      <c r="C290" s="136"/>
      <c r="D290" s="136"/>
      <c r="E290" s="136"/>
      <c r="F290" s="136"/>
      <c r="G290" s="136"/>
      <c r="H290" s="136"/>
      <c r="I290" s="136"/>
      <c r="J290" s="136"/>
      <c r="K290" s="136"/>
      <c r="L290" s="136"/>
      <c r="M290" s="136"/>
      <c r="N290" s="136"/>
      <c r="O290" s="136"/>
      <c r="P290" s="136"/>
      <c r="Q290" s="136"/>
      <c r="R290" s="136"/>
      <c r="S290" s="136"/>
      <c r="T290" s="136"/>
      <c r="U290" s="136"/>
      <c r="V290" s="136"/>
      <c r="W290" s="136"/>
      <c r="X290" s="136"/>
      <c r="Y290" s="136"/>
      <c r="Z290" s="136"/>
      <c r="AA290" s="136"/>
      <c r="AB290" s="136"/>
    </row>
    <row r="291" spans="1:28" x14ac:dyDescent="0.2">
      <c r="A291" s="136"/>
      <c r="B291" s="136"/>
      <c r="C291" s="136"/>
      <c r="D291" s="136"/>
      <c r="E291" s="136"/>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36"/>
    </row>
    <row r="292" spans="1:28" x14ac:dyDescent="0.2">
      <c r="A292" s="136"/>
      <c r="B292" s="136"/>
      <c r="C292" s="136"/>
      <c r="D292" s="136"/>
      <c r="E292" s="136"/>
      <c r="F292" s="136"/>
      <c r="G292" s="136"/>
      <c r="H292" s="136"/>
      <c r="I292" s="136"/>
      <c r="J292" s="136"/>
      <c r="K292" s="136"/>
      <c r="L292" s="136"/>
      <c r="M292" s="136"/>
      <c r="N292" s="136"/>
      <c r="O292" s="136"/>
      <c r="P292" s="136"/>
      <c r="Q292" s="136"/>
      <c r="R292" s="136"/>
      <c r="S292" s="136"/>
      <c r="T292" s="136"/>
      <c r="U292" s="136"/>
      <c r="V292" s="136"/>
      <c r="W292" s="136"/>
      <c r="X292" s="136"/>
      <c r="Y292" s="136"/>
      <c r="Z292" s="136"/>
      <c r="AA292" s="136"/>
      <c r="AB292" s="136"/>
    </row>
    <row r="293" spans="1:28" x14ac:dyDescent="0.2">
      <c r="A293" s="136"/>
      <c r="B293" s="136"/>
      <c r="C293" s="136"/>
      <c r="D293" s="136"/>
      <c r="E293" s="136"/>
      <c r="F293" s="136"/>
      <c r="G293" s="136"/>
      <c r="H293" s="136"/>
      <c r="I293" s="136"/>
      <c r="J293" s="136"/>
      <c r="K293" s="136"/>
      <c r="L293" s="136"/>
      <c r="M293" s="136"/>
      <c r="N293" s="136"/>
      <c r="O293" s="136"/>
      <c r="P293" s="136"/>
      <c r="Q293" s="136"/>
      <c r="R293" s="136"/>
      <c r="S293" s="136"/>
      <c r="T293" s="136"/>
      <c r="U293" s="136"/>
      <c r="V293" s="136"/>
      <c r="W293" s="136"/>
      <c r="X293" s="136"/>
      <c r="Y293" s="136"/>
      <c r="Z293" s="136"/>
      <c r="AA293" s="136"/>
      <c r="AB293" s="136"/>
    </row>
    <row r="294" spans="1:28" x14ac:dyDescent="0.2">
      <c r="A294" s="136"/>
      <c r="B294" s="136"/>
      <c r="C294" s="136"/>
      <c r="D294" s="136"/>
      <c r="E294" s="136"/>
      <c r="F294" s="136"/>
      <c r="G294" s="136"/>
      <c r="H294" s="136"/>
      <c r="I294" s="136"/>
      <c r="J294" s="136"/>
      <c r="K294" s="136"/>
      <c r="L294" s="136"/>
      <c r="M294" s="136"/>
      <c r="N294" s="136"/>
      <c r="O294" s="136"/>
      <c r="P294" s="136"/>
      <c r="Q294" s="136"/>
      <c r="R294" s="136"/>
      <c r="S294" s="136"/>
      <c r="T294" s="136"/>
      <c r="U294" s="136"/>
      <c r="V294" s="136"/>
      <c r="W294" s="136"/>
      <c r="X294" s="136"/>
      <c r="Y294" s="136"/>
      <c r="Z294" s="136"/>
      <c r="AA294" s="136"/>
      <c r="AB294" s="136"/>
    </row>
    <row r="295" spans="1:28" x14ac:dyDescent="0.2">
      <c r="A295" s="136"/>
      <c r="B295" s="136"/>
      <c r="C295" s="136"/>
      <c r="D295" s="136"/>
      <c r="E295" s="136"/>
      <c r="F295" s="136"/>
      <c r="G295" s="136"/>
      <c r="H295" s="136"/>
      <c r="I295" s="136"/>
      <c r="J295" s="136"/>
      <c r="K295" s="136"/>
      <c r="L295" s="136"/>
      <c r="M295" s="136"/>
      <c r="N295" s="136"/>
      <c r="O295" s="136"/>
      <c r="P295" s="136"/>
      <c r="Q295" s="136"/>
      <c r="R295" s="136"/>
      <c r="S295" s="136"/>
      <c r="T295" s="136"/>
      <c r="U295" s="136"/>
      <c r="V295" s="136"/>
      <c r="W295" s="136"/>
      <c r="X295" s="136"/>
      <c r="Y295" s="136"/>
      <c r="Z295" s="136"/>
      <c r="AA295" s="136"/>
      <c r="AB295" s="136"/>
    </row>
    <row r="296" spans="1:28" x14ac:dyDescent="0.2">
      <c r="A296" s="136"/>
      <c r="B296" s="136"/>
      <c r="C296" s="136"/>
      <c r="D296" s="136"/>
      <c r="E296" s="136"/>
      <c r="F296" s="136"/>
      <c r="G296" s="136"/>
      <c r="H296" s="136"/>
      <c r="I296" s="136"/>
      <c r="J296" s="136"/>
      <c r="K296" s="136"/>
      <c r="L296" s="136"/>
      <c r="M296" s="136"/>
      <c r="N296" s="136"/>
      <c r="O296" s="136"/>
      <c r="P296" s="136"/>
      <c r="Q296" s="136"/>
      <c r="R296" s="136"/>
      <c r="S296" s="136"/>
      <c r="T296" s="136"/>
      <c r="U296" s="136"/>
      <c r="V296" s="136"/>
      <c r="W296" s="136"/>
      <c r="X296" s="136"/>
      <c r="Y296" s="136"/>
      <c r="Z296" s="136"/>
      <c r="AA296" s="136"/>
      <c r="AB296" s="136"/>
    </row>
    <row r="297" spans="1:28" x14ac:dyDescent="0.2">
      <c r="A297" s="136"/>
      <c r="B297" s="136"/>
      <c r="C297" s="136"/>
      <c r="D297" s="136"/>
      <c r="E297" s="136"/>
      <c r="F297" s="136"/>
      <c r="G297" s="136"/>
      <c r="H297" s="136"/>
      <c r="I297" s="136"/>
      <c r="J297" s="136"/>
      <c r="K297" s="136"/>
      <c r="L297" s="136"/>
      <c r="M297" s="136"/>
      <c r="N297" s="136"/>
      <c r="O297" s="136"/>
      <c r="P297" s="136"/>
      <c r="Q297" s="136"/>
      <c r="R297" s="136"/>
      <c r="S297" s="136"/>
      <c r="T297" s="136"/>
      <c r="U297" s="136"/>
      <c r="V297" s="136"/>
      <c r="W297" s="136"/>
      <c r="X297" s="136"/>
      <c r="Y297" s="136"/>
      <c r="Z297" s="136"/>
      <c r="AA297" s="136"/>
      <c r="AB297" s="136"/>
    </row>
    <row r="298" spans="1:28" x14ac:dyDescent="0.2">
      <c r="A298" s="136"/>
      <c r="B298" s="136"/>
      <c r="C298" s="136"/>
      <c r="D298" s="136"/>
      <c r="E298" s="136"/>
      <c r="F298" s="136"/>
      <c r="G298" s="136"/>
      <c r="H298" s="136"/>
      <c r="I298" s="136"/>
      <c r="J298" s="136"/>
      <c r="K298" s="136"/>
      <c r="L298" s="136"/>
      <c r="M298" s="136"/>
      <c r="N298" s="136"/>
      <c r="O298" s="136"/>
      <c r="P298" s="136"/>
      <c r="Q298" s="136"/>
      <c r="R298" s="136"/>
      <c r="S298" s="136"/>
      <c r="T298" s="136"/>
      <c r="U298" s="136"/>
      <c r="V298" s="136"/>
      <c r="W298" s="136"/>
      <c r="X298" s="136"/>
      <c r="Y298" s="136"/>
      <c r="Z298" s="136"/>
      <c r="AA298" s="136"/>
      <c r="AB298" s="136"/>
    </row>
    <row r="299" spans="1:28" x14ac:dyDescent="0.2">
      <c r="A299" s="136"/>
      <c r="B299" s="136"/>
      <c r="C299" s="136"/>
      <c r="D299" s="136"/>
      <c r="E299" s="136"/>
      <c r="F299" s="136"/>
      <c r="G299" s="136"/>
      <c r="H299" s="136"/>
      <c r="I299" s="136"/>
      <c r="J299" s="136"/>
      <c r="K299" s="136"/>
      <c r="L299" s="136"/>
      <c r="M299" s="136"/>
      <c r="N299" s="136"/>
      <c r="O299" s="136"/>
      <c r="P299" s="136"/>
      <c r="Q299" s="136"/>
      <c r="R299" s="136"/>
      <c r="S299" s="136"/>
      <c r="T299" s="136"/>
      <c r="U299" s="136"/>
      <c r="V299" s="136"/>
      <c r="W299" s="136"/>
      <c r="X299" s="136"/>
      <c r="Y299" s="136"/>
      <c r="Z299" s="136"/>
      <c r="AA299" s="136"/>
      <c r="AB299" s="136"/>
    </row>
    <row r="300" spans="1:28" x14ac:dyDescent="0.2">
      <c r="A300" s="136"/>
      <c r="B300" s="136"/>
      <c r="C300" s="136"/>
      <c r="D300" s="136"/>
      <c r="E300" s="136"/>
      <c r="F300" s="136"/>
      <c r="G300" s="136"/>
      <c r="H300" s="136"/>
      <c r="I300" s="136"/>
      <c r="J300" s="136"/>
      <c r="K300" s="136"/>
      <c r="L300" s="136"/>
      <c r="M300" s="136"/>
      <c r="N300" s="136"/>
      <c r="O300" s="136"/>
      <c r="P300" s="136"/>
      <c r="Q300" s="136"/>
      <c r="R300" s="136"/>
      <c r="S300" s="136"/>
      <c r="T300" s="136"/>
      <c r="U300" s="136"/>
      <c r="V300" s="136"/>
      <c r="W300" s="136"/>
      <c r="X300" s="136"/>
      <c r="Y300" s="136"/>
      <c r="Z300" s="136"/>
      <c r="AA300" s="136"/>
      <c r="AB300" s="136"/>
    </row>
    <row r="301" spans="1:28" x14ac:dyDescent="0.2">
      <c r="A301" s="136"/>
      <c r="B301" s="136"/>
      <c r="C301" s="136"/>
      <c r="D301" s="136"/>
      <c r="E301" s="136"/>
      <c r="F301" s="136"/>
      <c r="G301" s="136"/>
      <c r="H301" s="136"/>
      <c r="I301" s="136"/>
      <c r="J301" s="136"/>
      <c r="K301" s="136"/>
      <c r="L301" s="136"/>
      <c r="M301" s="136"/>
      <c r="N301" s="136"/>
      <c r="O301" s="136"/>
      <c r="P301" s="136"/>
      <c r="Q301" s="136"/>
      <c r="R301" s="136"/>
      <c r="S301" s="136"/>
      <c r="T301" s="136"/>
      <c r="U301" s="136"/>
      <c r="V301" s="136"/>
      <c r="W301" s="136"/>
      <c r="X301" s="136"/>
      <c r="Y301" s="136"/>
      <c r="Z301" s="136"/>
      <c r="AA301" s="136"/>
      <c r="AB301" s="136"/>
    </row>
    <row r="302" spans="1:28" x14ac:dyDescent="0.2">
      <c r="A302" s="136"/>
      <c r="B302" s="136"/>
      <c r="C302" s="136"/>
      <c r="D302" s="136"/>
      <c r="E302" s="136"/>
      <c r="F302" s="136"/>
      <c r="G302" s="136"/>
      <c r="H302" s="136"/>
      <c r="I302" s="136"/>
      <c r="J302" s="136"/>
      <c r="K302" s="136"/>
      <c r="L302" s="136"/>
      <c r="M302" s="136"/>
      <c r="N302" s="136"/>
      <c r="O302" s="136"/>
      <c r="P302" s="136"/>
      <c r="Q302" s="136"/>
      <c r="R302" s="136"/>
      <c r="S302" s="136"/>
      <c r="T302" s="136"/>
      <c r="U302" s="136"/>
      <c r="V302" s="136"/>
      <c r="W302" s="136"/>
      <c r="X302" s="136"/>
      <c r="Y302" s="136"/>
      <c r="Z302" s="136"/>
      <c r="AA302" s="136"/>
      <c r="AB302" s="136"/>
    </row>
    <row r="303" spans="1:28" x14ac:dyDescent="0.2">
      <c r="A303" s="136"/>
      <c r="B303" s="136"/>
      <c r="C303" s="136"/>
      <c r="D303" s="136"/>
      <c r="E303" s="136"/>
      <c r="F303" s="136"/>
      <c r="G303" s="136"/>
      <c r="H303" s="136"/>
      <c r="I303" s="136"/>
      <c r="J303" s="136"/>
      <c r="K303" s="136"/>
      <c r="L303" s="136"/>
      <c r="M303" s="136"/>
      <c r="N303" s="136"/>
      <c r="O303" s="136"/>
      <c r="P303" s="136"/>
      <c r="Q303" s="136"/>
      <c r="R303" s="136"/>
      <c r="S303" s="136"/>
      <c r="T303" s="136"/>
      <c r="U303" s="136"/>
      <c r="V303" s="136"/>
      <c r="W303" s="136"/>
      <c r="X303" s="136"/>
      <c r="Y303" s="136"/>
      <c r="Z303" s="136"/>
      <c r="AA303" s="136"/>
      <c r="AB303" s="136"/>
    </row>
    <row r="304" spans="1:28" x14ac:dyDescent="0.2">
      <c r="A304" s="136"/>
      <c r="B304" s="136"/>
      <c r="C304" s="136"/>
      <c r="D304" s="136"/>
      <c r="E304" s="136"/>
      <c r="F304" s="136"/>
      <c r="G304" s="136"/>
      <c r="H304" s="136"/>
      <c r="I304" s="136"/>
      <c r="J304" s="136"/>
      <c r="K304" s="136"/>
      <c r="L304" s="136"/>
      <c r="M304" s="136"/>
      <c r="N304" s="136"/>
      <c r="O304" s="136"/>
      <c r="P304" s="136"/>
      <c r="Q304" s="136"/>
      <c r="R304" s="136"/>
      <c r="S304" s="136"/>
      <c r="T304" s="136"/>
      <c r="U304" s="136"/>
      <c r="V304" s="136"/>
      <c r="W304" s="136"/>
      <c r="X304" s="136"/>
      <c r="Y304" s="136"/>
      <c r="Z304" s="136"/>
      <c r="AA304" s="136"/>
      <c r="AB304" s="136"/>
    </row>
    <row r="305" spans="1:28" x14ac:dyDescent="0.2">
      <c r="A305" s="136"/>
      <c r="B305" s="136"/>
      <c r="C305" s="136"/>
      <c r="D305" s="136"/>
      <c r="E305" s="136"/>
      <c r="F305" s="136"/>
      <c r="G305" s="136"/>
      <c r="H305" s="136"/>
      <c r="I305" s="136"/>
      <c r="J305" s="136"/>
      <c r="K305" s="136"/>
      <c r="L305" s="136"/>
      <c r="M305" s="136"/>
      <c r="N305" s="136"/>
      <c r="O305" s="136"/>
      <c r="P305" s="136"/>
      <c r="Q305" s="136"/>
      <c r="R305" s="136"/>
      <c r="S305" s="136"/>
      <c r="T305" s="136"/>
      <c r="U305" s="136"/>
      <c r="V305" s="136"/>
      <c r="W305" s="136"/>
      <c r="X305" s="136"/>
      <c r="Y305" s="136"/>
      <c r="Z305" s="136"/>
      <c r="AA305" s="136"/>
      <c r="AB305" s="136"/>
    </row>
    <row r="306" spans="1:28" x14ac:dyDescent="0.2">
      <c r="A306" s="136"/>
      <c r="B306" s="136"/>
      <c r="C306" s="136"/>
      <c r="D306" s="136"/>
      <c r="E306" s="136"/>
      <c r="F306" s="136"/>
      <c r="G306" s="136"/>
      <c r="H306" s="136"/>
      <c r="I306" s="136"/>
      <c r="J306" s="136"/>
      <c r="K306" s="136"/>
      <c r="L306" s="136"/>
      <c r="M306" s="136"/>
      <c r="N306" s="136"/>
      <c r="O306" s="136"/>
      <c r="P306" s="136"/>
      <c r="Q306" s="136"/>
      <c r="R306" s="136"/>
      <c r="S306" s="136"/>
      <c r="T306" s="136"/>
      <c r="U306" s="136"/>
      <c r="V306" s="136"/>
      <c r="W306" s="136"/>
      <c r="X306" s="136"/>
      <c r="Y306" s="136"/>
      <c r="Z306" s="136"/>
      <c r="AA306" s="136"/>
      <c r="AB306" s="136"/>
    </row>
    <row r="307" spans="1:28" x14ac:dyDescent="0.2">
      <c r="A307" s="136"/>
      <c r="B307" s="136"/>
      <c r="C307" s="136"/>
      <c r="D307" s="136"/>
      <c r="E307" s="136"/>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36"/>
    </row>
    <row r="308" spans="1:28" x14ac:dyDescent="0.2">
      <c r="A308" s="136"/>
      <c r="B308" s="136"/>
      <c r="C308" s="136"/>
      <c r="D308" s="136"/>
      <c r="E308" s="136"/>
      <c r="F308" s="136"/>
      <c r="G308" s="136"/>
      <c r="H308" s="136"/>
      <c r="I308" s="136"/>
      <c r="J308" s="136"/>
      <c r="K308" s="136"/>
      <c r="L308" s="136"/>
      <c r="M308" s="136"/>
      <c r="N308" s="136"/>
      <c r="O308" s="136"/>
      <c r="P308" s="136"/>
      <c r="Q308" s="136"/>
      <c r="R308" s="136"/>
      <c r="S308" s="136"/>
      <c r="T308" s="136"/>
      <c r="U308" s="136"/>
      <c r="V308" s="136"/>
      <c r="W308" s="136"/>
      <c r="X308" s="136"/>
      <c r="Y308" s="136"/>
      <c r="Z308" s="136"/>
      <c r="AA308" s="136"/>
      <c r="AB308" s="136"/>
    </row>
    <row r="309" spans="1:28" x14ac:dyDescent="0.2">
      <c r="A309" s="136"/>
      <c r="B309" s="136"/>
      <c r="C309" s="136"/>
      <c r="D309" s="136"/>
      <c r="E309" s="136"/>
      <c r="F309" s="136"/>
      <c r="G309" s="136"/>
      <c r="H309" s="136"/>
      <c r="I309" s="136"/>
      <c r="J309" s="136"/>
      <c r="K309" s="136"/>
      <c r="L309" s="136"/>
      <c r="M309" s="136"/>
      <c r="N309" s="136"/>
      <c r="O309" s="136"/>
      <c r="P309" s="136"/>
      <c r="Q309" s="136"/>
      <c r="R309" s="136"/>
      <c r="S309" s="136"/>
      <c r="T309" s="136"/>
      <c r="U309" s="136"/>
      <c r="V309" s="136"/>
      <c r="W309" s="136"/>
      <c r="X309" s="136"/>
      <c r="Y309" s="136"/>
      <c r="Z309" s="136"/>
      <c r="AA309" s="136"/>
      <c r="AB309" s="136"/>
    </row>
    <row r="310" spans="1:28" x14ac:dyDescent="0.2">
      <c r="A310" s="136"/>
      <c r="B310" s="136"/>
      <c r="C310" s="136"/>
      <c r="D310" s="136"/>
      <c r="E310" s="136"/>
      <c r="F310" s="136"/>
      <c r="G310" s="136"/>
      <c r="H310" s="136"/>
      <c r="I310" s="136"/>
      <c r="J310" s="136"/>
      <c r="K310" s="136"/>
      <c r="L310" s="136"/>
      <c r="M310" s="136"/>
      <c r="N310" s="136"/>
      <c r="O310" s="136"/>
      <c r="P310" s="136"/>
      <c r="Q310" s="136"/>
      <c r="R310" s="136"/>
      <c r="S310" s="136"/>
      <c r="T310" s="136"/>
      <c r="U310" s="136"/>
      <c r="V310" s="136"/>
      <c r="W310" s="136"/>
      <c r="X310" s="136"/>
      <c r="Y310" s="136"/>
      <c r="Z310" s="136"/>
      <c r="AA310" s="136"/>
      <c r="AB310" s="136"/>
    </row>
    <row r="311" spans="1:28" x14ac:dyDescent="0.2">
      <c r="A311" s="136"/>
      <c r="B311" s="136"/>
      <c r="C311" s="136"/>
      <c r="D311" s="136"/>
      <c r="E311" s="136"/>
      <c r="F311" s="136"/>
      <c r="G311" s="136"/>
      <c r="H311" s="136"/>
      <c r="I311" s="136"/>
      <c r="J311" s="136"/>
      <c r="K311" s="136"/>
      <c r="L311" s="136"/>
      <c r="M311" s="136"/>
      <c r="N311" s="136"/>
      <c r="O311" s="136"/>
      <c r="P311" s="136"/>
      <c r="Q311" s="136"/>
      <c r="R311" s="136"/>
      <c r="S311" s="136"/>
      <c r="T311" s="136"/>
      <c r="U311" s="136"/>
      <c r="V311" s="136"/>
      <c r="W311" s="136"/>
      <c r="X311" s="136"/>
      <c r="Y311" s="136"/>
      <c r="Z311" s="136"/>
      <c r="AA311" s="136"/>
      <c r="AB311" s="136"/>
    </row>
    <row r="312" spans="1:28" x14ac:dyDescent="0.2">
      <c r="A312" s="136"/>
      <c r="B312" s="136"/>
      <c r="C312" s="136"/>
      <c r="D312" s="136"/>
      <c r="E312" s="136"/>
      <c r="F312" s="136"/>
      <c r="G312" s="136"/>
      <c r="H312" s="136"/>
      <c r="I312" s="136"/>
      <c r="J312" s="136"/>
      <c r="K312" s="136"/>
      <c r="L312" s="136"/>
      <c r="M312" s="136"/>
      <c r="N312" s="136"/>
      <c r="O312" s="136"/>
      <c r="P312" s="136"/>
      <c r="Q312" s="136"/>
      <c r="R312" s="136"/>
      <c r="S312" s="136"/>
      <c r="T312" s="136"/>
      <c r="U312" s="136"/>
      <c r="V312" s="136"/>
      <c r="W312" s="136"/>
      <c r="X312" s="136"/>
      <c r="Y312" s="136"/>
      <c r="Z312" s="136"/>
      <c r="AA312" s="136"/>
      <c r="AB312" s="136"/>
    </row>
    <row r="313" spans="1:28" x14ac:dyDescent="0.2">
      <c r="A313" s="136"/>
      <c r="B313" s="136"/>
      <c r="C313" s="136"/>
      <c r="D313" s="136"/>
      <c r="E313" s="136"/>
      <c r="F313" s="136"/>
      <c r="G313" s="136"/>
      <c r="H313" s="136"/>
      <c r="I313" s="136"/>
      <c r="J313" s="136"/>
      <c r="K313" s="136"/>
      <c r="L313" s="136"/>
      <c r="M313" s="136"/>
      <c r="N313" s="136"/>
      <c r="O313" s="136"/>
      <c r="P313" s="136"/>
      <c r="Q313" s="136"/>
      <c r="R313" s="136"/>
      <c r="S313" s="136"/>
      <c r="T313" s="136"/>
      <c r="U313" s="136"/>
      <c r="V313" s="136"/>
      <c r="W313" s="136"/>
      <c r="X313" s="136"/>
      <c r="Y313" s="136"/>
      <c r="Z313" s="136"/>
      <c r="AA313" s="136"/>
      <c r="AB313" s="136"/>
    </row>
    <row r="314" spans="1:28" x14ac:dyDescent="0.2">
      <c r="A314" s="136"/>
      <c r="B314" s="136"/>
      <c r="C314" s="136"/>
      <c r="D314" s="136"/>
      <c r="E314" s="136"/>
      <c r="F314" s="136"/>
      <c r="G314" s="136"/>
      <c r="H314" s="136"/>
      <c r="I314" s="136"/>
      <c r="J314" s="136"/>
      <c r="K314" s="136"/>
      <c r="L314" s="136"/>
      <c r="M314" s="136"/>
      <c r="N314" s="136"/>
      <c r="O314" s="136"/>
      <c r="P314" s="136"/>
      <c r="Q314" s="136"/>
      <c r="R314" s="136"/>
      <c r="S314" s="136"/>
      <c r="T314" s="136"/>
      <c r="U314" s="136"/>
      <c r="V314" s="136"/>
      <c r="W314" s="136"/>
      <c r="X314" s="136"/>
      <c r="Y314" s="136"/>
      <c r="Z314" s="136"/>
      <c r="AA314" s="136"/>
      <c r="AB314" s="136"/>
    </row>
    <row r="315" spans="1:28" x14ac:dyDescent="0.2">
      <c r="A315" s="136"/>
      <c r="B315" s="136"/>
      <c r="C315" s="136"/>
      <c r="D315" s="136"/>
      <c r="E315" s="136"/>
      <c r="F315" s="136"/>
      <c r="G315" s="136"/>
      <c r="H315" s="136"/>
      <c r="I315" s="136"/>
      <c r="J315" s="136"/>
      <c r="K315" s="136"/>
      <c r="L315" s="136"/>
      <c r="M315" s="136"/>
      <c r="N315" s="136"/>
      <c r="O315" s="136"/>
      <c r="P315" s="136"/>
      <c r="Q315" s="136"/>
      <c r="R315" s="136"/>
      <c r="S315" s="136"/>
      <c r="T315" s="136"/>
      <c r="U315" s="136"/>
      <c r="V315" s="136"/>
      <c r="W315" s="136"/>
      <c r="X315" s="136"/>
      <c r="Y315" s="136"/>
      <c r="Z315" s="136"/>
      <c r="AA315" s="136"/>
      <c r="AB315" s="136"/>
    </row>
    <row r="316" spans="1:28" x14ac:dyDescent="0.2">
      <c r="A316" s="136"/>
      <c r="B316" s="136"/>
      <c r="C316" s="136"/>
      <c r="D316" s="136"/>
      <c r="E316" s="136"/>
      <c r="F316" s="136"/>
      <c r="G316" s="136"/>
      <c r="H316" s="136"/>
      <c r="I316" s="136"/>
      <c r="J316" s="136"/>
      <c r="K316" s="136"/>
      <c r="L316" s="136"/>
      <c r="M316" s="136"/>
      <c r="N316" s="136"/>
      <c r="O316" s="136"/>
      <c r="P316" s="136"/>
      <c r="Q316" s="136"/>
      <c r="R316" s="136"/>
      <c r="S316" s="136"/>
      <c r="T316" s="136"/>
      <c r="U316" s="136"/>
      <c r="V316" s="136"/>
      <c r="W316" s="136"/>
      <c r="X316" s="136"/>
      <c r="Y316" s="136"/>
      <c r="Z316" s="136"/>
      <c r="AA316" s="136"/>
      <c r="AB316" s="136"/>
    </row>
    <row r="317" spans="1:28" x14ac:dyDescent="0.2">
      <c r="A317" s="136"/>
      <c r="B317" s="136"/>
      <c r="C317" s="136"/>
      <c r="D317" s="136"/>
      <c r="E317" s="136"/>
      <c r="F317" s="136"/>
      <c r="G317" s="136"/>
      <c r="H317" s="136"/>
      <c r="I317" s="136"/>
      <c r="J317" s="136"/>
      <c r="K317" s="136"/>
      <c r="L317" s="136"/>
      <c r="M317" s="136"/>
      <c r="N317" s="136"/>
      <c r="O317" s="136"/>
      <c r="P317" s="136"/>
      <c r="Q317" s="136"/>
      <c r="R317" s="136"/>
      <c r="S317" s="136"/>
      <c r="T317" s="136"/>
      <c r="U317" s="136"/>
      <c r="V317" s="136"/>
      <c r="W317" s="136"/>
      <c r="X317" s="136"/>
      <c r="Y317" s="136"/>
      <c r="Z317" s="136"/>
      <c r="AA317" s="136"/>
      <c r="AB317" s="136"/>
    </row>
    <row r="318" spans="1:28" x14ac:dyDescent="0.2">
      <c r="A318" s="136"/>
      <c r="B318" s="136"/>
      <c r="C318" s="136"/>
      <c r="D318" s="136"/>
      <c r="E318" s="136"/>
      <c r="F318" s="136"/>
      <c r="G318" s="136"/>
      <c r="H318" s="136"/>
      <c r="I318" s="136"/>
      <c r="J318" s="136"/>
      <c r="K318" s="136"/>
      <c r="L318" s="136"/>
      <c r="M318" s="136"/>
      <c r="N318" s="136"/>
      <c r="O318" s="136"/>
      <c r="P318" s="136"/>
      <c r="Q318" s="136"/>
      <c r="R318" s="136"/>
      <c r="S318" s="136"/>
      <c r="T318" s="136"/>
      <c r="U318" s="136"/>
      <c r="V318" s="136"/>
      <c r="W318" s="136"/>
      <c r="X318" s="136"/>
      <c r="Y318" s="136"/>
      <c r="Z318" s="136"/>
      <c r="AA318" s="136"/>
      <c r="AB318" s="136"/>
    </row>
    <row r="319" spans="1:28" x14ac:dyDescent="0.2">
      <c r="A319" s="136"/>
      <c r="B319" s="136"/>
      <c r="C319" s="136"/>
      <c r="D319" s="136"/>
      <c r="E319" s="136"/>
      <c r="F319" s="136"/>
      <c r="G319" s="136"/>
      <c r="H319" s="136"/>
      <c r="I319" s="136"/>
      <c r="J319" s="136"/>
      <c r="K319" s="136"/>
      <c r="L319" s="136"/>
      <c r="M319" s="136"/>
      <c r="N319" s="136"/>
      <c r="O319" s="136"/>
      <c r="P319" s="136"/>
      <c r="Q319" s="136"/>
      <c r="R319" s="136"/>
      <c r="S319" s="136"/>
      <c r="T319" s="136"/>
      <c r="U319" s="136"/>
      <c r="V319" s="136"/>
      <c r="W319" s="136"/>
      <c r="X319" s="136"/>
      <c r="Y319" s="136"/>
      <c r="Z319" s="136"/>
      <c r="AA319" s="136"/>
      <c r="AB319" s="136"/>
    </row>
    <row r="320" spans="1:28" x14ac:dyDescent="0.2">
      <c r="A320" s="136"/>
      <c r="B320" s="136"/>
      <c r="C320" s="136"/>
      <c r="D320" s="136"/>
      <c r="E320" s="136"/>
      <c r="F320" s="136"/>
      <c r="G320" s="136"/>
      <c r="H320" s="136"/>
      <c r="I320" s="136"/>
      <c r="J320" s="136"/>
      <c r="K320" s="136"/>
      <c r="L320" s="136"/>
      <c r="M320" s="136"/>
      <c r="N320" s="136"/>
      <c r="O320" s="136"/>
      <c r="P320" s="136"/>
      <c r="Q320" s="136"/>
      <c r="R320" s="136"/>
      <c r="S320" s="136"/>
      <c r="T320" s="136"/>
      <c r="U320" s="136"/>
      <c r="V320" s="136"/>
      <c r="W320" s="136"/>
      <c r="X320" s="136"/>
      <c r="Y320" s="136"/>
      <c r="Z320" s="136"/>
      <c r="AA320" s="136"/>
      <c r="AB320" s="136"/>
    </row>
    <row r="321" spans="1:28" x14ac:dyDescent="0.2">
      <c r="A321" s="136"/>
      <c r="B321" s="136"/>
      <c r="C321" s="136"/>
      <c r="D321" s="136"/>
      <c r="E321" s="136"/>
      <c r="F321" s="136"/>
      <c r="G321" s="136"/>
      <c r="H321" s="136"/>
      <c r="I321" s="136"/>
      <c r="J321" s="136"/>
      <c r="K321" s="136"/>
      <c r="L321" s="136"/>
      <c r="M321" s="136"/>
      <c r="N321" s="136"/>
      <c r="O321" s="136"/>
      <c r="P321" s="136"/>
      <c r="Q321" s="136"/>
      <c r="R321" s="136"/>
      <c r="S321" s="136"/>
      <c r="T321" s="136"/>
      <c r="U321" s="136"/>
      <c r="V321" s="136"/>
      <c r="W321" s="136"/>
      <c r="X321" s="136"/>
      <c r="Y321" s="136"/>
      <c r="Z321" s="136"/>
      <c r="AA321" s="136"/>
      <c r="AB321" s="136"/>
    </row>
    <row r="322" spans="1:28" x14ac:dyDescent="0.2">
      <c r="A322" s="136"/>
      <c r="B322" s="136"/>
      <c r="C322" s="136"/>
      <c r="D322" s="136"/>
      <c r="E322" s="136"/>
      <c r="F322" s="136"/>
      <c r="G322" s="136"/>
      <c r="H322" s="136"/>
      <c r="I322" s="136"/>
      <c r="J322" s="136"/>
      <c r="K322" s="136"/>
      <c r="L322" s="136"/>
      <c r="M322" s="136"/>
      <c r="N322" s="136"/>
      <c r="O322" s="136"/>
      <c r="P322" s="136"/>
      <c r="Q322" s="136"/>
      <c r="R322" s="136"/>
      <c r="S322" s="136"/>
      <c r="T322" s="136"/>
      <c r="U322" s="136"/>
      <c r="V322" s="136"/>
      <c r="W322" s="136"/>
      <c r="X322" s="136"/>
      <c r="Y322" s="136"/>
      <c r="Z322" s="136"/>
      <c r="AA322" s="136"/>
      <c r="AB322" s="136"/>
    </row>
    <row r="323" spans="1:28" x14ac:dyDescent="0.2">
      <c r="A323" s="136"/>
      <c r="B323" s="136"/>
      <c r="C323" s="136"/>
      <c r="D323" s="136"/>
      <c r="E323" s="136"/>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36"/>
    </row>
    <row r="324" spans="1:28" x14ac:dyDescent="0.2">
      <c r="A324" s="136"/>
      <c r="B324" s="136"/>
      <c r="C324" s="136"/>
      <c r="D324" s="136"/>
      <c r="E324" s="136"/>
      <c r="F324" s="136"/>
      <c r="G324" s="136"/>
      <c r="H324" s="136"/>
      <c r="I324" s="136"/>
      <c r="J324" s="136"/>
      <c r="K324" s="136"/>
      <c r="L324" s="136"/>
      <c r="M324" s="136"/>
      <c r="N324" s="136"/>
      <c r="O324" s="136"/>
      <c r="P324" s="136"/>
      <c r="Q324" s="136"/>
      <c r="R324" s="136"/>
      <c r="S324" s="136"/>
      <c r="T324" s="136"/>
      <c r="U324" s="136"/>
      <c r="V324" s="136"/>
      <c r="W324" s="136"/>
      <c r="X324" s="136"/>
      <c r="Y324" s="136"/>
      <c r="Z324" s="136"/>
      <c r="AA324" s="136"/>
      <c r="AB324" s="136"/>
    </row>
    <row r="325" spans="1:28" x14ac:dyDescent="0.2">
      <c r="A325" s="136"/>
      <c r="B325" s="136"/>
      <c r="C325" s="136"/>
      <c r="D325" s="136"/>
      <c r="E325" s="136"/>
      <c r="F325" s="136"/>
      <c r="G325" s="136"/>
      <c r="H325" s="136"/>
      <c r="I325" s="136"/>
      <c r="J325" s="136"/>
      <c r="K325" s="136"/>
      <c r="L325" s="136"/>
      <c r="M325" s="136"/>
      <c r="N325" s="136"/>
      <c r="O325" s="136"/>
      <c r="P325" s="136"/>
      <c r="Q325" s="136"/>
      <c r="R325" s="136"/>
      <c r="S325" s="136"/>
      <c r="T325" s="136"/>
      <c r="U325" s="136"/>
      <c r="V325" s="136"/>
      <c r="W325" s="136"/>
      <c r="X325" s="136"/>
      <c r="Y325" s="136"/>
      <c r="Z325" s="136"/>
      <c r="AA325" s="136"/>
      <c r="AB325" s="136"/>
    </row>
    <row r="326" spans="1:28" x14ac:dyDescent="0.2">
      <c r="A326" s="136"/>
      <c r="B326" s="136"/>
      <c r="C326" s="136"/>
      <c r="D326" s="136"/>
      <c r="E326" s="136"/>
      <c r="F326" s="136"/>
      <c r="G326" s="136"/>
      <c r="H326" s="136"/>
      <c r="I326" s="136"/>
      <c r="J326" s="136"/>
      <c r="K326" s="136"/>
      <c r="L326" s="136"/>
      <c r="M326" s="136"/>
      <c r="N326" s="136"/>
      <c r="O326" s="136"/>
      <c r="P326" s="136"/>
      <c r="Q326" s="136"/>
      <c r="R326" s="136"/>
      <c r="S326" s="136"/>
      <c r="T326" s="136"/>
      <c r="U326" s="136"/>
      <c r="V326" s="136"/>
      <c r="W326" s="136"/>
      <c r="X326" s="136"/>
      <c r="Y326" s="136"/>
      <c r="Z326" s="136"/>
      <c r="AA326" s="136"/>
      <c r="AB326" s="136"/>
    </row>
    <row r="327" spans="1:28" x14ac:dyDescent="0.2">
      <c r="A327" s="136"/>
      <c r="B327" s="136"/>
      <c r="C327" s="136"/>
      <c r="D327" s="136"/>
      <c r="E327" s="136"/>
      <c r="F327" s="136"/>
      <c r="G327" s="136"/>
      <c r="H327" s="136"/>
      <c r="I327" s="136"/>
      <c r="J327" s="136"/>
      <c r="K327" s="136"/>
      <c r="L327" s="136"/>
      <c r="M327" s="136"/>
      <c r="N327" s="136"/>
      <c r="O327" s="136"/>
      <c r="P327" s="136"/>
      <c r="Q327" s="136"/>
      <c r="R327" s="136"/>
      <c r="S327" s="136"/>
      <c r="T327" s="136"/>
      <c r="U327" s="136"/>
      <c r="V327" s="136"/>
      <c r="W327" s="136"/>
      <c r="X327" s="136"/>
      <c r="Y327" s="136"/>
      <c r="Z327" s="136"/>
      <c r="AA327" s="136"/>
      <c r="AB327" s="136"/>
    </row>
    <row r="328" spans="1:28" x14ac:dyDescent="0.2">
      <c r="A328" s="136"/>
      <c r="B328" s="136"/>
      <c r="C328" s="136"/>
      <c r="D328" s="136"/>
      <c r="E328" s="136"/>
      <c r="F328" s="136"/>
      <c r="G328" s="136"/>
      <c r="H328" s="136"/>
      <c r="I328" s="136"/>
      <c r="J328" s="136"/>
      <c r="K328" s="136"/>
      <c r="L328" s="136"/>
      <c r="M328" s="136"/>
      <c r="N328" s="136"/>
      <c r="O328" s="136"/>
      <c r="P328" s="136"/>
      <c r="Q328" s="136"/>
      <c r="R328" s="136"/>
      <c r="S328" s="136"/>
      <c r="T328" s="136"/>
      <c r="U328" s="136"/>
      <c r="V328" s="136"/>
      <c r="W328" s="136"/>
      <c r="X328" s="136"/>
      <c r="Y328" s="136"/>
      <c r="Z328" s="136"/>
      <c r="AA328" s="136"/>
      <c r="AB328" s="136"/>
    </row>
    <row r="329" spans="1:28" x14ac:dyDescent="0.2">
      <c r="A329" s="136"/>
      <c r="B329" s="136"/>
      <c r="C329" s="136"/>
      <c r="D329" s="136"/>
      <c r="E329" s="136"/>
      <c r="F329" s="136"/>
      <c r="G329" s="136"/>
      <c r="H329" s="136"/>
      <c r="I329" s="136"/>
      <c r="J329" s="136"/>
      <c r="K329" s="136"/>
      <c r="L329" s="136"/>
      <c r="M329" s="136"/>
      <c r="N329" s="136"/>
      <c r="O329" s="136"/>
      <c r="P329" s="136"/>
      <c r="Q329" s="136"/>
      <c r="R329" s="136"/>
      <c r="S329" s="136"/>
      <c r="T329" s="136"/>
      <c r="U329" s="136"/>
      <c r="V329" s="136"/>
      <c r="W329" s="136"/>
      <c r="X329" s="136"/>
      <c r="Y329" s="136"/>
      <c r="Z329" s="136"/>
      <c r="AA329" s="136"/>
      <c r="AB329" s="136"/>
    </row>
    <row r="330" spans="1:28" x14ac:dyDescent="0.2">
      <c r="A330" s="136"/>
      <c r="B330" s="136"/>
      <c r="C330" s="136"/>
      <c r="D330" s="136"/>
      <c r="E330" s="136"/>
      <c r="F330" s="136"/>
      <c r="G330" s="136"/>
      <c r="H330" s="136"/>
      <c r="I330" s="136"/>
      <c r="J330" s="136"/>
      <c r="K330" s="136"/>
      <c r="L330" s="136"/>
      <c r="M330" s="136"/>
      <c r="N330" s="136"/>
      <c r="O330" s="136"/>
      <c r="P330" s="136"/>
      <c r="Q330" s="136"/>
      <c r="R330" s="136"/>
      <c r="S330" s="136"/>
      <c r="T330" s="136"/>
      <c r="U330" s="136"/>
      <c r="V330" s="136"/>
      <c r="W330" s="136"/>
      <c r="X330" s="136"/>
      <c r="Y330" s="136"/>
      <c r="Z330" s="136"/>
      <c r="AA330" s="136"/>
      <c r="AB330" s="136"/>
    </row>
    <row r="331" spans="1:28" x14ac:dyDescent="0.2">
      <c r="A331" s="136"/>
      <c r="B331" s="136"/>
      <c r="C331" s="136"/>
      <c r="D331" s="136"/>
      <c r="E331" s="136"/>
      <c r="F331" s="136"/>
      <c r="G331" s="136"/>
      <c r="H331" s="136"/>
      <c r="I331" s="136"/>
      <c r="J331" s="136"/>
      <c r="K331" s="136"/>
      <c r="L331" s="136"/>
      <c r="M331" s="136"/>
      <c r="N331" s="136"/>
      <c r="O331" s="136"/>
      <c r="P331" s="136"/>
      <c r="Q331" s="136"/>
      <c r="R331" s="136"/>
      <c r="S331" s="136"/>
      <c r="T331" s="136"/>
      <c r="U331" s="136"/>
      <c r="V331" s="136"/>
      <c r="W331" s="136"/>
      <c r="X331" s="136"/>
      <c r="Y331" s="136"/>
      <c r="Z331" s="136"/>
      <c r="AA331" s="136"/>
      <c r="AB331" s="136"/>
    </row>
    <row r="332" spans="1:28" x14ac:dyDescent="0.2">
      <c r="A332" s="136"/>
      <c r="B332" s="136"/>
      <c r="C332" s="136"/>
      <c r="D332" s="136"/>
      <c r="E332" s="136"/>
      <c r="F332" s="136"/>
      <c r="G332" s="136"/>
      <c r="H332" s="136"/>
      <c r="I332" s="136"/>
      <c r="J332" s="136"/>
      <c r="K332" s="136"/>
      <c r="L332" s="136"/>
      <c r="M332" s="136"/>
      <c r="N332" s="136"/>
      <c r="O332" s="136"/>
      <c r="P332" s="136"/>
      <c r="Q332" s="136"/>
      <c r="R332" s="136"/>
      <c r="S332" s="136"/>
      <c r="T332" s="136"/>
      <c r="U332" s="136"/>
      <c r="V332" s="136"/>
      <c r="W332" s="136"/>
      <c r="X332" s="136"/>
      <c r="Y332" s="136"/>
      <c r="Z332" s="136"/>
      <c r="AA332" s="136"/>
      <c r="AB332" s="136"/>
    </row>
    <row r="333" spans="1:28" x14ac:dyDescent="0.2">
      <c r="A333" s="136"/>
      <c r="B333" s="136"/>
      <c r="C333" s="136"/>
      <c r="D333" s="136"/>
      <c r="E333" s="136"/>
      <c r="F333" s="136"/>
      <c r="G333" s="136"/>
      <c r="H333" s="136"/>
      <c r="I333" s="136"/>
      <c r="J333" s="136"/>
      <c r="K333" s="136"/>
      <c r="L333" s="136"/>
      <c r="M333" s="136"/>
      <c r="N333" s="136"/>
      <c r="O333" s="136"/>
      <c r="P333" s="136"/>
      <c r="Q333" s="136"/>
      <c r="R333" s="136"/>
      <c r="S333" s="136"/>
      <c r="T333" s="136"/>
      <c r="U333" s="136"/>
      <c r="V333" s="136"/>
      <c r="W333" s="136"/>
      <c r="X333" s="136"/>
      <c r="Y333" s="136"/>
      <c r="Z333" s="136"/>
      <c r="AA333" s="136"/>
      <c r="AB333" s="136"/>
    </row>
    <row r="334" spans="1:28" x14ac:dyDescent="0.2">
      <c r="A334" s="136"/>
      <c r="B334" s="136"/>
      <c r="C334" s="136"/>
      <c r="D334" s="136"/>
      <c r="E334" s="136"/>
      <c r="F334" s="136"/>
      <c r="G334" s="136"/>
      <c r="H334" s="136"/>
      <c r="I334" s="136"/>
      <c r="J334" s="136"/>
      <c r="K334" s="136"/>
      <c r="L334" s="136"/>
      <c r="M334" s="136"/>
      <c r="N334" s="136"/>
      <c r="O334" s="136"/>
      <c r="P334" s="136"/>
      <c r="Q334" s="136"/>
      <c r="R334" s="136"/>
      <c r="S334" s="136"/>
      <c r="T334" s="136"/>
      <c r="U334" s="136"/>
      <c r="V334" s="136"/>
      <c r="W334" s="136"/>
      <c r="X334" s="136"/>
      <c r="Y334" s="136"/>
      <c r="Z334" s="136"/>
      <c r="AA334" s="136"/>
      <c r="AB334" s="136"/>
    </row>
    <row r="335" spans="1:28" x14ac:dyDescent="0.2">
      <c r="A335" s="136"/>
      <c r="B335" s="136"/>
      <c r="C335" s="136"/>
      <c r="D335" s="136"/>
      <c r="E335" s="136"/>
      <c r="F335" s="136"/>
      <c r="G335" s="136"/>
      <c r="H335" s="136"/>
      <c r="I335" s="136"/>
      <c r="J335" s="136"/>
      <c r="K335" s="136"/>
      <c r="L335" s="136"/>
      <c r="M335" s="136"/>
      <c r="N335" s="136"/>
      <c r="O335" s="136"/>
      <c r="P335" s="136"/>
      <c r="Q335" s="136"/>
      <c r="R335" s="136"/>
      <c r="S335" s="136"/>
      <c r="T335" s="136"/>
      <c r="U335" s="136"/>
      <c r="V335" s="136"/>
      <c r="W335" s="136"/>
      <c r="X335" s="136"/>
      <c r="Y335" s="136"/>
      <c r="Z335" s="136"/>
      <c r="AA335" s="136"/>
      <c r="AB335" s="136"/>
    </row>
    <row r="336" spans="1:28" x14ac:dyDescent="0.2">
      <c r="A336" s="136"/>
      <c r="B336" s="136"/>
      <c r="C336" s="136"/>
      <c r="D336" s="136"/>
      <c r="E336" s="136"/>
      <c r="F336" s="136"/>
      <c r="G336" s="136"/>
      <c r="H336" s="136"/>
      <c r="I336" s="136"/>
      <c r="J336" s="136"/>
      <c r="K336" s="136"/>
      <c r="L336" s="136"/>
      <c r="M336" s="136"/>
      <c r="N336" s="136"/>
      <c r="O336" s="136"/>
      <c r="P336" s="136"/>
      <c r="Q336" s="136"/>
      <c r="R336" s="136"/>
      <c r="S336" s="136"/>
      <c r="T336" s="136"/>
      <c r="U336" s="136"/>
      <c r="V336" s="136"/>
      <c r="W336" s="136"/>
      <c r="X336" s="136"/>
      <c r="Y336" s="136"/>
      <c r="Z336" s="136"/>
      <c r="AA336" s="136"/>
      <c r="AB336" s="136"/>
    </row>
    <row r="337" spans="1:28" x14ac:dyDescent="0.2">
      <c r="A337" s="136"/>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row>
    <row r="338" spans="1:28" x14ac:dyDescent="0.2">
      <c r="A338" s="136"/>
      <c r="B338" s="136"/>
      <c r="C338" s="136"/>
      <c r="D338" s="136"/>
      <c r="E338" s="136"/>
      <c r="F338" s="136"/>
      <c r="G338" s="136"/>
      <c r="H338" s="136"/>
      <c r="I338" s="136"/>
      <c r="J338" s="136"/>
      <c r="K338" s="136"/>
      <c r="L338" s="136"/>
      <c r="M338" s="136"/>
      <c r="N338" s="136"/>
      <c r="O338" s="136"/>
      <c r="P338" s="136"/>
      <c r="Q338" s="136"/>
      <c r="R338" s="136"/>
      <c r="S338" s="136"/>
      <c r="T338" s="136"/>
      <c r="U338" s="136"/>
      <c r="V338" s="136"/>
      <c r="W338" s="136"/>
      <c r="X338" s="136"/>
      <c r="Y338" s="136"/>
      <c r="Z338" s="136"/>
      <c r="AA338" s="136"/>
      <c r="AB338" s="136"/>
    </row>
    <row r="339" spans="1:28" x14ac:dyDescent="0.2">
      <c r="A339" s="136"/>
      <c r="B339" s="136"/>
      <c r="C339" s="136"/>
      <c r="D339" s="136"/>
      <c r="E339" s="136"/>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36"/>
    </row>
    <row r="340" spans="1:28" x14ac:dyDescent="0.2">
      <c r="A340" s="136"/>
      <c r="B340" s="136"/>
      <c r="C340" s="136"/>
      <c r="D340" s="136"/>
      <c r="E340" s="136"/>
      <c r="F340" s="136"/>
      <c r="G340" s="136"/>
      <c r="H340" s="136"/>
      <c r="I340" s="136"/>
      <c r="J340" s="136"/>
      <c r="K340" s="136"/>
      <c r="L340" s="136"/>
      <c r="M340" s="136"/>
      <c r="N340" s="136"/>
      <c r="O340" s="136"/>
      <c r="P340" s="136"/>
      <c r="Q340" s="136"/>
      <c r="R340" s="136"/>
      <c r="S340" s="136"/>
      <c r="T340" s="136"/>
      <c r="U340" s="136"/>
      <c r="V340" s="136"/>
      <c r="W340" s="136"/>
      <c r="X340" s="136"/>
      <c r="Y340" s="136"/>
      <c r="Z340" s="136"/>
      <c r="AA340" s="136"/>
      <c r="AB340" s="136"/>
    </row>
    <row r="341" spans="1:28" x14ac:dyDescent="0.2">
      <c r="A341" s="136"/>
      <c r="B341" s="136"/>
      <c r="C341" s="136"/>
      <c r="D341" s="136"/>
      <c r="E341" s="136"/>
      <c r="F341" s="136"/>
      <c r="G341" s="136"/>
      <c r="H341" s="136"/>
      <c r="I341" s="136"/>
      <c r="J341" s="136"/>
      <c r="K341" s="136"/>
      <c r="L341" s="136"/>
      <c r="M341" s="136"/>
      <c r="N341" s="136"/>
      <c r="O341" s="136"/>
      <c r="P341" s="136"/>
      <c r="Q341" s="136"/>
      <c r="R341" s="136"/>
      <c r="S341" s="136"/>
      <c r="T341" s="136"/>
      <c r="U341" s="136"/>
      <c r="V341" s="136"/>
      <c r="W341" s="136"/>
      <c r="X341" s="136"/>
      <c r="Y341" s="136"/>
      <c r="Z341" s="136"/>
      <c r="AA341" s="136"/>
      <c r="AB341" s="136"/>
    </row>
    <row r="342" spans="1:28" x14ac:dyDescent="0.2">
      <c r="A342" s="136"/>
      <c r="B342" s="136"/>
      <c r="C342" s="136"/>
      <c r="D342" s="136"/>
      <c r="E342" s="136"/>
      <c r="F342" s="136"/>
      <c r="G342" s="136"/>
      <c r="H342" s="136"/>
      <c r="I342" s="136"/>
      <c r="J342" s="136"/>
      <c r="K342" s="136"/>
      <c r="L342" s="136"/>
      <c r="M342" s="136"/>
      <c r="N342" s="136"/>
      <c r="O342" s="136"/>
      <c r="P342" s="136"/>
      <c r="Q342" s="136"/>
      <c r="R342" s="136"/>
      <c r="S342" s="136"/>
      <c r="T342" s="136"/>
      <c r="U342" s="136"/>
      <c r="V342" s="136"/>
      <c r="W342" s="136"/>
      <c r="X342" s="136"/>
      <c r="Y342" s="136"/>
      <c r="Z342" s="136"/>
      <c r="AA342" s="136"/>
      <c r="AB342" s="136"/>
    </row>
    <row r="343" spans="1:28" x14ac:dyDescent="0.2">
      <c r="A343" s="136"/>
      <c r="B343" s="136"/>
      <c r="C343" s="136"/>
      <c r="D343" s="136"/>
      <c r="E343" s="136"/>
      <c r="F343" s="136"/>
      <c r="G343" s="136"/>
      <c r="H343" s="136"/>
      <c r="I343" s="136"/>
      <c r="J343" s="136"/>
      <c r="K343" s="136"/>
      <c r="L343" s="136"/>
      <c r="M343" s="136"/>
      <c r="N343" s="136"/>
      <c r="O343" s="136"/>
      <c r="P343" s="136"/>
      <c r="Q343" s="136"/>
      <c r="R343" s="136"/>
      <c r="S343" s="136"/>
      <c r="T343" s="136"/>
      <c r="U343" s="136"/>
      <c r="V343" s="136"/>
      <c r="W343" s="136"/>
      <c r="X343" s="136"/>
      <c r="Y343" s="136"/>
      <c r="Z343" s="136"/>
      <c r="AA343" s="136"/>
      <c r="AB343" s="136"/>
    </row>
    <row r="344" spans="1:28" x14ac:dyDescent="0.2">
      <c r="A344" s="136"/>
      <c r="B344" s="136"/>
      <c r="C344" s="136"/>
      <c r="D344" s="136"/>
      <c r="E344" s="136"/>
      <c r="F344" s="136"/>
      <c r="G344" s="136"/>
      <c r="H344" s="136"/>
      <c r="I344" s="136"/>
      <c r="J344" s="136"/>
      <c r="K344" s="136"/>
      <c r="L344" s="136"/>
      <c r="M344" s="136"/>
      <c r="N344" s="136"/>
      <c r="O344" s="136"/>
      <c r="P344" s="136"/>
      <c r="Q344" s="136"/>
      <c r="R344" s="136"/>
      <c r="S344" s="136"/>
      <c r="T344" s="136"/>
      <c r="U344" s="136"/>
      <c r="V344" s="136"/>
      <c r="W344" s="136"/>
      <c r="X344" s="136"/>
      <c r="Y344" s="136"/>
      <c r="Z344" s="136"/>
      <c r="AA344" s="136"/>
      <c r="AB344" s="136"/>
    </row>
    <row r="345" spans="1:28" x14ac:dyDescent="0.2">
      <c r="A345" s="136"/>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row>
    <row r="346" spans="1:28" x14ac:dyDescent="0.2">
      <c r="A346" s="136"/>
      <c r="B346" s="136"/>
      <c r="C346" s="136"/>
      <c r="D346" s="136"/>
      <c r="E346" s="136"/>
      <c r="F346" s="136"/>
      <c r="G346" s="136"/>
      <c r="H346" s="136"/>
      <c r="I346" s="136"/>
      <c r="J346" s="136"/>
      <c r="K346" s="136"/>
      <c r="L346" s="136"/>
      <c r="M346" s="136"/>
      <c r="N346" s="136"/>
      <c r="O346" s="136"/>
      <c r="P346" s="136"/>
      <c r="Q346" s="136"/>
      <c r="R346" s="136"/>
      <c r="S346" s="136"/>
      <c r="T346" s="136"/>
      <c r="U346" s="136"/>
      <c r="V346" s="136"/>
      <c r="W346" s="136"/>
      <c r="X346" s="136"/>
      <c r="Y346" s="136"/>
      <c r="Z346" s="136"/>
      <c r="AA346" s="136"/>
      <c r="AB346" s="136"/>
    </row>
    <row r="347" spans="1:28" x14ac:dyDescent="0.2">
      <c r="A347" s="136"/>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row>
    <row r="348" spans="1:28" x14ac:dyDescent="0.2">
      <c r="A348" s="136"/>
      <c r="B348" s="136"/>
      <c r="C348" s="136"/>
      <c r="D348" s="136"/>
      <c r="E348" s="136"/>
      <c r="F348" s="136"/>
      <c r="G348" s="136"/>
      <c r="H348" s="136"/>
      <c r="I348" s="136"/>
      <c r="J348" s="136"/>
      <c r="K348" s="136"/>
      <c r="L348" s="136"/>
      <c r="M348" s="136"/>
      <c r="N348" s="136"/>
      <c r="O348" s="136"/>
      <c r="P348" s="136"/>
      <c r="Q348" s="136"/>
      <c r="R348" s="136"/>
      <c r="S348" s="136"/>
      <c r="T348" s="136"/>
      <c r="U348" s="136"/>
      <c r="V348" s="136"/>
      <c r="W348" s="136"/>
      <c r="X348" s="136"/>
      <c r="Y348" s="136"/>
      <c r="Z348" s="136"/>
      <c r="AA348" s="136"/>
      <c r="AB348" s="136"/>
    </row>
    <row r="349" spans="1:28" x14ac:dyDescent="0.2">
      <c r="A349" s="136"/>
      <c r="B349" s="136"/>
      <c r="C349" s="136"/>
      <c r="D349" s="136"/>
      <c r="E349" s="136"/>
      <c r="F349" s="136"/>
      <c r="G349" s="136"/>
      <c r="H349" s="136"/>
      <c r="I349" s="136"/>
      <c r="J349" s="136"/>
      <c r="K349" s="136"/>
      <c r="L349" s="136"/>
      <c r="M349" s="136"/>
      <c r="N349" s="136"/>
      <c r="O349" s="136"/>
      <c r="P349" s="136"/>
      <c r="Q349" s="136"/>
      <c r="R349" s="136"/>
      <c r="S349" s="136"/>
      <c r="T349" s="136"/>
      <c r="U349" s="136"/>
      <c r="V349" s="136"/>
      <c r="W349" s="136"/>
      <c r="X349" s="136"/>
      <c r="Y349" s="136"/>
      <c r="Z349" s="136"/>
      <c r="AA349" s="136"/>
      <c r="AB349" s="136"/>
    </row>
    <row r="350" spans="1:28" x14ac:dyDescent="0.2">
      <c r="A350" s="136"/>
      <c r="B350" s="136"/>
      <c r="C350" s="136"/>
      <c r="D350" s="136"/>
      <c r="E350" s="136"/>
      <c r="F350" s="136"/>
      <c r="G350" s="136"/>
      <c r="H350" s="136"/>
      <c r="I350" s="136"/>
      <c r="J350" s="136"/>
      <c r="K350" s="136"/>
      <c r="L350" s="136"/>
      <c r="M350" s="136"/>
      <c r="N350" s="136"/>
      <c r="O350" s="136"/>
      <c r="P350" s="136"/>
      <c r="Q350" s="136"/>
      <c r="R350" s="136"/>
      <c r="S350" s="136"/>
      <c r="T350" s="136"/>
      <c r="U350" s="136"/>
      <c r="V350" s="136"/>
      <c r="W350" s="136"/>
      <c r="X350" s="136"/>
      <c r="Y350" s="136"/>
      <c r="Z350" s="136"/>
      <c r="AA350" s="136"/>
      <c r="AB350" s="136"/>
    </row>
    <row r="351" spans="1:28" x14ac:dyDescent="0.2">
      <c r="A351" s="136"/>
      <c r="B351" s="136"/>
      <c r="C351" s="136"/>
      <c r="D351" s="136"/>
      <c r="E351" s="136"/>
      <c r="F351" s="136"/>
      <c r="G351" s="136"/>
      <c r="H351" s="136"/>
      <c r="I351" s="136"/>
      <c r="J351" s="136"/>
      <c r="K351" s="136"/>
      <c r="L351" s="136"/>
      <c r="M351" s="136"/>
      <c r="N351" s="136"/>
      <c r="O351" s="136"/>
      <c r="P351" s="136"/>
      <c r="Q351" s="136"/>
      <c r="R351" s="136"/>
      <c r="S351" s="136"/>
      <c r="T351" s="136"/>
      <c r="U351" s="136"/>
      <c r="V351" s="136"/>
      <c r="W351" s="136"/>
      <c r="X351" s="136"/>
      <c r="Y351" s="136"/>
      <c r="Z351" s="136"/>
      <c r="AA351" s="136"/>
      <c r="AB351" s="136"/>
    </row>
    <row r="352" spans="1:28" x14ac:dyDescent="0.2">
      <c r="A352" s="136"/>
      <c r="B352" s="136"/>
      <c r="C352" s="136"/>
      <c r="D352" s="136"/>
      <c r="E352" s="136"/>
      <c r="F352" s="136"/>
      <c r="G352" s="136"/>
      <c r="H352" s="136"/>
      <c r="I352" s="136"/>
      <c r="J352" s="136"/>
      <c r="K352" s="136"/>
      <c r="L352" s="136"/>
      <c r="M352" s="136"/>
      <c r="N352" s="136"/>
      <c r="O352" s="136"/>
      <c r="P352" s="136"/>
      <c r="Q352" s="136"/>
      <c r="R352" s="136"/>
      <c r="S352" s="136"/>
      <c r="T352" s="136"/>
      <c r="U352" s="136"/>
      <c r="V352" s="136"/>
      <c r="W352" s="136"/>
      <c r="X352" s="136"/>
      <c r="Y352" s="136"/>
      <c r="Z352" s="136"/>
      <c r="AA352" s="136"/>
      <c r="AB352" s="136"/>
    </row>
    <row r="353" spans="1:28" x14ac:dyDescent="0.2">
      <c r="A353" s="136"/>
      <c r="B353" s="136"/>
      <c r="C353" s="136"/>
      <c r="D353" s="136"/>
      <c r="E353" s="136"/>
      <c r="F353" s="136"/>
      <c r="G353" s="136"/>
      <c r="H353" s="136"/>
      <c r="I353" s="136"/>
      <c r="J353" s="136"/>
      <c r="K353" s="136"/>
      <c r="L353" s="136"/>
      <c r="M353" s="136"/>
      <c r="N353" s="136"/>
      <c r="O353" s="136"/>
      <c r="P353" s="136"/>
      <c r="Q353" s="136"/>
      <c r="R353" s="136"/>
      <c r="S353" s="136"/>
      <c r="T353" s="136"/>
      <c r="U353" s="136"/>
      <c r="V353" s="136"/>
      <c r="W353" s="136"/>
      <c r="X353" s="136"/>
      <c r="Y353" s="136"/>
      <c r="Z353" s="136"/>
      <c r="AA353" s="136"/>
      <c r="AB353" s="136"/>
    </row>
    <row r="354" spans="1:28" x14ac:dyDescent="0.2">
      <c r="A354" s="136"/>
      <c r="B354" s="136"/>
      <c r="C354" s="136"/>
      <c r="D354" s="136"/>
      <c r="E354" s="136"/>
      <c r="F354" s="136"/>
      <c r="G354" s="136"/>
      <c r="H354" s="136"/>
      <c r="I354" s="136"/>
      <c r="J354" s="136"/>
      <c r="K354" s="136"/>
      <c r="L354" s="136"/>
      <c r="M354" s="136"/>
      <c r="N354" s="136"/>
      <c r="O354" s="136"/>
      <c r="P354" s="136"/>
      <c r="Q354" s="136"/>
      <c r="R354" s="136"/>
      <c r="S354" s="136"/>
      <c r="T354" s="136"/>
      <c r="U354" s="136"/>
      <c r="V354" s="136"/>
      <c r="W354" s="136"/>
      <c r="X354" s="136"/>
      <c r="Y354" s="136"/>
      <c r="Z354" s="136"/>
      <c r="AA354" s="136"/>
      <c r="AB354" s="136"/>
    </row>
    <row r="355" spans="1:28" x14ac:dyDescent="0.2">
      <c r="A355" s="136"/>
      <c r="B355" s="136"/>
      <c r="C355" s="136"/>
      <c r="D355" s="136"/>
      <c r="E355" s="136"/>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36"/>
    </row>
    <row r="356" spans="1:28" x14ac:dyDescent="0.2">
      <c r="A356" s="136"/>
      <c r="B356" s="136"/>
      <c r="C356" s="136"/>
      <c r="D356" s="136"/>
      <c r="E356" s="136"/>
      <c r="F356" s="136"/>
      <c r="G356" s="136"/>
      <c r="H356" s="136"/>
      <c r="I356" s="136"/>
      <c r="J356" s="136"/>
      <c r="K356" s="136"/>
      <c r="L356" s="136"/>
      <c r="M356" s="136"/>
      <c r="N356" s="136"/>
      <c r="O356" s="136"/>
      <c r="P356" s="136"/>
      <c r="Q356" s="136"/>
      <c r="R356" s="136"/>
      <c r="S356" s="136"/>
      <c r="T356" s="136"/>
      <c r="U356" s="136"/>
      <c r="V356" s="136"/>
      <c r="W356" s="136"/>
      <c r="X356" s="136"/>
      <c r="Y356" s="136"/>
      <c r="Z356" s="136"/>
      <c r="AA356" s="136"/>
      <c r="AB356" s="136"/>
    </row>
    <row r="357" spans="1:28" x14ac:dyDescent="0.2">
      <c r="A357" s="136"/>
      <c r="B357" s="136"/>
      <c r="C357" s="136"/>
      <c r="D357" s="136"/>
      <c r="E357" s="136"/>
      <c r="F357" s="136"/>
      <c r="G357" s="136"/>
      <c r="H357" s="136"/>
      <c r="I357" s="136"/>
      <c r="J357" s="136"/>
      <c r="K357" s="136"/>
      <c r="L357" s="136"/>
      <c r="M357" s="136"/>
      <c r="N357" s="136"/>
      <c r="O357" s="136"/>
      <c r="P357" s="136"/>
      <c r="Q357" s="136"/>
      <c r="R357" s="136"/>
      <c r="S357" s="136"/>
      <c r="T357" s="136"/>
      <c r="U357" s="136"/>
      <c r="V357" s="136"/>
      <c r="W357" s="136"/>
      <c r="X357" s="136"/>
      <c r="Y357" s="136"/>
      <c r="Z357" s="136"/>
      <c r="AA357" s="136"/>
      <c r="AB357" s="136"/>
    </row>
    <row r="358" spans="1:28" x14ac:dyDescent="0.2">
      <c r="A358" s="136"/>
      <c r="B358" s="136"/>
      <c r="C358" s="136"/>
      <c r="D358" s="136"/>
      <c r="E358" s="136"/>
      <c r="F358" s="136"/>
      <c r="G358" s="136"/>
      <c r="H358" s="136"/>
      <c r="I358" s="136"/>
      <c r="J358" s="136"/>
      <c r="K358" s="136"/>
      <c r="L358" s="136"/>
      <c r="M358" s="136"/>
      <c r="N358" s="136"/>
      <c r="O358" s="136"/>
      <c r="P358" s="136"/>
      <c r="Q358" s="136"/>
      <c r="R358" s="136"/>
      <c r="S358" s="136"/>
      <c r="T358" s="136"/>
      <c r="U358" s="136"/>
      <c r="V358" s="136"/>
      <c r="W358" s="136"/>
      <c r="X358" s="136"/>
      <c r="Y358" s="136"/>
      <c r="Z358" s="136"/>
      <c r="AA358" s="136"/>
      <c r="AB358" s="136"/>
    </row>
    <row r="359" spans="1:28" x14ac:dyDescent="0.2">
      <c r="A359" s="136"/>
      <c r="B359" s="136"/>
      <c r="C359" s="136"/>
      <c r="D359" s="136"/>
      <c r="E359" s="136"/>
      <c r="F359" s="136"/>
      <c r="G359" s="136"/>
      <c r="H359" s="136"/>
      <c r="I359" s="136"/>
      <c r="J359" s="136"/>
      <c r="K359" s="136"/>
      <c r="L359" s="136"/>
      <c r="M359" s="136"/>
      <c r="N359" s="136"/>
      <c r="O359" s="136"/>
      <c r="P359" s="136"/>
      <c r="Q359" s="136"/>
      <c r="R359" s="136"/>
      <c r="S359" s="136"/>
      <c r="T359" s="136"/>
      <c r="U359" s="136"/>
      <c r="V359" s="136"/>
      <c r="W359" s="136"/>
      <c r="X359" s="136"/>
      <c r="Y359" s="136"/>
      <c r="Z359" s="136"/>
      <c r="AA359" s="136"/>
      <c r="AB359" s="136"/>
    </row>
    <row r="360" spans="1:28" x14ac:dyDescent="0.2">
      <c r="A360" s="136"/>
      <c r="B360" s="136"/>
      <c r="C360" s="136"/>
      <c r="D360" s="136"/>
      <c r="E360" s="136"/>
      <c r="F360" s="136"/>
      <c r="G360" s="136"/>
      <c r="H360" s="136"/>
      <c r="I360" s="136"/>
      <c r="J360" s="136"/>
      <c r="K360" s="136"/>
      <c r="L360" s="136"/>
      <c r="M360" s="136"/>
      <c r="N360" s="136"/>
      <c r="O360" s="136"/>
      <c r="P360" s="136"/>
      <c r="Q360" s="136"/>
      <c r="R360" s="136"/>
      <c r="S360" s="136"/>
      <c r="T360" s="136"/>
      <c r="U360" s="136"/>
      <c r="V360" s="136"/>
      <c r="W360" s="136"/>
      <c r="X360" s="136"/>
      <c r="Y360" s="136"/>
      <c r="Z360" s="136"/>
      <c r="AA360" s="136"/>
      <c r="AB360" s="136"/>
    </row>
    <row r="361" spans="1:28" x14ac:dyDescent="0.2">
      <c r="A361" s="136"/>
      <c r="B361" s="136"/>
      <c r="C361" s="136"/>
      <c r="D361" s="136"/>
      <c r="E361" s="136"/>
      <c r="F361" s="136"/>
      <c r="G361" s="136"/>
      <c r="H361" s="136"/>
      <c r="I361" s="136"/>
      <c r="J361" s="136"/>
      <c r="K361" s="136"/>
      <c r="L361" s="136"/>
      <c r="M361" s="136"/>
      <c r="N361" s="136"/>
      <c r="O361" s="136"/>
      <c r="P361" s="136"/>
      <c r="Q361" s="136"/>
      <c r="R361" s="136"/>
      <c r="S361" s="136"/>
      <c r="T361" s="136"/>
      <c r="U361" s="136"/>
      <c r="V361" s="136"/>
      <c r="W361" s="136"/>
      <c r="X361" s="136"/>
      <c r="Y361" s="136"/>
      <c r="Z361" s="136"/>
      <c r="AA361" s="136"/>
      <c r="AB361" s="136"/>
    </row>
    <row r="362" spans="1:28" x14ac:dyDescent="0.2">
      <c r="A362" s="136"/>
      <c r="B362" s="136"/>
      <c r="C362" s="136"/>
      <c r="D362" s="136"/>
      <c r="E362" s="136"/>
      <c r="F362" s="136"/>
      <c r="G362" s="136"/>
      <c r="H362" s="136"/>
      <c r="I362" s="136"/>
      <c r="J362" s="136"/>
      <c r="K362" s="136"/>
      <c r="L362" s="136"/>
      <c r="M362" s="136"/>
      <c r="N362" s="136"/>
      <c r="O362" s="136"/>
      <c r="P362" s="136"/>
      <c r="Q362" s="136"/>
      <c r="R362" s="136"/>
      <c r="S362" s="136"/>
      <c r="T362" s="136"/>
      <c r="U362" s="136"/>
      <c r="V362" s="136"/>
      <c r="W362" s="136"/>
      <c r="X362" s="136"/>
      <c r="Y362" s="136"/>
      <c r="Z362" s="136"/>
      <c r="AA362" s="136"/>
      <c r="AB362" s="136"/>
    </row>
    <row r="363" spans="1:28" x14ac:dyDescent="0.2">
      <c r="A363" s="136"/>
      <c r="B363" s="136"/>
      <c r="C363" s="136"/>
      <c r="D363" s="136"/>
      <c r="E363" s="136"/>
      <c r="F363" s="136"/>
      <c r="G363" s="136"/>
      <c r="H363" s="136"/>
      <c r="I363" s="136"/>
      <c r="J363" s="136"/>
      <c r="K363" s="136"/>
      <c r="L363" s="136"/>
      <c r="M363" s="136"/>
      <c r="N363" s="136"/>
      <c r="O363" s="136"/>
      <c r="P363" s="136"/>
      <c r="Q363" s="136"/>
      <c r="R363" s="136"/>
      <c r="S363" s="136"/>
      <c r="T363" s="136"/>
      <c r="U363" s="136"/>
      <c r="V363" s="136"/>
      <c r="W363" s="136"/>
      <c r="X363" s="136"/>
      <c r="Y363" s="136"/>
      <c r="Z363" s="136"/>
      <c r="AA363" s="136"/>
      <c r="AB363" s="136"/>
    </row>
    <row r="364" spans="1:28" x14ac:dyDescent="0.2">
      <c r="A364" s="136"/>
      <c r="B364" s="136"/>
      <c r="C364" s="136"/>
      <c r="D364" s="136"/>
      <c r="E364" s="136"/>
      <c r="F364" s="136"/>
      <c r="G364" s="136"/>
      <c r="H364" s="136"/>
      <c r="I364" s="136"/>
      <c r="J364" s="136"/>
      <c r="K364" s="136"/>
      <c r="L364" s="136"/>
      <c r="M364" s="136"/>
      <c r="N364" s="136"/>
      <c r="O364" s="136"/>
      <c r="P364" s="136"/>
      <c r="Q364" s="136"/>
      <c r="R364" s="136"/>
      <c r="S364" s="136"/>
      <c r="T364" s="136"/>
      <c r="U364" s="136"/>
      <c r="V364" s="136"/>
      <c r="W364" s="136"/>
      <c r="X364" s="136"/>
      <c r="Y364" s="136"/>
      <c r="Z364" s="136"/>
      <c r="AA364" s="136"/>
      <c r="AB364" s="136"/>
    </row>
    <row r="365" spans="1:28" x14ac:dyDescent="0.2">
      <c r="A365" s="136"/>
      <c r="B365" s="136"/>
      <c r="C365" s="136"/>
      <c r="D365" s="136"/>
      <c r="E365" s="136"/>
      <c r="F365" s="136"/>
      <c r="G365" s="136"/>
      <c r="H365" s="136"/>
      <c r="I365" s="136"/>
      <c r="J365" s="136"/>
      <c r="K365" s="136"/>
      <c r="L365" s="136"/>
      <c r="M365" s="136"/>
      <c r="N365" s="136"/>
      <c r="O365" s="136"/>
      <c r="P365" s="136"/>
      <c r="Q365" s="136"/>
      <c r="R365" s="136"/>
      <c r="S365" s="136"/>
      <c r="T365" s="136"/>
      <c r="U365" s="136"/>
      <c r="V365" s="136"/>
      <c r="W365" s="136"/>
      <c r="X365" s="136"/>
      <c r="Y365" s="136"/>
      <c r="Z365" s="136"/>
      <c r="AA365" s="136"/>
      <c r="AB365" s="136"/>
    </row>
    <row r="366" spans="1:28" x14ac:dyDescent="0.2">
      <c r="A366" s="136"/>
      <c r="B366" s="136"/>
      <c r="C366" s="136"/>
      <c r="D366" s="136"/>
      <c r="E366" s="136"/>
      <c r="F366" s="136"/>
      <c r="G366" s="136"/>
      <c r="H366" s="136"/>
      <c r="I366" s="136"/>
      <c r="J366" s="136"/>
      <c r="K366" s="136"/>
      <c r="L366" s="136"/>
      <c r="M366" s="136"/>
      <c r="N366" s="136"/>
      <c r="O366" s="136"/>
      <c r="P366" s="136"/>
      <c r="Q366" s="136"/>
      <c r="R366" s="136"/>
      <c r="S366" s="136"/>
      <c r="T366" s="136"/>
      <c r="U366" s="136"/>
      <c r="V366" s="136"/>
      <c r="W366" s="136"/>
      <c r="X366" s="136"/>
      <c r="Y366" s="136"/>
      <c r="Z366" s="136"/>
      <c r="AA366" s="136"/>
      <c r="AB366" s="136"/>
    </row>
    <row r="367" spans="1:28" x14ac:dyDescent="0.2">
      <c r="A367" s="136"/>
      <c r="B367" s="136"/>
      <c r="C367" s="136"/>
      <c r="D367" s="136"/>
      <c r="E367" s="136"/>
      <c r="F367" s="136"/>
      <c r="G367" s="136"/>
      <c r="H367" s="136"/>
      <c r="I367" s="136"/>
      <c r="J367" s="136"/>
      <c r="K367" s="136"/>
      <c r="L367" s="136"/>
      <c r="M367" s="136"/>
      <c r="N367" s="136"/>
      <c r="O367" s="136"/>
      <c r="P367" s="136"/>
      <c r="Q367" s="136"/>
      <c r="R367" s="136"/>
      <c r="S367" s="136"/>
      <c r="T367" s="136"/>
      <c r="U367" s="136"/>
      <c r="V367" s="136"/>
      <c r="W367" s="136"/>
      <c r="X367" s="136"/>
      <c r="Y367" s="136"/>
      <c r="Z367" s="136"/>
      <c r="AA367" s="136"/>
      <c r="AB367" s="136"/>
    </row>
    <row r="368" spans="1:28" x14ac:dyDescent="0.2">
      <c r="A368" s="136"/>
      <c r="B368" s="136"/>
      <c r="C368" s="136"/>
      <c r="D368" s="136"/>
      <c r="E368" s="136"/>
      <c r="F368" s="136"/>
      <c r="G368" s="136"/>
      <c r="H368" s="136"/>
      <c r="I368" s="136"/>
      <c r="J368" s="136"/>
      <c r="K368" s="136"/>
      <c r="L368" s="136"/>
      <c r="M368" s="136"/>
      <c r="N368" s="136"/>
      <c r="O368" s="136"/>
      <c r="P368" s="136"/>
      <c r="Q368" s="136"/>
      <c r="R368" s="136"/>
      <c r="S368" s="136"/>
      <c r="T368" s="136"/>
      <c r="U368" s="136"/>
      <c r="V368" s="136"/>
      <c r="W368" s="136"/>
      <c r="X368" s="136"/>
      <c r="Y368" s="136"/>
      <c r="Z368" s="136"/>
      <c r="AA368" s="136"/>
      <c r="AB368" s="136"/>
    </row>
    <row r="369" spans="1:28" x14ac:dyDescent="0.2">
      <c r="A369" s="136"/>
      <c r="B369" s="136"/>
      <c r="C369" s="136"/>
      <c r="D369" s="136"/>
      <c r="E369" s="136"/>
      <c r="F369" s="136"/>
      <c r="G369" s="136"/>
      <c r="H369" s="136"/>
      <c r="I369" s="136"/>
      <c r="J369" s="136"/>
      <c r="K369" s="136"/>
      <c r="L369" s="136"/>
      <c r="M369" s="136"/>
      <c r="N369" s="136"/>
      <c r="O369" s="136"/>
      <c r="P369" s="136"/>
      <c r="Q369" s="136"/>
      <c r="R369" s="136"/>
      <c r="S369" s="136"/>
      <c r="T369" s="136"/>
      <c r="U369" s="136"/>
      <c r="V369" s="136"/>
      <c r="W369" s="136"/>
      <c r="X369" s="136"/>
      <c r="Y369" s="136"/>
      <c r="Z369" s="136"/>
      <c r="AA369" s="136"/>
      <c r="AB369" s="136"/>
    </row>
    <row r="370" spans="1:28" x14ac:dyDescent="0.2">
      <c r="A370" s="136"/>
      <c r="B370" s="136"/>
      <c r="C370" s="136"/>
      <c r="D370" s="136"/>
      <c r="E370" s="136"/>
      <c r="F370" s="136"/>
      <c r="G370" s="136"/>
      <c r="H370" s="136"/>
      <c r="I370" s="136"/>
      <c r="J370" s="136"/>
      <c r="K370" s="136"/>
      <c r="L370" s="136"/>
      <c r="M370" s="136"/>
      <c r="N370" s="136"/>
      <c r="O370" s="136"/>
      <c r="P370" s="136"/>
      <c r="Q370" s="136"/>
      <c r="R370" s="136"/>
      <c r="S370" s="136"/>
      <c r="T370" s="136"/>
      <c r="U370" s="136"/>
      <c r="V370" s="136"/>
      <c r="W370" s="136"/>
      <c r="X370" s="136"/>
      <c r="Y370" s="136"/>
      <c r="Z370" s="136"/>
      <c r="AA370" s="136"/>
      <c r="AB370" s="136"/>
    </row>
    <row r="371" spans="1:28" x14ac:dyDescent="0.2">
      <c r="A371" s="136"/>
      <c r="B371" s="136"/>
      <c r="C371" s="136"/>
      <c r="D371" s="136"/>
      <c r="E371" s="136"/>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36"/>
    </row>
    <row r="372" spans="1:28" x14ac:dyDescent="0.2">
      <c r="A372" s="136"/>
      <c r="B372" s="136"/>
      <c r="C372" s="136"/>
      <c r="D372" s="136"/>
      <c r="E372" s="136"/>
      <c r="F372" s="136"/>
      <c r="G372" s="136"/>
      <c r="H372" s="136"/>
      <c r="I372" s="136"/>
      <c r="J372" s="136"/>
      <c r="K372" s="136"/>
      <c r="L372" s="136"/>
      <c r="M372" s="136"/>
      <c r="N372" s="136"/>
      <c r="O372" s="136"/>
      <c r="P372" s="136"/>
      <c r="Q372" s="136"/>
      <c r="R372" s="136"/>
      <c r="S372" s="136"/>
      <c r="T372" s="136"/>
      <c r="U372" s="136"/>
      <c r="V372" s="136"/>
      <c r="W372" s="136"/>
      <c r="X372" s="136"/>
      <c r="Y372" s="136"/>
      <c r="Z372" s="136"/>
      <c r="AA372" s="136"/>
      <c r="AB372" s="136"/>
    </row>
    <row r="373" spans="1:28" x14ac:dyDescent="0.2">
      <c r="A373" s="136"/>
      <c r="B373" s="136"/>
      <c r="C373" s="136"/>
      <c r="D373" s="136"/>
      <c r="E373" s="136"/>
      <c r="F373" s="136"/>
      <c r="G373" s="136"/>
      <c r="H373" s="136"/>
      <c r="I373" s="136"/>
      <c r="J373" s="136"/>
      <c r="K373" s="136"/>
      <c r="L373" s="136"/>
      <c r="M373" s="136"/>
      <c r="N373" s="136"/>
      <c r="O373" s="136"/>
      <c r="P373" s="136"/>
      <c r="Q373" s="136"/>
      <c r="R373" s="136"/>
      <c r="S373" s="136"/>
      <c r="T373" s="136"/>
      <c r="U373" s="136"/>
      <c r="V373" s="136"/>
      <c r="W373" s="136"/>
      <c r="X373" s="136"/>
      <c r="Y373" s="136"/>
      <c r="Z373" s="136"/>
      <c r="AA373" s="136"/>
      <c r="AB373" s="136"/>
    </row>
    <row r="374" spans="1:28" x14ac:dyDescent="0.2">
      <c r="A374" s="136"/>
      <c r="B374" s="136"/>
      <c r="C374" s="136"/>
      <c r="D374" s="136"/>
      <c r="E374" s="136"/>
      <c r="F374" s="136"/>
      <c r="G374" s="136"/>
      <c r="H374" s="136"/>
      <c r="I374" s="136"/>
      <c r="J374" s="136"/>
      <c r="K374" s="136"/>
      <c r="L374" s="136"/>
      <c r="M374" s="136"/>
      <c r="N374" s="136"/>
      <c r="O374" s="136"/>
      <c r="P374" s="136"/>
      <c r="Q374" s="136"/>
      <c r="R374" s="136"/>
      <c r="S374" s="136"/>
      <c r="T374" s="136"/>
      <c r="U374" s="136"/>
      <c r="V374" s="136"/>
      <c r="W374" s="136"/>
      <c r="X374" s="136"/>
      <c r="Y374" s="136"/>
      <c r="Z374" s="136"/>
      <c r="AA374" s="136"/>
      <c r="AB374" s="136"/>
    </row>
    <row r="375" spans="1:28" x14ac:dyDescent="0.2">
      <c r="A375" s="136"/>
      <c r="B375" s="136"/>
      <c r="C375" s="136"/>
      <c r="D375" s="136"/>
      <c r="E375" s="136"/>
      <c r="F375" s="136"/>
      <c r="G375" s="136"/>
      <c r="H375" s="136"/>
      <c r="I375" s="136"/>
      <c r="J375" s="136"/>
      <c r="K375" s="136"/>
      <c r="L375" s="136"/>
      <c r="M375" s="136"/>
      <c r="N375" s="136"/>
      <c r="O375" s="136"/>
      <c r="P375" s="136"/>
      <c r="Q375" s="136"/>
      <c r="R375" s="136"/>
      <c r="S375" s="136"/>
      <c r="T375" s="136"/>
      <c r="U375" s="136"/>
      <c r="V375" s="136"/>
      <c r="W375" s="136"/>
      <c r="X375" s="136"/>
      <c r="Y375" s="136"/>
      <c r="Z375" s="136"/>
      <c r="AA375" s="136"/>
      <c r="AB375" s="136"/>
    </row>
    <row r="376" spans="1:28" x14ac:dyDescent="0.2">
      <c r="A376" s="136"/>
      <c r="B376" s="136"/>
      <c r="C376" s="136"/>
      <c r="D376" s="136"/>
      <c r="E376" s="136"/>
      <c r="F376" s="136"/>
      <c r="G376" s="136"/>
      <c r="H376" s="136"/>
      <c r="I376" s="136"/>
      <c r="J376" s="136"/>
      <c r="K376" s="136"/>
      <c r="L376" s="136"/>
      <c r="M376" s="136"/>
      <c r="N376" s="136"/>
      <c r="O376" s="136"/>
      <c r="P376" s="136"/>
      <c r="Q376" s="136"/>
      <c r="R376" s="136"/>
      <c r="S376" s="136"/>
      <c r="T376" s="136"/>
      <c r="U376" s="136"/>
      <c r="V376" s="136"/>
      <c r="W376" s="136"/>
      <c r="X376" s="136"/>
      <c r="Y376" s="136"/>
      <c r="Z376" s="136"/>
      <c r="AA376" s="136"/>
      <c r="AB376" s="136"/>
    </row>
    <row r="377" spans="1:28" x14ac:dyDescent="0.2">
      <c r="A377" s="136"/>
      <c r="B377" s="136"/>
      <c r="C377" s="136"/>
      <c r="D377" s="136"/>
      <c r="E377" s="136"/>
      <c r="F377" s="136"/>
      <c r="G377" s="136"/>
      <c r="H377" s="136"/>
      <c r="I377" s="136"/>
      <c r="J377" s="136"/>
      <c r="K377" s="136"/>
      <c r="L377" s="136"/>
      <c r="M377" s="136"/>
      <c r="N377" s="136"/>
      <c r="O377" s="136"/>
      <c r="P377" s="136"/>
      <c r="Q377" s="136"/>
      <c r="R377" s="136"/>
      <c r="S377" s="136"/>
      <c r="T377" s="136"/>
      <c r="U377" s="136"/>
      <c r="V377" s="136"/>
      <c r="W377" s="136"/>
      <c r="X377" s="136"/>
      <c r="Y377" s="136"/>
      <c r="Z377" s="136"/>
      <c r="AA377" s="136"/>
      <c r="AB377" s="136"/>
    </row>
    <row r="378" spans="1:28" x14ac:dyDescent="0.2">
      <c r="A378" s="136"/>
      <c r="B378" s="136"/>
      <c r="C378" s="136"/>
      <c r="D378" s="136"/>
      <c r="E378" s="136"/>
      <c r="F378" s="136"/>
      <c r="G378" s="136"/>
      <c r="H378" s="136"/>
      <c r="I378" s="136"/>
      <c r="J378" s="136"/>
      <c r="K378" s="136"/>
      <c r="L378" s="136"/>
      <c r="M378" s="136"/>
      <c r="N378" s="136"/>
      <c r="O378" s="136"/>
      <c r="P378" s="136"/>
      <c r="Q378" s="136"/>
      <c r="R378" s="136"/>
      <c r="S378" s="136"/>
      <c r="T378" s="136"/>
      <c r="U378" s="136"/>
      <c r="V378" s="136"/>
      <c r="W378" s="136"/>
      <c r="X378" s="136"/>
      <c r="Y378" s="136"/>
      <c r="Z378" s="136"/>
      <c r="AA378" s="136"/>
      <c r="AB378" s="136"/>
    </row>
    <row r="379" spans="1:28" x14ac:dyDescent="0.2">
      <c r="A379" s="136"/>
      <c r="B379" s="136"/>
      <c r="C379" s="136"/>
      <c r="D379" s="136"/>
      <c r="E379" s="136"/>
      <c r="F379" s="136"/>
      <c r="G379" s="136"/>
      <c r="H379" s="136"/>
      <c r="I379" s="136"/>
      <c r="J379" s="136"/>
      <c r="K379" s="136"/>
      <c r="L379" s="136"/>
      <c r="M379" s="136"/>
      <c r="N379" s="136"/>
      <c r="O379" s="136"/>
      <c r="P379" s="136"/>
      <c r="Q379" s="136"/>
      <c r="R379" s="136"/>
      <c r="S379" s="136"/>
      <c r="T379" s="136"/>
      <c r="U379" s="136"/>
      <c r="V379" s="136"/>
      <c r="W379" s="136"/>
      <c r="X379" s="136"/>
      <c r="Y379" s="136"/>
      <c r="Z379" s="136"/>
      <c r="AA379" s="136"/>
      <c r="AB379" s="136"/>
    </row>
    <row r="380" spans="1:28" x14ac:dyDescent="0.2">
      <c r="A380" s="136"/>
      <c r="B380" s="136"/>
      <c r="C380" s="136"/>
      <c r="D380" s="136"/>
      <c r="E380" s="136"/>
      <c r="F380" s="136"/>
      <c r="G380" s="136"/>
      <c r="H380" s="136"/>
      <c r="I380" s="136"/>
      <c r="J380" s="136"/>
      <c r="K380" s="136"/>
      <c r="L380" s="136"/>
      <c r="M380" s="136"/>
      <c r="N380" s="136"/>
      <c r="O380" s="136"/>
      <c r="P380" s="136"/>
      <c r="Q380" s="136"/>
      <c r="R380" s="136"/>
      <c r="S380" s="136"/>
      <c r="T380" s="136"/>
      <c r="U380" s="136"/>
      <c r="V380" s="136"/>
      <c r="W380" s="136"/>
      <c r="X380" s="136"/>
      <c r="Y380" s="136"/>
      <c r="Z380" s="136"/>
      <c r="AA380" s="136"/>
      <c r="AB380" s="136"/>
    </row>
    <row r="381" spans="1:28" x14ac:dyDescent="0.2">
      <c r="A381" s="136"/>
      <c r="B381" s="136"/>
      <c r="C381" s="136"/>
      <c r="D381" s="136"/>
      <c r="E381" s="136"/>
      <c r="F381" s="136"/>
      <c r="G381" s="136"/>
      <c r="H381" s="136"/>
      <c r="I381" s="136"/>
      <c r="J381" s="136"/>
      <c r="K381" s="136"/>
      <c r="L381" s="136"/>
      <c r="M381" s="136"/>
      <c r="N381" s="136"/>
      <c r="O381" s="136"/>
      <c r="P381" s="136"/>
      <c r="Q381" s="136"/>
      <c r="R381" s="136"/>
      <c r="S381" s="136"/>
      <c r="T381" s="136"/>
      <c r="U381" s="136"/>
      <c r="V381" s="136"/>
      <c r="W381" s="136"/>
      <c r="X381" s="136"/>
      <c r="Y381" s="136"/>
      <c r="Z381" s="136"/>
      <c r="AA381" s="136"/>
      <c r="AB381" s="136"/>
    </row>
    <row r="382" spans="1:28" x14ac:dyDescent="0.2">
      <c r="A382" s="136"/>
      <c r="B382" s="136"/>
      <c r="C382" s="136"/>
      <c r="D382" s="136"/>
      <c r="E382" s="136"/>
      <c r="F382" s="136"/>
      <c r="G382" s="136"/>
      <c r="H382" s="136"/>
      <c r="I382" s="136"/>
      <c r="J382" s="136"/>
      <c r="K382" s="136"/>
      <c r="L382" s="136"/>
      <c r="M382" s="136"/>
      <c r="N382" s="136"/>
      <c r="O382" s="136"/>
      <c r="P382" s="136"/>
      <c r="Q382" s="136"/>
      <c r="R382" s="136"/>
      <c r="S382" s="136"/>
      <c r="T382" s="136"/>
      <c r="U382" s="136"/>
      <c r="V382" s="136"/>
      <c r="W382" s="136"/>
      <c r="X382" s="136"/>
      <c r="Y382" s="136"/>
      <c r="Z382" s="136"/>
      <c r="AA382" s="136"/>
      <c r="AB382" s="136"/>
    </row>
    <row r="383" spans="1:28" x14ac:dyDescent="0.2">
      <c r="A383" s="136"/>
      <c r="B383" s="136"/>
      <c r="C383" s="136"/>
      <c r="D383" s="136"/>
      <c r="E383" s="136"/>
      <c r="F383" s="136"/>
      <c r="G383" s="136"/>
      <c r="H383" s="136"/>
      <c r="I383" s="136"/>
      <c r="J383" s="136"/>
      <c r="K383" s="136"/>
      <c r="L383" s="136"/>
      <c r="M383" s="136"/>
      <c r="N383" s="136"/>
      <c r="O383" s="136"/>
      <c r="P383" s="136"/>
      <c r="Q383" s="136"/>
      <c r="R383" s="136"/>
      <c r="S383" s="136"/>
      <c r="T383" s="136"/>
      <c r="U383" s="136"/>
      <c r="V383" s="136"/>
      <c r="W383" s="136"/>
      <c r="X383" s="136"/>
      <c r="Y383" s="136"/>
      <c r="Z383" s="136"/>
      <c r="AA383" s="136"/>
      <c r="AB383" s="136"/>
    </row>
    <row r="384" spans="1:28" x14ac:dyDescent="0.2">
      <c r="A384" s="136"/>
      <c r="B384" s="136"/>
      <c r="C384" s="136"/>
      <c r="D384" s="136"/>
      <c r="E384" s="136"/>
      <c r="F384" s="136"/>
      <c r="G384" s="136"/>
      <c r="H384" s="136"/>
      <c r="I384" s="136"/>
      <c r="J384" s="136"/>
      <c r="K384" s="136"/>
      <c r="L384" s="136"/>
      <c r="M384" s="136"/>
      <c r="N384" s="136"/>
      <c r="O384" s="136"/>
      <c r="P384" s="136"/>
      <c r="Q384" s="136"/>
      <c r="R384" s="136"/>
      <c r="S384" s="136"/>
      <c r="T384" s="136"/>
      <c r="U384" s="136"/>
      <c r="V384" s="136"/>
      <c r="W384" s="136"/>
      <c r="X384" s="136"/>
      <c r="Y384" s="136"/>
      <c r="Z384" s="136"/>
      <c r="AA384" s="136"/>
      <c r="AB384" s="136"/>
    </row>
    <row r="385" spans="1:28" x14ac:dyDescent="0.2">
      <c r="A385" s="136"/>
      <c r="B385" s="136"/>
      <c r="C385" s="136"/>
      <c r="D385" s="136"/>
      <c r="E385" s="136"/>
      <c r="F385" s="136"/>
      <c r="G385" s="136"/>
      <c r="H385" s="136"/>
      <c r="I385" s="136"/>
      <c r="J385" s="136"/>
      <c r="K385" s="136"/>
      <c r="L385" s="136"/>
      <c r="M385" s="136"/>
      <c r="N385" s="136"/>
      <c r="O385" s="136"/>
      <c r="P385" s="136"/>
      <c r="Q385" s="136"/>
      <c r="R385" s="136"/>
      <c r="S385" s="136"/>
      <c r="T385" s="136"/>
      <c r="U385" s="136"/>
      <c r="V385" s="136"/>
      <c r="W385" s="136"/>
      <c r="X385" s="136"/>
      <c r="Y385" s="136"/>
      <c r="Z385" s="136"/>
      <c r="AA385" s="136"/>
      <c r="AB385" s="136"/>
    </row>
    <row r="386" spans="1:28" x14ac:dyDescent="0.2">
      <c r="A386" s="136"/>
      <c r="B386" s="136"/>
      <c r="C386" s="136"/>
      <c r="D386" s="136"/>
      <c r="E386" s="136"/>
      <c r="F386" s="136"/>
      <c r="G386" s="136"/>
      <c r="H386" s="136"/>
      <c r="I386" s="136"/>
      <c r="J386" s="136"/>
      <c r="K386" s="136"/>
      <c r="L386" s="136"/>
      <c r="M386" s="136"/>
      <c r="N386" s="136"/>
      <c r="O386" s="136"/>
      <c r="P386" s="136"/>
      <c r="Q386" s="136"/>
      <c r="R386" s="136"/>
      <c r="S386" s="136"/>
      <c r="T386" s="136"/>
      <c r="U386" s="136"/>
      <c r="V386" s="136"/>
      <c r="W386" s="136"/>
      <c r="X386" s="136"/>
      <c r="Y386" s="136"/>
      <c r="Z386" s="136"/>
      <c r="AA386" s="136"/>
      <c r="AB386" s="136"/>
    </row>
    <row r="387" spans="1:28" x14ac:dyDescent="0.2">
      <c r="A387" s="136"/>
      <c r="B387" s="136"/>
      <c r="C387" s="136"/>
      <c r="D387" s="136"/>
      <c r="E387" s="136"/>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36"/>
    </row>
    <row r="388" spans="1:28" x14ac:dyDescent="0.2">
      <c r="A388" s="136"/>
      <c r="B388" s="136"/>
      <c r="C388" s="136"/>
      <c r="D388" s="136"/>
      <c r="E388" s="136"/>
      <c r="F388" s="136"/>
      <c r="G388" s="136"/>
      <c r="H388" s="136"/>
      <c r="I388" s="136"/>
      <c r="J388" s="136"/>
      <c r="K388" s="136"/>
      <c r="L388" s="136"/>
      <c r="M388" s="136"/>
      <c r="N388" s="136"/>
      <c r="O388" s="136"/>
      <c r="P388" s="136"/>
      <c r="Q388" s="136"/>
      <c r="R388" s="136"/>
      <c r="S388" s="136"/>
      <c r="T388" s="136"/>
      <c r="U388" s="136"/>
      <c r="V388" s="136"/>
      <c r="W388" s="136"/>
      <c r="X388" s="136"/>
      <c r="Y388" s="136"/>
      <c r="Z388" s="136"/>
      <c r="AA388" s="136"/>
      <c r="AB388" s="136"/>
    </row>
    <row r="389" spans="1:28" x14ac:dyDescent="0.2">
      <c r="A389" s="136"/>
      <c r="B389" s="136"/>
      <c r="C389" s="136"/>
      <c r="D389" s="136"/>
      <c r="E389" s="136"/>
      <c r="F389" s="136"/>
      <c r="G389" s="136"/>
      <c r="H389" s="136"/>
      <c r="I389" s="136"/>
      <c r="J389" s="136"/>
      <c r="K389" s="136"/>
      <c r="L389" s="136"/>
      <c r="M389" s="136"/>
      <c r="N389" s="136"/>
      <c r="O389" s="136"/>
      <c r="P389" s="136"/>
      <c r="Q389" s="136"/>
      <c r="R389" s="136"/>
      <c r="S389" s="136"/>
      <c r="T389" s="136"/>
      <c r="U389" s="136"/>
      <c r="V389" s="136"/>
      <c r="W389" s="136"/>
      <c r="X389" s="136"/>
      <c r="Y389" s="136"/>
      <c r="Z389" s="136"/>
      <c r="AA389" s="136"/>
      <c r="AB389" s="136"/>
    </row>
    <row r="390" spans="1:28" x14ac:dyDescent="0.2">
      <c r="A390" s="136"/>
      <c r="B390" s="136"/>
      <c r="C390" s="136"/>
      <c r="D390" s="136"/>
      <c r="E390" s="136"/>
      <c r="F390" s="136"/>
      <c r="G390" s="136"/>
      <c r="H390" s="136"/>
      <c r="I390" s="136"/>
      <c r="J390" s="136"/>
      <c r="K390" s="136"/>
      <c r="L390" s="136"/>
      <c r="M390" s="136"/>
      <c r="N390" s="136"/>
      <c r="O390" s="136"/>
      <c r="P390" s="136"/>
      <c r="Q390" s="136"/>
      <c r="R390" s="136"/>
      <c r="S390" s="136"/>
      <c r="T390" s="136"/>
      <c r="U390" s="136"/>
      <c r="V390" s="136"/>
      <c r="W390" s="136"/>
      <c r="X390" s="136"/>
      <c r="Y390" s="136"/>
      <c r="Z390" s="136"/>
      <c r="AA390" s="136"/>
      <c r="AB390" s="136"/>
    </row>
    <row r="391" spans="1:28" x14ac:dyDescent="0.2">
      <c r="A391" s="136"/>
      <c r="B391" s="136"/>
      <c r="C391" s="136"/>
      <c r="D391" s="136"/>
      <c r="E391" s="136"/>
      <c r="F391" s="136"/>
      <c r="G391" s="136"/>
      <c r="H391" s="136"/>
      <c r="I391" s="136"/>
      <c r="J391" s="136"/>
      <c r="K391" s="136"/>
      <c r="L391" s="136"/>
      <c r="M391" s="136"/>
      <c r="N391" s="136"/>
      <c r="O391" s="136"/>
      <c r="P391" s="136"/>
      <c r="Q391" s="136"/>
      <c r="R391" s="136"/>
      <c r="S391" s="136"/>
      <c r="T391" s="136"/>
      <c r="U391" s="136"/>
      <c r="V391" s="136"/>
      <c r="W391" s="136"/>
      <c r="X391" s="136"/>
      <c r="Y391" s="136"/>
      <c r="Z391" s="136"/>
      <c r="AA391" s="136"/>
      <c r="AB391" s="136"/>
    </row>
    <row r="392" spans="1:28" x14ac:dyDescent="0.2">
      <c r="A392" s="136"/>
      <c r="B392" s="136"/>
      <c r="C392" s="136"/>
      <c r="D392" s="136"/>
      <c r="E392" s="136"/>
      <c r="F392" s="136"/>
      <c r="G392" s="136"/>
      <c r="H392" s="136"/>
      <c r="I392" s="136"/>
      <c r="J392" s="136"/>
      <c r="K392" s="136"/>
      <c r="L392" s="136"/>
      <c r="M392" s="136"/>
      <c r="N392" s="136"/>
      <c r="O392" s="136"/>
      <c r="P392" s="136"/>
      <c r="Q392" s="136"/>
      <c r="R392" s="136"/>
      <c r="S392" s="136"/>
      <c r="T392" s="136"/>
      <c r="U392" s="136"/>
      <c r="V392" s="136"/>
      <c r="W392" s="136"/>
      <c r="X392" s="136"/>
      <c r="Y392" s="136"/>
      <c r="Z392" s="136"/>
      <c r="AA392" s="136"/>
      <c r="AB392" s="136"/>
    </row>
    <row r="393" spans="1:28" x14ac:dyDescent="0.2">
      <c r="A393" s="136"/>
      <c r="B393" s="136"/>
      <c r="C393" s="136"/>
      <c r="D393" s="136"/>
      <c r="E393" s="136"/>
      <c r="F393" s="136"/>
      <c r="G393" s="136"/>
      <c r="H393" s="136"/>
      <c r="I393" s="136"/>
      <c r="J393" s="136"/>
      <c r="K393" s="136"/>
      <c r="L393" s="136"/>
      <c r="M393" s="136"/>
      <c r="N393" s="136"/>
      <c r="O393" s="136"/>
      <c r="P393" s="136"/>
      <c r="Q393" s="136"/>
      <c r="R393" s="136"/>
      <c r="S393" s="136"/>
      <c r="T393" s="136"/>
      <c r="U393" s="136"/>
      <c r="V393" s="136"/>
      <c r="W393" s="136"/>
      <c r="X393" s="136"/>
      <c r="Y393" s="136"/>
      <c r="Z393" s="136"/>
      <c r="AA393" s="136"/>
      <c r="AB393" s="136"/>
    </row>
    <row r="394" spans="1:28" x14ac:dyDescent="0.2">
      <c r="A394" s="136"/>
      <c r="B394" s="136"/>
      <c r="C394" s="136"/>
      <c r="D394" s="136"/>
      <c r="E394" s="136"/>
      <c r="F394" s="136"/>
      <c r="G394" s="136"/>
      <c r="H394" s="136"/>
      <c r="I394" s="136"/>
      <c r="J394" s="136"/>
      <c r="K394" s="136"/>
      <c r="L394" s="136"/>
      <c r="M394" s="136"/>
      <c r="N394" s="136"/>
      <c r="O394" s="136"/>
      <c r="P394" s="136"/>
      <c r="Q394" s="136"/>
      <c r="R394" s="136"/>
      <c r="S394" s="136"/>
      <c r="T394" s="136"/>
      <c r="U394" s="136"/>
      <c r="V394" s="136"/>
      <c r="W394" s="136"/>
      <c r="X394" s="136"/>
      <c r="Y394" s="136"/>
      <c r="Z394" s="136"/>
      <c r="AA394" s="136"/>
      <c r="AB394" s="136"/>
    </row>
    <row r="395" spans="1:28" x14ac:dyDescent="0.2">
      <c r="A395" s="136"/>
      <c r="B395" s="136"/>
      <c r="C395" s="136"/>
      <c r="D395" s="136"/>
      <c r="E395" s="136"/>
      <c r="F395" s="136"/>
      <c r="G395" s="136"/>
      <c r="H395" s="136"/>
      <c r="I395" s="136"/>
      <c r="J395" s="136"/>
      <c r="K395" s="136"/>
      <c r="L395" s="136"/>
      <c r="M395" s="136"/>
      <c r="N395" s="136"/>
      <c r="O395" s="136"/>
      <c r="P395" s="136"/>
      <c r="Q395" s="136"/>
      <c r="R395" s="136"/>
      <c r="S395" s="136"/>
      <c r="T395" s="136"/>
      <c r="U395" s="136"/>
      <c r="V395" s="136"/>
      <c r="W395" s="136"/>
      <c r="X395" s="136"/>
      <c r="Y395" s="136"/>
      <c r="Z395" s="136"/>
      <c r="AA395" s="136"/>
      <c r="AB395" s="136"/>
    </row>
    <row r="396" spans="1:28" x14ac:dyDescent="0.2">
      <c r="A396" s="136"/>
      <c r="B396" s="136"/>
      <c r="C396" s="136"/>
      <c r="D396" s="136"/>
      <c r="E396" s="136"/>
      <c r="F396" s="136"/>
      <c r="G396" s="136"/>
      <c r="H396" s="136"/>
      <c r="I396" s="136"/>
      <c r="J396" s="136"/>
      <c r="K396" s="136"/>
      <c r="L396" s="136"/>
      <c r="M396" s="136"/>
      <c r="N396" s="136"/>
      <c r="O396" s="136"/>
      <c r="P396" s="136"/>
      <c r="Q396" s="136"/>
      <c r="R396" s="136"/>
      <c r="S396" s="136"/>
      <c r="T396" s="136"/>
      <c r="U396" s="136"/>
      <c r="V396" s="136"/>
      <c r="W396" s="136"/>
      <c r="X396" s="136"/>
      <c r="Y396" s="136"/>
      <c r="Z396" s="136"/>
      <c r="AA396" s="136"/>
      <c r="AB396" s="136"/>
    </row>
    <row r="397" spans="1:28" x14ac:dyDescent="0.2">
      <c r="A397" s="136"/>
      <c r="B397" s="136"/>
      <c r="C397" s="136"/>
      <c r="D397" s="136"/>
      <c r="E397" s="136"/>
      <c r="F397" s="136"/>
      <c r="G397" s="136"/>
      <c r="H397" s="136"/>
      <c r="I397" s="136"/>
      <c r="J397" s="136"/>
      <c r="K397" s="136"/>
      <c r="L397" s="136"/>
      <c r="M397" s="136"/>
      <c r="N397" s="136"/>
      <c r="O397" s="136"/>
      <c r="P397" s="136"/>
      <c r="Q397" s="136"/>
      <c r="R397" s="136"/>
      <c r="S397" s="136"/>
      <c r="T397" s="136"/>
      <c r="U397" s="136"/>
      <c r="V397" s="136"/>
      <c r="W397" s="136"/>
      <c r="X397" s="136"/>
      <c r="Y397" s="136"/>
      <c r="Z397" s="136"/>
      <c r="AA397" s="136"/>
      <c r="AB397" s="136"/>
    </row>
    <row r="398" spans="1:28" x14ac:dyDescent="0.2">
      <c r="A398" s="136"/>
      <c r="B398" s="136"/>
      <c r="C398" s="136"/>
      <c r="D398" s="136"/>
      <c r="E398" s="136"/>
      <c r="F398" s="136"/>
      <c r="G398" s="136"/>
      <c r="H398" s="136"/>
      <c r="I398" s="136"/>
      <c r="J398" s="136"/>
      <c r="K398" s="136"/>
      <c r="L398" s="136"/>
      <c r="M398" s="136"/>
      <c r="N398" s="136"/>
      <c r="O398" s="136"/>
      <c r="P398" s="136"/>
      <c r="Q398" s="136"/>
      <c r="R398" s="136"/>
      <c r="S398" s="136"/>
      <c r="T398" s="136"/>
      <c r="U398" s="136"/>
      <c r="V398" s="136"/>
      <c r="W398" s="136"/>
      <c r="X398" s="136"/>
      <c r="Y398" s="136"/>
      <c r="Z398" s="136"/>
      <c r="AA398" s="136"/>
      <c r="AB398" s="136"/>
    </row>
    <row r="399" spans="1:28" x14ac:dyDescent="0.2">
      <c r="A399" s="136"/>
      <c r="B399" s="136"/>
      <c r="C399" s="136"/>
      <c r="D399" s="136"/>
      <c r="E399" s="136"/>
      <c r="F399" s="136"/>
      <c r="G399" s="136"/>
      <c r="H399" s="136"/>
      <c r="I399" s="136"/>
      <c r="J399" s="136"/>
      <c r="K399" s="136"/>
      <c r="L399" s="136"/>
      <c r="M399" s="136"/>
      <c r="N399" s="136"/>
      <c r="O399" s="136"/>
      <c r="P399" s="136"/>
      <c r="Q399" s="136"/>
      <c r="R399" s="136"/>
      <c r="S399" s="136"/>
      <c r="T399" s="136"/>
      <c r="U399" s="136"/>
      <c r="V399" s="136"/>
      <c r="W399" s="136"/>
      <c r="X399" s="136"/>
      <c r="Y399" s="136"/>
      <c r="Z399" s="136"/>
      <c r="AA399" s="136"/>
      <c r="AB399" s="136"/>
    </row>
    <row r="400" spans="1:28" x14ac:dyDescent="0.2">
      <c r="A400" s="136"/>
      <c r="B400" s="136"/>
      <c r="C400" s="136"/>
      <c r="D400" s="136"/>
      <c r="E400" s="136"/>
      <c r="F400" s="136"/>
      <c r="G400" s="136"/>
      <c r="H400" s="136"/>
      <c r="I400" s="136"/>
      <c r="J400" s="136"/>
      <c r="K400" s="136"/>
      <c r="L400" s="136"/>
      <c r="M400" s="136"/>
      <c r="N400" s="136"/>
      <c r="O400" s="136"/>
      <c r="P400" s="136"/>
      <c r="Q400" s="136"/>
      <c r="R400" s="136"/>
      <c r="S400" s="136"/>
      <c r="T400" s="136"/>
      <c r="U400" s="136"/>
      <c r="V400" s="136"/>
      <c r="W400" s="136"/>
      <c r="X400" s="136"/>
      <c r="Y400" s="136"/>
      <c r="Z400" s="136"/>
      <c r="AA400" s="136"/>
      <c r="AB400" s="136"/>
    </row>
    <row r="401" spans="1:28" x14ac:dyDescent="0.2">
      <c r="A401" s="136"/>
      <c r="B401" s="136"/>
      <c r="C401" s="136"/>
      <c r="D401" s="136"/>
      <c r="E401" s="136"/>
      <c r="F401" s="136"/>
      <c r="G401" s="136"/>
      <c r="H401" s="136"/>
      <c r="I401" s="136"/>
      <c r="J401" s="136"/>
      <c r="K401" s="136"/>
      <c r="L401" s="136"/>
      <c r="M401" s="136"/>
      <c r="N401" s="136"/>
      <c r="O401" s="136"/>
      <c r="P401" s="136"/>
      <c r="Q401" s="136"/>
      <c r="R401" s="136"/>
      <c r="S401" s="136"/>
      <c r="T401" s="136"/>
      <c r="U401" s="136"/>
      <c r="V401" s="136"/>
      <c r="W401" s="136"/>
      <c r="X401" s="136"/>
      <c r="Y401" s="136"/>
      <c r="Z401" s="136"/>
      <c r="AA401" s="136"/>
      <c r="AB401" s="136"/>
    </row>
    <row r="402" spans="1:28" x14ac:dyDescent="0.2">
      <c r="A402" s="136"/>
      <c r="B402" s="136"/>
      <c r="C402" s="136"/>
      <c r="D402" s="136"/>
      <c r="E402" s="136"/>
      <c r="F402" s="136"/>
      <c r="G402" s="136"/>
      <c r="H402" s="136"/>
      <c r="I402" s="136"/>
      <c r="J402" s="136"/>
      <c r="K402" s="136"/>
      <c r="L402" s="136"/>
      <c r="M402" s="136"/>
      <c r="N402" s="136"/>
      <c r="O402" s="136"/>
      <c r="P402" s="136"/>
      <c r="Q402" s="136"/>
      <c r="R402" s="136"/>
      <c r="S402" s="136"/>
      <c r="T402" s="136"/>
      <c r="U402" s="136"/>
      <c r="V402" s="136"/>
      <c r="W402" s="136"/>
      <c r="X402" s="136"/>
      <c r="Y402" s="136"/>
      <c r="Z402" s="136"/>
      <c r="AA402" s="136"/>
      <c r="AB402" s="136"/>
    </row>
    <row r="403" spans="1:28" x14ac:dyDescent="0.2">
      <c r="A403" s="136"/>
      <c r="B403" s="136"/>
      <c r="C403" s="136"/>
      <c r="D403" s="136"/>
      <c r="E403" s="136"/>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36"/>
    </row>
    <row r="404" spans="1:28" x14ac:dyDescent="0.2">
      <c r="A404" s="136"/>
      <c r="B404" s="136"/>
      <c r="C404" s="136"/>
      <c r="D404" s="136"/>
      <c r="E404" s="136"/>
      <c r="F404" s="136"/>
      <c r="G404" s="136"/>
      <c r="H404" s="136"/>
      <c r="I404" s="136"/>
      <c r="J404" s="136"/>
      <c r="K404" s="136"/>
      <c r="L404" s="136"/>
      <c r="M404" s="136"/>
      <c r="N404" s="136"/>
      <c r="O404" s="136"/>
      <c r="P404" s="136"/>
      <c r="Q404" s="136"/>
      <c r="R404" s="136"/>
      <c r="S404" s="136"/>
      <c r="T404" s="136"/>
      <c r="U404" s="136"/>
      <c r="V404" s="136"/>
      <c r="W404" s="136"/>
      <c r="X404" s="136"/>
      <c r="Y404" s="136"/>
      <c r="Z404" s="136"/>
      <c r="AA404" s="136"/>
      <c r="AB404" s="136"/>
    </row>
    <row r="405" spans="1:28" x14ac:dyDescent="0.2">
      <c r="A405" s="136"/>
      <c r="B405" s="136"/>
      <c r="C405" s="136"/>
      <c r="D405" s="136"/>
      <c r="E405" s="136"/>
      <c r="F405" s="136"/>
      <c r="G405" s="136"/>
      <c r="H405" s="136"/>
      <c r="I405" s="136"/>
      <c r="J405" s="136"/>
      <c r="K405" s="136"/>
      <c r="L405" s="136"/>
      <c r="M405" s="136"/>
      <c r="N405" s="136"/>
      <c r="O405" s="136"/>
      <c r="P405" s="136"/>
      <c r="Q405" s="136"/>
      <c r="R405" s="136"/>
      <c r="S405" s="136"/>
      <c r="T405" s="136"/>
      <c r="U405" s="136"/>
      <c r="V405" s="136"/>
      <c r="W405" s="136"/>
      <c r="X405" s="136"/>
      <c r="Y405" s="136"/>
      <c r="Z405" s="136"/>
      <c r="AA405" s="136"/>
      <c r="AB405" s="136"/>
    </row>
    <row r="406" spans="1:28" x14ac:dyDescent="0.2">
      <c r="A406" s="136"/>
      <c r="B406" s="136"/>
      <c r="C406" s="136"/>
      <c r="D406" s="136"/>
      <c r="E406" s="136"/>
      <c r="F406" s="136"/>
      <c r="G406" s="136"/>
      <c r="H406" s="136"/>
      <c r="I406" s="136"/>
      <c r="J406" s="136"/>
      <c r="K406" s="136"/>
      <c r="L406" s="136"/>
      <c r="M406" s="136"/>
      <c r="N406" s="136"/>
      <c r="O406" s="136"/>
      <c r="P406" s="136"/>
      <c r="Q406" s="136"/>
      <c r="R406" s="136"/>
      <c r="S406" s="136"/>
      <c r="T406" s="136"/>
      <c r="U406" s="136"/>
      <c r="V406" s="136"/>
      <c r="W406" s="136"/>
      <c r="X406" s="136"/>
      <c r="Y406" s="136"/>
      <c r="Z406" s="136"/>
      <c r="AA406" s="136"/>
      <c r="AB406" s="136"/>
    </row>
    <row r="407" spans="1:28" x14ac:dyDescent="0.2">
      <c r="A407" s="136"/>
      <c r="B407" s="136"/>
      <c r="C407" s="136"/>
      <c r="D407" s="136"/>
      <c r="E407" s="136"/>
      <c r="F407" s="136"/>
      <c r="G407" s="136"/>
      <c r="H407" s="136"/>
      <c r="I407" s="136"/>
      <c r="J407" s="136"/>
      <c r="K407" s="136"/>
      <c r="L407" s="136"/>
      <c r="M407" s="136"/>
      <c r="N407" s="136"/>
      <c r="O407" s="136"/>
      <c r="P407" s="136"/>
      <c r="Q407" s="136"/>
      <c r="R407" s="136"/>
      <c r="S407" s="136"/>
      <c r="T407" s="136"/>
      <c r="U407" s="136"/>
      <c r="V407" s="136"/>
      <c r="W407" s="136"/>
      <c r="X407" s="136"/>
      <c r="Y407" s="136"/>
      <c r="Z407" s="136"/>
      <c r="AA407" s="136"/>
      <c r="AB407" s="136"/>
    </row>
    <row r="408" spans="1:28" x14ac:dyDescent="0.2">
      <c r="A408" s="136"/>
      <c r="B408" s="136"/>
      <c r="C408" s="136"/>
      <c r="D408" s="136"/>
      <c r="E408" s="136"/>
      <c r="F408" s="136"/>
      <c r="G408" s="136"/>
      <c r="H408" s="136"/>
      <c r="I408" s="136"/>
      <c r="J408" s="136"/>
      <c r="K408" s="136"/>
      <c r="L408" s="136"/>
      <c r="M408" s="136"/>
      <c r="N408" s="136"/>
      <c r="O408" s="136"/>
      <c r="P408" s="136"/>
      <c r="Q408" s="136"/>
      <c r="R408" s="136"/>
      <c r="S408" s="136"/>
      <c r="T408" s="136"/>
      <c r="U408" s="136"/>
      <c r="V408" s="136"/>
      <c r="W408" s="136"/>
      <c r="X408" s="136"/>
      <c r="Y408" s="136"/>
      <c r="Z408" s="136"/>
      <c r="AA408" s="136"/>
      <c r="AB408" s="136"/>
    </row>
    <row r="409" spans="1:28" x14ac:dyDescent="0.2">
      <c r="A409" s="136"/>
      <c r="B409" s="136"/>
      <c r="C409" s="136"/>
      <c r="D409" s="136"/>
      <c r="E409" s="136"/>
      <c r="F409" s="136"/>
      <c r="G409" s="136"/>
      <c r="H409" s="136"/>
      <c r="I409" s="136"/>
      <c r="J409" s="136"/>
      <c r="K409" s="136"/>
      <c r="L409" s="136"/>
      <c r="M409" s="136"/>
      <c r="N409" s="136"/>
      <c r="O409" s="136"/>
      <c r="P409" s="136"/>
      <c r="Q409" s="136"/>
      <c r="R409" s="136"/>
      <c r="S409" s="136"/>
      <c r="T409" s="136"/>
      <c r="U409" s="136"/>
      <c r="V409" s="136"/>
      <c r="W409" s="136"/>
      <c r="X409" s="136"/>
      <c r="Y409" s="136"/>
      <c r="Z409" s="136"/>
      <c r="AA409" s="136"/>
      <c r="AB409" s="136"/>
    </row>
    <row r="410" spans="1:28" x14ac:dyDescent="0.2">
      <c r="A410" s="136"/>
      <c r="B410" s="136"/>
      <c r="C410" s="136"/>
      <c r="D410" s="136"/>
      <c r="E410" s="136"/>
      <c r="F410" s="136"/>
      <c r="G410" s="136"/>
      <c r="H410" s="136"/>
      <c r="I410" s="136"/>
      <c r="J410" s="136"/>
      <c r="K410" s="136"/>
      <c r="L410" s="136"/>
      <c r="M410" s="136"/>
      <c r="N410" s="136"/>
      <c r="O410" s="136"/>
      <c r="P410" s="136"/>
      <c r="Q410" s="136"/>
      <c r="R410" s="136"/>
      <c r="S410" s="136"/>
      <c r="T410" s="136"/>
      <c r="U410" s="136"/>
      <c r="V410" s="136"/>
      <c r="W410" s="136"/>
      <c r="X410" s="136"/>
      <c r="Y410" s="136"/>
      <c r="Z410" s="136"/>
      <c r="AA410" s="136"/>
      <c r="AB410" s="136"/>
    </row>
    <row r="411" spans="1:28" x14ac:dyDescent="0.2">
      <c r="A411" s="136"/>
      <c r="B411" s="136"/>
      <c r="C411" s="136"/>
      <c r="D411" s="136"/>
      <c r="E411" s="136"/>
      <c r="F411" s="136"/>
      <c r="G411" s="136"/>
      <c r="H411" s="136"/>
      <c r="I411" s="136"/>
      <c r="J411" s="136"/>
      <c r="K411" s="136"/>
      <c r="L411" s="136"/>
      <c r="M411" s="136"/>
      <c r="N411" s="136"/>
      <c r="O411" s="136"/>
      <c r="P411" s="136"/>
      <c r="Q411" s="136"/>
      <c r="R411" s="136"/>
      <c r="S411" s="136"/>
      <c r="T411" s="136"/>
      <c r="U411" s="136"/>
      <c r="V411" s="136"/>
      <c r="W411" s="136"/>
      <c r="X411" s="136"/>
      <c r="Y411" s="136"/>
      <c r="Z411" s="136"/>
      <c r="AA411" s="136"/>
      <c r="AB411" s="136"/>
    </row>
    <row r="412" spans="1:28" x14ac:dyDescent="0.2">
      <c r="A412" s="136"/>
      <c r="B412" s="136"/>
      <c r="C412" s="136"/>
      <c r="D412" s="136"/>
      <c r="E412" s="136"/>
      <c r="F412" s="136"/>
      <c r="G412" s="136"/>
      <c r="H412" s="136"/>
      <c r="I412" s="136"/>
      <c r="J412" s="136"/>
      <c r="K412" s="136"/>
      <c r="L412" s="136"/>
      <c r="M412" s="136"/>
      <c r="N412" s="136"/>
      <c r="O412" s="136"/>
      <c r="P412" s="136"/>
      <c r="Q412" s="136"/>
      <c r="R412" s="136"/>
      <c r="S412" s="136"/>
      <c r="T412" s="136"/>
      <c r="U412" s="136"/>
      <c r="V412" s="136"/>
      <c r="W412" s="136"/>
      <c r="X412" s="136"/>
      <c r="Y412" s="136"/>
      <c r="Z412" s="136"/>
      <c r="AA412" s="136"/>
      <c r="AB412" s="136"/>
    </row>
    <row r="413" spans="1:28" x14ac:dyDescent="0.2">
      <c r="A413" s="136"/>
      <c r="B413" s="136"/>
      <c r="C413" s="136"/>
      <c r="D413" s="136"/>
      <c r="E413" s="136"/>
      <c r="F413" s="136"/>
      <c r="G413" s="136"/>
      <c r="H413" s="136"/>
      <c r="I413" s="136"/>
      <c r="J413" s="136"/>
      <c r="K413" s="136"/>
      <c r="L413" s="136"/>
      <c r="M413" s="136"/>
      <c r="N413" s="136"/>
      <c r="O413" s="136"/>
      <c r="P413" s="136"/>
      <c r="Q413" s="136"/>
      <c r="R413" s="136"/>
      <c r="S413" s="136"/>
      <c r="T413" s="136"/>
      <c r="U413" s="136"/>
      <c r="V413" s="136"/>
      <c r="W413" s="136"/>
      <c r="X413" s="136"/>
      <c r="Y413" s="136"/>
      <c r="Z413" s="136"/>
      <c r="AA413" s="136"/>
      <c r="AB413" s="136"/>
    </row>
    <row r="414" spans="1:28" x14ac:dyDescent="0.2">
      <c r="A414" s="136"/>
      <c r="B414" s="136"/>
      <c r="C414" s="136"/>
      <c r="D414" s="136"/>
      <c r="E414" s="136"/>
      <c r="F414" s="136"/>
      <c r="G414" s="136"/>
      <c r="H414" s="136"/>
      <c r="I414" s="136"/>
      <c r="J414" s="136"/>
      <c r="K414" s="136"/>
      <c r="L414" s="136"/>
      <c r="M414" s="136"/>
      <c r="N414" s="136"/>
      <c r="O414" s="136"/>
      <c r="P414" s="136"/>
      <c r="Q414" s="136"/>
      <c r="R414" s="136"/>
      <c r="S414" s="136"/>
      <c r="T414" s="136"/>
      <c r="U414" s="136"/>
      <c r="V414" s="136"/>
      <c r="W414" s="136"/>
      <c r="X414" s="136"/>
      <c r="Y414" s="136"/>
      <c r="Z414" s="136"/>
      <c r="AA414" s="136"/>
      <c r="AB414" s="136"/>
    </row>
    <row r="415" spans="1:28" x14ac:dyDescent="0.2">
      <c r="A415" s="136"/>
      <c r="B415" s="136"/>
      <c r="C415" s="136"/>
      <c r="D415" s="136"/>
      <c r="E415" s="136"/>
      <c r="F415" s="136"/>
      <c r="G415" s="136"/>
      <c r="H415" s="136"/>
      <c r="I415" s="136"/>
      <c r="J415" s="136"/>
      <c r="K415" s="136"/>
      <c r="L415" s="136"/>
      <c r="M415" s="136"/>
      <c r="N415" s="136"/>
      <c r="O415" s="136"/>
      <c r="P415" s="136"/>
      <c r="Q415" s="136"/>
      <c r="R415" s="136"/>
      <c r="S415" s="136"/>
      <c r="T415" s="136"/>
      <c r="U415" s="136"/>
      <c r="V415" s="136"/>
      <c r="W415" s="136"/>
      <c r="X415" s="136"/>
      <c r="Y415" s="136"/>
      <c r="Z415" s="136"/>
      <c r="AA415" s="136"/>
      <c r="AB415" s="136"/>
    </row>
    <row r="416" spans="1:28" x14ac:dyDescent="0.2">
      <c r="A416" s="136"/>
      <c r="B416" s="136"/>
      <c r="C416" s="136"/>
      <c r="D416" s="136"/>
      <c r="E416" s="136"/>
      <c r="F416" s="136"/>
      <c r="G416" s="136"/>
      <c r="H416" s="136"/>
      <c r="I416" s="136"/>
      <c r="J416" s="136"/>
      <c r="K416" s="136"/>
      <c r="L416" s="136"/>
      <c r="M416" s="136"/>
      <c r="N416" s="136"/>
      <c r="O416" s="136"/>
      <c r="P416" s="136"/>
      <c r="Q416" s="136"/>
      <c r="R416" s="136"/>
      <c r="S416" s="136"/>
      <c r="T416" s="136"/>
      <c r="U416" s="136"/>
      <c r="V416" s="136"/>
      <c r="W416" s="136"/>
      <c r="X416" s="136"/>
      <c r="Y416" s="136"/>
      <c r="Z416" s="136"/>
      <c r="AA416" s="136"/>
      <c r="AB416" s="136"/>
    </row>
    <row r="417" spans="1:28" x14ac:dyDescent="0.2">
      <c r="A417" s="136"/>
      <c r="B417" s="136"/>
      <c r="C417" s="136"/>
      <c r="D417" s="136"/>
      <c r="E417" s="136"/>
      <c r="F417" s="136"/>
      <c r="G417" s="136"/>
      <c r="H417" s="136"/>
      <c r="I417" s="136"/>
      <c r="J417" s="136"/>
      <c r="K417" s="136"/>
      <c r="L417" s="136"/>
      <c r="M417" s="136"/>
      <c r="N417" s="136"/>
      <c r="O417" s="136"/>
      <c r="P417" s="136"/>
      <c r="Q417" s="136"/>
      <c r="R417" s="136"/>
      <c r="S417" s="136"/>
      <c r="T417" s="136"/>
      <c r="U417" s="136"/>
      <c r="V417" s="136"/>
      <c r="W417" s="136"/>
      <c r="X417" s="136"/>
      <c r="Y417" s="136"/>
      <c r="Z417" s="136"/>
      <c r="AA417" s="136"/>
      <c r="AB417" s="136"/>
    </row>
    <row r="418" spans="1:28" x14ac:dyDescent="0.2">
      <c r="A418" s="136"/>
      <c r="B418" s="136"/>
      <c r="C418" s="136"/>
      <c r="D418" s="136"/>
      <c r="E418" s="136"/>
      <c r="F418" s="136"/>
      <c r="G418" s="136"/>
      <c r="H418" s="136"/>
      <c r="I418" s="136"/>
      <c r="J418" s="136"/>
      <c r="K418" s="136"/>
      <c r="L418" s="136"/>
      <c r="M418" s="136"/>
      <c r="N418" s="136"/>
      <c r="O418" s="136"/>
      <c r="P418" s="136"/>
      <c r="Q418" s="136"/>
      <c r="R418" s="136"/>
      <c r="S418" s="136"/>
      <c r="T418" s="136"/>
      <c r="U418" s="136"/>
      <c r="V418" s="136"/>
      <c r="W418" s="136"/>
      <c r="X418" s="136"/>
      <c r="Y418" s="136"/>
      <c r="Z418" s="136"/>
      <c r="AA418" s="136"/>
      <c r="AB418" s="136"/>
    </row>
    <row r="419" spans="1:28" x14ac:dyDescent="0.2">
      <c r="A419" s="136"/>
      <c r="B419" s="136"/>
      <c r="C419" s="136"/>
      <c r="D419" s="136"/>
      <c r="E419" s="136"/>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36"/>
    </row>
    <row r="420" spans="1:28" x14ac:dyDescent="0.2">
      <c r="A420" s="136"/>
      <c r="B420" s="136"/>
      <c r="C420" s="136"/>
      <c r="D420" s="136"/>
      <c r="E420" s="136"/>
      <c r="F420" s="136"/>
      <c r="G420" s="136"/>
      <c r="H420" s="136"/>
      <c r="I420" s="136"/>
      <c r="J420" s="136"/>
      <c r="K420" s="136"/>
      <c r="L420" s="136"/>
      <c r="M420" s="136"/>
      <c r="N420" s="136"/>
      <c r="O420" s="136"/>
      <c r="P420" s="136"/>
      <c r="Q420" s="136"/>
      <c r="R420" s="136"/>
      <c r="S420" s="136"/>
      <c r="T420" s="136"/>
      <c r="U420" s="136"/>
      <c r="V420" s="136"/>
      <c r="W420" s="136"/>
      <c r="X420" s="136"/>
      <c r="Y420" s="136"/>
      <c r="Z420" s="136"/>
      <c r="AA420" s="136"/>
      <c r="AB420" s="136"/>
    </row>
    <row r="421" spans="1:28" x14ac:dyDescent="0.2">
      <c r="A421" s="136"/>
      <c r="B421" s="136"/>
      <c r="C421" s="136"/>
      <c r="D421" s="136"/>
      <c r="E421" s="136"/>
      <c r="F421" s="136"/>
      <c r="G421" s="136"/>
      <c r="H421" s="136"/>
      <c r="I421" s="136"/>
      <c r="J421" s="136"/>
      <c r="K421" s="136"/>
      <c r="L421" s="136"/>
      <c r="M421" s="136"/>
      <c r="N421" s="136"/>
      <c r="O421" s="136"/>
      <c r="P421" s="136"/>
      <c r="Q421" s="136"/>
      <c r="R421" s="136"/>
      <c r="S421" s="136"/>
      <c r="T421" s="136"/>
      <c r="U421" s="136"/>
      <c r="V421" s="136"/>
      <c r="W421" s="136"/>
      <c r="X421" s="136"/>
      <c r="Y421" s="136"/>
      <c r="Z421" s="136"/>
      <c r="AA421" s="136"/>
      <c r="AB421" s="136"/>
    </row>
    <row r="422" spans="1:28" x14ac:dyDescent="0.2">
      <c r="A422" s="136"/>
      <c r="B422" s="136"/>
      <c r="C422" s="136"/>
      <c r="D422" s="136"/>
      <c r="E422" s="136"/>
      <c r="F422" s="136"/>
      <c r="G422" s="136"/>
      <c r="H422" s="136"/>
      <c r="I422" s="136"/>
      <c r="J422" s="136"/>
      <c r="K422" s="136"/>
      <c r="L422" s="136"/>
      <c r="M422" s="136"/>
      <c r="N422" s="136"/>
      <c r="O422" s="136"/>
      <c r="P422" s="136"/>
      <c r="Q422" s="136"/>
      <c r="R422" s="136"/>
      <c r="S422" s="136"/>
      <c r="T422" s="136"/>
      <c r="U422" s="136"/>
      <c r="V422" s="136"/>
      <c r="W422" s="136"/>
      <c r="X422" s="136"/>
      <c r="Y422" s="136"/>
      <c r="Z422" s="136"/>
      <c r="AA422" s="136"/>
      <c r="AB422" s="136"/>
    </row>
    <row r="423" spans="1:28" x14ac:dyDescent="0.2">
      <c r="A423" s="136"/>
      <c r="B423" s="136"/>
      <c r="C423" s="136"/>
      <c r="D423" s="136"/>
      <c r="E423" s="136"/>
      <c r="F423" s="136"/>
      <c r="G423" s="136"/>
      <c r="H423" s="136"/>
      <c r="I423" s="136"/>
      <c r="J423" s="136"/>
      <c r="K423" s="136"/>
      <c r="L423" s="136"/>
      <c r="M423" s="136"/>
      <c r="N423" s="136"/>
      <c r="O423" s="136"/>
      <c r="P423" s="136"/>
      <c r="Q423" s="136"/>
      <c r="R423" s="136"/>
      <c r="S423" s="136"/>
      <c r="T423" s="136"/>
      <c r="U423" s="136"/>
      <c r="V423" s="136"/>
      <c r="W423" s="136"/>
      <c r="X423" s="136"/>
      <c r="Y423" s="136"/>
      <c r="Z423" s="136"/>
      <c r="AA423" s="136"/>
      <c r="AB423" s="136"/>
    </row>
    <row r="424" spans="1:28" x14ac:dyDescent="0.2">
      <c r="A424" s="136"/>
      <c r="B424" s="136"/>
      <c r="C424" s="136"/>
      <c r="D424" s="136"/>
      <c r="E424" s="136"/>
      <c r="F424" s="136"/>
      <c r="G424" s="136"/>
      <c r="H424" s="136"/>
      <c r="I424" s="136"/>
      <c r="J424" s="136"/>
      <c r="K424" s="136"/>
      <c r="L424" s="136"/>
      <c r="M424" s="136"/>
      <c r="N424" s="136"/>
      <c r="O424" s="136"/>
      <c r="P424" s="136"/>
      <c r="Q424" s="136"/>
      <c r="R424" s="136"/>
      <c r="S424" s="136"/>
      <c r="T424" s="136"/>
      <c r="U424" s="136"/>
      <c r="V424" s="136"/>
      <c r="W424" s="136"/>
      <c r="X424" s="136"/>
      <c r="Y424" s="136"/>
      <c r="Z424" s="136"/>
      <c r="AA424" s="136"/>
      <c r="AB424" s="136"/>
    </row>
    <row r="425" spans="1:28" x14ac:dyDescent="0.2">
      <c r="A425" s="136"/>
      <c r="B425" s="136"/>
      <c r="C425" s="136"/>
      <c r="D425" s="136"/>
      <c r="E425" s="136"/>
      <c r="F425" s="136"/>
      <c r="G425" s="136"/>
      <c r="H425" s="136"/>
      <c r="I425" s="136"/>
      <c r="J425" s="136"/>
      <c r="K425" s="136"/>
      <c r="L425" s="136"/>
      <c r="M425" s="136"/>
      <c r="N425" s="136"/>
      <c r="O425" s="136"/>
      <c r="P425" s="136"/>
      <c r="Q425" s="136"/>
      <c r="R425" s="136"/>
      <c r="S425" s="136"/>
      <c r="T425" s="136"/>
      <c r="U425" s="136"/>
      <c r="V425" s="136"/>
      <c r="W425" s="136"/>
      <c r="X425" s="136"/>
      <c r="Y425" s="136"/>
      <c r="Z425" s="136"/>
      <c r="AA425" s="136"/>
      <c r="AB425" s="136"/>
    </row>
    <row r="426" spans="1:28" x14ac:dyDescent="0.2">
      <c r="A426" s="136"/>
      <c r="B426" s="136"/>
      <c r="C426" s="136"/>
      <c r="D426" s="136"/>
      <c r="E426" s="136"/>
      <c r="F426" s="136"/>
      <c r="G426" s="136"/>
      <c r="H426" s="136"/>
      <c r="I426" s="136"/>
      <c r="J426" s="136"/>
      <c r="K426" s="136"/>
      <c r="L426" s="136"/>
      <c r="M426" s="136"/>
      <c r="N426" s="136"/>
      <c r="O426" s="136"/>
      <c r="P426" s="136"/>
      <c r="Q426" s="136"/>
      <c r="R426" s="136"/>
      <c r="S426" s="136"/>
      <c r="T426" s="136"/>
      <c r="U426" s="136"/>
      <c r="V426" s="136"/>
      <c r="W426" s="136"/>
      <c r="X426" s="136"/>
      <c r="Y426" s="136"/>
      <c r="Z426" s="136"/>
      <c r="AA426" s="136"/>
      <c r="AB426" s="136"/>
    </row>
    <row r="427" spans="1:28" x14ac:dyDescent="0.2">
      <c r="A427" s="136"/>
      <c r="B427" s="136"/>
      <c r="C427" s="136"/>
      <c r="D427" s="136"/>
      <c r="E427" s="136"/>
      <c r="F427" s="136"/>
      <c r="G427" s="136"/>
      <c r="H427" s="136"/>
      <c r="I427" s="136"/>
      <c r="J427" s="136"/>
      <c r="K427" s="136"/>
      <c r="L427" s="136"/>
      <c r="M427" s="136"/>
      <c r="N427" s="136"/>
      <c r="O427" s="136"/>
      <c r="P427" s="136"/>
      <c r="Q427" s="136"/>
      <c r="R427" s="136"/>
      <c r="S427" s="136"/>
      <c r="T427" s="136"/>
      <c r="U427" s="136"/>
      <c r="V427" s="136"/>
      <c r="W427" s="136"/>
      <c r="X427" s="136"/>
      <c r="Y427" s="136"/>
      <c r="Z427" s="136"/>
      <c r="AA427" s="136"/>
      <c r="AB427" s="136"/>
    </row>
    <row r="428" spans="1:28" x14ac:dyDescent="0.2">
      <c r="A428" s="136"/>
      <c r="B428" s="136"/>
      <c r="C428" s="136"/>
      <c r="D428" s="136"/>
      <c r="E428" s="136"/>
      <c r="F428" s="136"/>
      <c r="G428" s="136"/>
      <c r="H428" s="136"/>
      <c r="I428" s="136"/>
      <c r="J428" s="136"/>
      <c r="K428" s="136"/>
      <c r="L428" s="136"/>
      <c r="M428" s="136"/>
      <c r="N428" s="136"/>
      <c r="O428" s="136"/>
      <c r="P428" s="136"/>
      <c r="Q428" s="136"/>
      <c r="R428" s="136"/>
      <c r="S428" s="136"/>
      <c r="T428" s="136"/>
      <c r="U428" s="136"/>
      <c r="V428" s="136"/>
      <c r="W428" s="136"/>
      <c r="X428" s="136"/>
      <c r="Y428" s="136"/>
      <c r="Z428" s="136"/>
      <c r="AA428" s="136"/>
      <c r="AB428" s="136"/>
    </row>
    <row r="429" spans="1:28" x14ac:dyDescent="0.2">
      <c r="A429" s="136"/>
      <c r="B429" s="136"/>
      <c r="C429" s="136"/>
      <c r="D429" s="136"/>
      <c r="E429" s="136"/>
      <c r="F429" s="136"/>
      <c r="G429" s="136"/>
      <c r="H429" s="136"/>
      <c r="I429" s="136"/>
      <c r="J429" s="136"/>
      <c r="K429" s="136"/>
      <c r="L429" s="136"/>
      <c r="M429" s="136"/>
      <c r="N429" s="136"/>
      <c r="O429" s="136"/>
      <c r="P429" s="136"/>
      <c r="Q429" s="136"/>
      <c r="R429" s="136"/>
      <c r="S429" s="136"/>
      <c r="T429" s="136"/>
      <c r="U429" s="136"/>
      <c r="V429" s="136"/>
      <c r="W429" s="136"/>
      <c r="X429" s="136"/>
      <c r="Y429" s="136"/>
      <c r="Z429" s="136"/>
      <c r="AA429" s="136"/>
      <c r="AB429" s="136"/>
    </row>
    <row r="430" spans="1:28" x14ac:dyDescent="0.2">
      <c r="A430" s="136"/>
      <c r="B430" s="136"/>
      <c r="C430" s="136"/>
      <c r="D430" s="136"/>
      <c r="E430" s="136"/>
      <c r="F430" s="136"/>
      <c r="G430" s="136"/>
      <c r="H430" s="136"/>
      <c r="I430" s="136"/>
      <c r="J430" s="136"/>
      <c r="K430" s="136"/>
      <c r="L430" s="136"/>
      <c r="M430" s="136"/>
      <c r="N430" s="136"/>
      <c r="O430" s="136"/>
      <c r="P430" s="136"/>
      <c r="Q430" s="136"/>
      <c r="R430" s="136"/>
      <c r="S430" s="136"/>
      <c r="T430" s="136"/>
      <c r="U430" s="136"/>
      <c r="V430" s="136"/>
      <c r="W430" s="136"/>
      <c r="X430" s="136"/>
      <c r="Y430" s="136"/>
      <c r="Z430" s="136"/>
      <c r="AA430" s="136"/>
      <c r="AB430" s="136"/>
    </row>
    <row r="431" spans="1:28" x14ac:dyDescent="0.2">
      <c r="A431" s="136"/>
      <c r="B431" s="136"/>
      <c r="C431" s="136"/>
      <c r="D431" s="136"/>
      <c r="E431" s="136"/>
      <c r="F431" s="136"/>
      <c r="G431" s="136"/>
      <c r="H431" s="136"/>
      <c r="I431" s="136"/>
      <c r="J431" s="136"/>
      <c r="K431" s="136"/>
      <c r="L431" s="136"/>
      <c r="M431" s="136"/>
      <c r="N431" s="136"/>
      <c r="O431" s="136"/>
      <c r="P431" s="136"/>
      <c r="Q431" s="136"/>
      <c r="R431" s="136"/>
      <c r="S431" s="136"/>
      <c r="T431" s="136"/>
      <c r="U431" s="136"/>
      <c r="V431" s="136"/>
      <c r="W431" s="136"/>
      <c r="X431" s="136"/>
      <c r="Y431" s="136"/>
      <c r="Z431" s="136"/>
      <c r="AA431" s="136"/>
      <c r="AB431" s="136"/>
    </row>
    <row r="432" spans="1:28" x14ac:dyDescent="0.2">
      <c r="A432" s="136"/>
      <c r="B432" s="136"/>
      <c r="C432" s="136"/>
      <c r="D432" s="136"/>
      <c r="E432" s="136"/>
      <c r="F432" s="136"/>
      <c r="G432" s="136"/>
      <c r="H432" s="136"/>
      <c r="I432" s="136"/>
      <c r="J432" s="136"/>
      <c r="K432" s="136"/>
      <c r="L432" s="136"/>
      <c r="M432" s="136"/>
      <c r="N432" s="136"/>
      <c r="O432" s="136"/>
      <c r="P432" s="136"/>
      <c r="Q432" s="136"/>
      <c r="R432" s="136"/>
      <c r="S432" s="136"/>
      <c r="T432" s="136"/>
      <c r="U432" s="136"/>
      <c r="V432" s="136"/>
      <c r="W432" s="136"/>
      <c r="X432" s="136"/>
      <c r="Y432" s="136"/>
      <c r="Z432" s="136"/>
      <c r="AA432" s="136"/>
      <c r="AB432" s="136"/>
    </row>
    <row r="433" spans="1:28" x14ac:dyDescent="0.2">
      <c r="A433" s="136"/>
      <c r="B433" s="136"/>
      <c r="C433" s="136"/>
      <c r="D433" s="136"/>
      <c r="E433" s="136"/>
      <c r="F433" s="136"/>
      <c r="G433" s="136"/>
      <c r="H433" s="136"/>
      <c r="I433" s="136"/>
      <c r="J433" s="136"/>
      <c r="K433" s="136"/>
      <c r="L433" s="136"/>
      <c r="M433" s="136"/>
      <c r="N433" s="136"/>
      <c r="O433" s="136"/>
      <c r="P433" s="136"/>
      <c r="Q433" s="136"/>
      <c r="R433" s="136"/>
      <c r="S433" s="136"/>
      <c r="T433" s="136"/>
      <c r="U433" s="136"/>
      <c r="V433" s="136"/>
      <c r="W433" s="136"/>
      <c r="X433" s="136"/>
      <c r="Y433" s="136"/>
      <c r="Z433" s="136"/>
      <c r="AA433" s="136"/>
      <c r="AB433" s="136"/>
    </row>
    <row r="434" spans="1:28" x14ac:dyDescent="0.2">
      <c r="A434" s="136"/>
      <c r="B434" s="136"/>
      <c r="C434" s="136"/>
      <c r="D434" s="136"/>
      <c r="E434" s="136"/>
      <c r="F434" s="136"/>
      <c r="G434" s="136"/>
      <c r="H434" s="136"/>
      <c r="I434" s="136"/>
      <c r="J434" s="136"/>
      <c r="K434" s="136"/>
      <c r="L434" s="136"/>
      <c r="M434" s="136"/>
      <c r="N434" s="136"/>
      <c r="O434" s="136"/>
      <c r="P434" s="136"/>
      <c r="Q434" s="136"/>
      <c r="R434" s="136"/>
      <c r="S434" s="136"/>
      <c r="T434" s="136"/>
      <c r="U434" s="136"/>
      <c r="V434" s="136"/>
      <c r="W434" s="136"/>
      <c r="X434" s="136"/>
      <c r="Y434" s="136"/>
      <c r="Z434" s="136"/>
      <c r="AA434" s="136"/>
      <c r="AB434" s="136"/>
    </row>
    <row r="435" spans="1:28" x14ac:dyDescent="0.2">
      <c r="A435" s="136"/>
      <c r="B435" s="136"/>
      <c r="C435" s="136"/>
      <c r="D435" s="136"/>
      <c r="E435" s="136"/>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36"/>
    </row>
    <row r="436" spans="1:28" x14ac:dyDescent="0.2">
      <c r="A436" s="136"/>
      <c r="B436" s="136"/>
      <c r="C436" s="136"/>
      <c r="D436" s="136"/>
      <c r="E436" s="136"/>
      <c r="F436" s="136"/>
      <c r="G436" s="136"/>
      <c r="H436" s="136"/>
      <c r="I436" s="136"/>
      <c r="J436" s="136"/>
      <c r="K436" s="136"/>
      <c r="L436" s="136"/>
      <c r="M436" s="136"/>
      <c r="N436" s="136"/>
      <c r="O436" s="136"/>
      <c r="P436" s="136"/>
      <c r="Q436" s="136"/>
      <c r="R436" s="136"/>
      <c r="S436" s="136"/>
      <c r="T436" s="136"/>
      <c r="U436" s="136"/>
      <c r="V436" s="136"/>
      <c r="W436" s="136"/>
      <c r="X436" s="136"/>
      <c r="Y436" s="136"/>
      <c r="Z436" s="136"/>
      <c r="AA436" s="136"/>
      <c r="AB436" s="136"/>
    </row>
    <row r="437" spans="1:28" x14ac:dyDescent="0.2">
      <c r="A437" s="136"/>
      <c r="B437" s="136"/>
      <c r="C437" s="136"/>
      <c r="D437" s="136"/>
      <c r="E437" s="136"/>
      <c r="F437" s="136"/>
      <c r="G437" s="136"/>
      <c r="H437" s="136"/>
      <c r="I437" s="136"/>
      <c r="J437" s="136"/>
      <c r="K437" s="136"/>
      <c r="L437" s="136"/>
      <c r="M437" s="136"/>
      <c r="N437" s="136"/>
      <c r="O437" s="136"/>
      <c r="P437" s="136"/>
      <c r="Q437" s="136"/>
      <c r="R437" s="136"/>
      <c r="S437" s="136"/>
      <c r="T437" s="136"/>
      <c r="U437" s="136"/>
      <c r="V437" s="136"/>
      <c r="W437" s="136"/>
      <c r="X437" s="136"/>
      <c r="Y437" s="136"/>
      <c r="Z437" s="136"/>
      <c r="AA437" s="136"/>
      <c r="AB437" s="136"/>
    </row>
    <row r="438" spans="1:28" x14ac:dyDescent="0.2">
      <c r="A438" s="136"/>
      <c r="B438" s="136"/>
      <c r="C438" s="136"/>
      <c r="D438" s="136"/>
      <c r="E438" s="136"/>
      <c r="F438" s="136"/>
      <c r="G438" s="136"/>
      <c r="H438" s="136"/>
      <c r="I438" s="136"/>
      <c r="J438" s="136"/>
      <c r="K438" s="136"/>
      <c r="L438" s="136"/>
      <c r="M438" s="136"/>
      <c r="N438" s="136"/>
      <c r="O438" s="136"/>
      <c r="P438" s="136"/>
      <c r="Q438" s="136"/>
      <c r="R438" s="136"/>
      <c r="S438" s="136"/>
      <c r="T438" s="136"/>
      <c r="U438" s="136"/>
      <c r="V438" s="136"/>
      <c r="W438" s="136"/>
      <c r="X438" s="136"/>
      <c r="Y438" s="136"/>
      <c r="Z438" s="136"/>
      <c r="AA438" s="136"/>
      <c r="AB438" s="136"/>
    </row>
    <row r="439" spans="1:28" x14ac:dyDescent="0.2">
      <c r="A439" s="136"/>
      <c r="B439" s="136"/>
      <c r="C439" s="136"/>
      <c r="D439" s="136"/>
      <c r="E439" s="136"/>
      <c r="F439" s="136"/>
      <c r="G439" s="136"/>
      <c r="H439" s="136"/>
      <c r="I439" s="136"/>
      <c r="J439" s="136"/>
      <c r="K439" s="136"/>
      <c r="L439" s="136"/>
      <c r="M439" s="136"/>
      <c r="N439" s="136"/>
      <c r="O439" s="136"/>
      <c r="P439" s="136"/>
      <c r="Q439" s="136"/>
      <c r="R439" s="136"/>
      <c r="S439" s="136"/>
      <c r="T439" s="136"/>
      <c r="U439" s="136"/>
      <c r="V439" s="136"/>
      <c r="W439" s="136"/>
      <c r="X439" s="136"/>
      <c r="Y439" s="136"/>
      <c r="Z439" s="136"/>
      <c r="AA439" s="136"/>
      <c r="AB439" s="136"/>
    </row>
    <row r="440" spans="1:28" x14ac:dyDescent="0.2">
      <c r="A440" s="136"/>
      <c r="B440" s="136"/>
      <c r="C440" s="136"/>
      <c r="D440" s="136"/>
      <c r="E440" s="136"/>
      <c r="F440" s="136"/>
      <c r="G440" s="136"/>
      <c r="H440" s="136"/>
      <c r="I440" s="136"/>
      <c r="J440" s="136"/>
      <c r="K440" s="136"/>
      <c r="L440" s="136"/>
      <c r="M440" s="136"/>
      <c r="N440" s="136"/>
      <c r="O440" s="136"/>
      <c r="P440" s="136"/>
      <c r="Q440" s="136"/>
      <c r="R440" s="136"/>
      <c r="S440" s="136"/>
      <c r="T440" s="136"/>
      <c r="U440" s="136"/>
      <c r="V440" s="136"/>
      <c r="W440" s="136"/>
      <c r="X440" s="136"/>
      <c r="Y440" s="136"/>
      <c r="Z440" s="136"/>
      <c r="AA440" s="136"/>
      <c r="AB440" s="136"/>
    </row>
    <row r="441" spans="1:28" x14ac:dyDescent="0.2">
      <c r="A441" s="136"/>
      <c r="B441" s="136"/>
      <c r="C441" s="136"/>
      <c r="D441" s="136"/>
      <c r="E441" s="136"/>
      <c r="F441" s="136"/>
      <c r="G441" s="136"/>
      <c r="H441" s="136"/>
      <c r="I441" s="136"/>
      <c r="J441" s="136"/>
      <c r="K441" s="136"/>
      <c r="L441" s="136"/>
      <c r="M441" s="136"/>
      <c r="N441" s="136"/>
      <c r="O441" s="136"/>
      <c r="P441" s="136"/>
      <c r="Q441" s="136"/>
      <c r="R441" s="136"/>
      <c r="S441" s="136"/>
      <c r="T441" s="136"/>
      <c r="U441" s="136"/>
      <c r="V441" s="136"/>
      <c r="W441" s="136"/>
      <c r="X441" s="136"/>
      <c r="Y441" s="136"/>
      <c r="Z441" s="136"/>
      <c r="AA441" s="136"/>
      <c r="AB441" s="136"/>
    </row>
    <row r="442" spans="1:28" x14ac:dyDescent="0.2">
      <c r="A442" s="136"/>
      <c r="B442" s="136"/>
      <c r="C442" s="136"/>
      <c r="D442" s="136"/>
      <c r="E442" s="136"/>
      <c r="F442" s="136"/>
      <c r="G442" s="136"/>
      <c r="H442" s="136"/>
      <c r="I442" s="136"/>
      <c r="J442" s="136"/>
      <c r="K442" s="136"/>
      <c r="L442" s="136"/>
      <c r="M442" s="136"/>
      <c r="N442" s="136"/>
      <c r="O442" s="136"/>
      <c r="P442" s="136"/>
      <c r="Q442" s="136"/>
      <c r="R442" s="136"/>
      <c r="S442" s="136"/>
      <c r="T442" s="136"/>
      <c r="U442" s="136"/>
      <c r="V442" s="136"/>
      <c r="W442" s="136"/>
      <c r="X442" s="136"/>
      <c r="Y442" s="136"/>
      <c r="Z442" s="136"/>
      <c r="AA442" s="136"/>
      <c r="AB442" s="136"/>
    </row>
    <row r="443" spans="1:28" x14ac:dyDescent="0.2">
      <c r="A443" s="136"/>
      <c r="B443" s="136"/>
      <c r="C443" s="136"/>
      <c r="D443" s="136"/>
      <c r="E443" s="136"/>
      <c r="F443" s="136"/>
      <c r="G443" s="136"/>
      <c r="H443" s="136"/>
      <c r="I443" s="136"/>
      <c r="J443" s="136"/>
      <c r="K443" s="136"/>
      <c r="L443" s="136"/>
      <c r="M443" s="136"/>
      <c r="N443" s="136"/>
      <c r="O443" s="136"/>
      <c r="P443" s="136"/>
      <c r="Q443" s="136"/>
      <c r="R443" s="136"/>
      <c r="S443" s="136"/>
      <c r="T443" s="136"/>
      <c r="U443" s="136"/>
      <c r="V443" s="136"/>
      <c r="W443" s="136"/>
      <c r="X443" s="136"/>
      <c r="Y443" s="136"/>
      <c r="Z443" s="136"/>
      <c r="AA443" s="136"/>
      <c r="AB443" s="136"/>
    </row>
    <row r="444" spans="1:28" x14ac:dyDescent="0.2">
      <c r="A444" s="136"/>
      <c r="B444" s="136"/>
      <c r="C444" s="136"/>
      <c r="D444" s="136"/>
      <c r="E444" s="136"/>
      <c r="F444" s="136"/>
      <c r="G444" s="136"/>
      <c r="H444" s="136"/>
      <c r="I444" s="136"/>
      <c r="J444" s="136"/>
      <c r="K444" s="136"/>
      <c r="L444" s="136"/>
      <c r="M444" s="136"/>
      <c r="N444" s="136"/>
      <c r="O444" s="136"/>
      <c r="P444" s="136"/>
      <c r="Q444" s="136"/>
      <c r="R444" s="136"/>
      <c r="S444" s="136"/>
      <c r="T444" s="136"/>
      <c r="U444" s="136"/>
      <c r="V444" s="136"/>
      <c r="W444" s="136"/>
      <c r="X444" s="136"/>
      <c r="Y444" s="136"/>
      <c r="Z444" s="136"/>
      <c r="AA444" s="136"/>
      <c r="AB444" s="136"/>
    </row>
    <row r="445" spans="1:28" x14ac:dyDescent="0.2">
      <c r="A445" s="136"/>
      <c r="B445" s="136"/>
      <c r="C445" s="136"/>
      <c r="D445" s="136"/>
      <c r="E445" s="136"/>
      <c r="F445" s="136"/>
      <c r="G445" s="136"/>
      <c r="H445" s="136"/>
      <c r="I445" s="136"/>
      <c r="J445" s="136"/>
      <c r="K445" s="136"/>
      <c r="L445" s="136"/>
      <c r="M445" s="136"/>
      <c r="N445" s="136"/>
      <c r="O445" s="136"/>
      <c r="P445" s="136"/>
      <c r="Q445" s="136"/>
      <c r="R445" s="136"/>
      <c r="S445" s="136"/>
      <c r="T445" s="136"/>
      <c r="U445" s="136"/>
      <c r="V445" s="136"/>
      <c r="W445" s="136"/>
      <c r="X445" s="136"/>
      <c r="Y445" s="136"/>
      <c r="Z445" s="136"/>
      <c r="AA445" s="136"/>
      <c r="AB445" s="136"/>
    </row>
    <row r="446" spans="1:28" x14ac:dyDescent="0.2">
      <c r="A446" s="136"/>
      <c r="B446" s="136"/>
      <c r="C446" s="136"/>
      <c r="D446" s="136"/>
      <c r="E446" s="136"/>
      <c r="F446" s="136"/>
      <c r="G446" s="136"/>
      <c r="H446" s="136"/>
      <c r="I446" s="136"/>
      <c r="J446" s="136"/>
      <c r="K446" s="136"/>
      <c r="L446" s="136"/>
      <c r="M446" s="136"/>
      <c r="N446" s="136"/>
      <c r="O446" s="136"/>
      <c r="P446" s="136"/>
      <c r="Q446" s="136"/>
      <c r="R446" s="136"/>
      <c r="S446" s="136"/>
      <c r="T446" s="136"/>
      <c r="U446" s="136"/>
      <c r="V446" s="136"/>
      <c r="W446" s="136"/>
      <c r="X446" s="136"/>
      <c r="Y446" s="136"/>
      <c r="Z446" s="136"/>
      <c r="AA446" s="136"/>
      <c r="AB446" s="136"/>
    </row>
    <row r="447" spans="1:28" x14ac:dyDescent="0.2">
      <c r="A447" s="136"/>
      <c r="B447" s="136"/>
      <c r="C447" s="136"/>
      <c r="D447" s="136"/>
      <c r="E447" s="136"/>
      <c r="F447" s="136"/>
      <c r="G447" s="136"/>
      <c r="H447" s="136"/>
      <c r="I447" s="136"/>
      <c r="J447" s="136"/>
      <c r="K447" s="136"/>
      <c r="L447" s="136"/>
      <c r="M447" s="136"/>
      <c r="N447" s="136"/>
      <c r="O447" s="136"/>
      <c r="P447" s="136"/>
      <c r="Q447" s="136"/>
      <c r="R447" s="136"/>
      <c r="S447" s="136"/>
      <c r="T447" s="136"/>
      <c r="U447" s="136"/>
      <c r="V447" s="136"/>
      <c r="W447" s="136"/>
      <c r="X447" s="136"/>
      <c r="Y447" s="136"/>
      <c r="Z447" s="136"/>
      <c r="AA447" s="136"/>
      <c r="AB447" s="136"/>
    </row>
    <row r="448" spans="1:28" x14ac:dyDescent="0.2">
      <c r="A448" s="136"/>
      <c r="B448" s="136"/>
      <c r="C448" s="136"/>
      <c r="D448" s="136"/>
      <c r="E448" s="136"/>
      <c r="F448" s="136"/>
      <c r="G448" s="136"/>
      <c r="H448" s="136"/>
      <c r="I448" s="136"/>
      <c r="J448" s="136"/>
      <c r="K448" s="136"/>
      <c r="L448" s="136"/>
      <c r="M448" s="136"/>
      <c r="N448" s="136"/>
      <c r="O448" s="136"/>
      <c r="P448" s="136"/>
      <c r="Q448" s="136"/>
      <c r="R448" s="136"/>
      <c r="S448" s="136"/>
      <c r="T448" s="136"/>
      <c r="U448" s="136"/>
      <c r="V448" s="136"/>
      <c r="W448" s="136"/>
      <c r="X448" s="136"/>
      <c r="Y448" s="136"/>
      <c r="Z448" s="136"/>
      <c r="AA448" s="136"/>
      <c r="AB448" s="136"/>
    </row>
    <row r="449" spans="1:28" x14ac:dyDescent="0.2">
      <c r="A449" s="136"/>
      <c r="B449" s="136"/>
      <c r="C449" s="136"/>
      <c r="D449" s="136"/>
      <c r="E449" s="136"/>
      <c r="F449" s="136"/>
      <c r="G449" s="136"/>
      <c r="H449" s="136"/>
      <c r="I449" s="136"/>
      <c r="J449" s="136"/>
      <c r="K449" s="136"/>
      <c r="L449" s="136"/>
      <c r="M449" s="136"/>
      <c r="N449" s="136"/>
      <c r="O449" s="136"/>
      <c r="P449" s="136"/>
      <c r="Q449" s="136"/>
      <c r="R449" s="136"/>
      <c r="S449" s="136"/>
      <c r="T449" s="136"/>
      <c r="U449" s="136"/>
      <c r="V449" s="136"/>
      <c r="W449" s="136"/>
      <c r="X449" s="136"/>
      <c r="Y449" s="136"/>
      <c r="Z449" s="136"/>
      <c r="AA449" s="136"/>
      <c r="AB449" s="136"/>
    </row>
    <row r="450" spans="1:28" x14ac:dyDescent="0.2">
      <c r="A450" s="136"/>
      <c r="B450" s="136"/>
      <c r="C450" s="136"/>
      <c r="D450" s="136"/>
      <c r="E450" s="136"/>
      <c r="F450" s="136"/>
      <c r="G450" s="136"/>
      <c r="H450" s="136"/>
      <c r="I450" s="136"/>
      <c r="J450" s="136"/>
      <c r="K450" s="136"/>
      <c r="L450" s="136"/>
      <c r="M450" s="136"/>
      <c r="N450" s="136"/>
      <c r="O450" s="136"/>
      <c r="P450" s="136"/>
      <c r="Q450" s="136"/>
      <c r="R450" s="136"/>
      <c r="S450" s="136"/>
      <c r="T450" s="136"/>
      <c r="U450" s="136"/>
      <c r="V450" s="136"/>
      <c r="W450" s="136"/>
      <c r="X450" s="136"/>
      <c r="Y450" s="136"/>
      <c r="Z450" s="136"/>
      <c r="AA450" s="136"/>
      <c r="AB450" s="136"/>
    </row>
    <row r="451" spans="1:28" x14ac:dyDescent="0.2">
      <c r="A451" s="136"/>
      <c r="B451" s="136"/>
      <c r="C451" s="136"/>
      <c r="D451" s="136"/>
      <c r="E451" s="136"/>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36"/>
    </row>
    <row r="452" spans="1:28" x14ac:dyDescent="0.2">
      <c r="A452" s="136"/>
      <c r="B452" s="136"/>
      <c r="C452" s="136"/>
      <c r="D452" s="136"/>
      <c r="E452" s="136"/>
      <c r="F452" s="136"/>
      <c r="G452" s="136"/>
      <c r="H452" s="136"/>
      <c r="I452" s="136"/>
      <c r="J452" s="136"/>
      <c r="K452" s="136"/>
      <c r="L452" s="136"/>
      <c r="M452" s="136"/>
      <c r="N452" s="136"/>
      <c r="O452" s="136"/>
      <c r="P452" s="136"/>
      <c r="Q452" s="136"/>
      <c r="R452" s="136"/>
      <c r="S452" s="136"/>
      <c r="T452" s="136"/>
      <c r="U452" s="136"/>
      <c r="V452" s="136"/>
      <c r="W452" s="136"/>
      <c r="X452" s="136"/>
      <c r="Y452" s="136"/>
      <c r="Z452" s="136"/>
      <c r="AA452" s="136"/>
      <c r="AB452" s="136"/>
    </row>
    <row r="453" spans="1:28" x14ac:dyDescent="0.2">
      <c r="A453" s="136"/>
      <c r="B453" s="136"/>
      <c r="C453" s="136"/>
      <c r="D453" s="136"/>
      <c r="E453" s="136"/>
      <c r="F453" s="136"/>
      <c r="G453" s="136"/>
      <c r="H453" s="136"/>
      <c r="I453" s="136"/>
      <c r="J453" s="136"/>
      <c r="K453" s="136"/>
      <c r="L453" s="136"/>
      <c r="M453" s="136"/>
      <c r="N453" s="136"/>
      <c r="O453" s="136"/>
      <c r="P453" s="136"/>
      <c r="Q453" s="136"/>
      <c r="R453" s="136"/>
      <c r="S453" s="136"/>
      <c r="T453" s="136"/>
      <c r="U453" s="136"/>
      <c r="V453" s="136"/>
      <c r="W453" s="136"/>
      <c r="X453" s="136"/>
      <c r="Y453" s="136"/>
      <c r="Z453" s="136"/>
      <c r="AA453" s="136"/>
      <c r="AB453" s="136"/>
    </row>
    <row r="454" spans="1:28" x14ac:dyDescent="0.2">
      <c r="A454" s="136"/>
      <c r="B454" s="136"/>
      <c r="C454" s="136"/>
      <c r="D454" s="136"/>
      <c r="E454" s="136"/>
      <c r="F454" s="136"/>
      <c r="G454" s="136"/>
      <c r="H454" s="136"/>
      <c r="I454" s="136"/>
      <c r="J454" s="136"/>
      <c r="K454" s="136"/>
      <c r="L454" s="136"/>
      <c r="M454" s="136"/>
      <c r="N454" s="136"/>
      <c r="O454" s="136"/>
      <c r="P454" s="136"/>
      <c r="Q454" s="136"/>
      <c r="R454" s="136"/>
      <c r="S454" s="136"/>
      <c r="T454" s="136"/>
      <c r="U454" s="136"/>
      <c r="V454" s="136"/>
      <c r="W454" s="136"/>
      <c r="X454" s="136"/>
      <c r="Y454" s="136"/>
      <c r="Z454" s="136"/>
      <c r="AA454" s="136"/>
      <c r="AB454" s="136"/>
    </row>
    <row r="455" spans="1:28" x14ac:dyDescent="0.2">
      <c r="A455" s="136"/>
      <c r="B455" s="136"/>
      <c r="C455" s="136"/>
      <c r="D455" s="136"/>
      <c r="E455" s="136"/>
      <c r="F455" s="136"/>
      <c r="G455" s="136"/>
      <c r="H455" s="136"/>
      <c r="I455" s="136"/>
      <c r="J455" s="136"/>
      <c r="K455" s="136"/>
      <c r="L455" s="136"/>
      <c r="M455" s="136"/>
      <c r="N455" s="136"/>
      <c r="O455" s="136"/>
      <c r="P455" s="136"/>
      <c r="Q455" s="136"/>
      <c r="R455" s="136"/>
      <c r="S455" s="136"/>
      <c r="T455" s="136"/>
      <c r="U455" s="136"/>
      <c r="V455" s="136"/>
      <c r="W455" s="136"/>
      <c r="X455" s="136"/>
      <c r="Y455" s="136"/>
      <c r="Z455" s="136"/>
      <c r="AA455" s="136"/>
      <c r="AB455" s="136"/>
    </row>
    <row r="456" spans="1:28" x14ac:dyDescent="0.2">
      <c r="A456" s="136"/>
      <c r="B456" s="136"/>
      <c r="C456" s="136"/>
      <c r="D456" s="136"/>
      <c r="E456" s="136"/>
      <c r="F456" s="136"/>
      <c r="G456" s="136"/>
      <c r="H456" s="136"/>
      <c r="I456" s="136"/>
      <c r="J456" s="136"/>
      <c r="K456" s="136"/>
      <c r="L456" s="136"/>
      <c r="M456" s="136"/>
      <c r="N456" s="136"/>
      <c r="O456" s="136"/>
      <c r="P456" s="136"/>
      <c r="Q456" s="136"/>
      <c r="R456" s="136"/>
      <c r="S456" s="136"/>
      <c r="T456" s="136"/>
      <c r="U456" s="136"/>
      <c r="V456" s="136"/>
      <c r="W456" s="136"/>
      <c r="X456" s="136"/>
      <c r="Y456" s="136"/>
      <c r="Z456" s="136"/>
      <c r="AA456" s="136"/>
      <c r="AB456" s="136"/>
    </row>
    <row r="457" spans="1:28" x14ac:dyDescent="0.2">
      <c r="A457" s="136"/>
      <c r="B457" s="136"/>
      <c r="C457" s="136"/>
      <c r="D457" s="136"/>
      <c r="E457" s="136"/>
      <c r="F457" s="136"/>
      <c r="G457" s="136"/>
      <c r="H457" s="136"/>
      <c r="I457" s="136"/>
      <c r="J457" s="136"/>
      <c r="K457" s="136"/>
      <c r="L457" s="136"/>
      <c r="M457" s="136"/>
      <c r="N457" s="136"/>
      <c r="O457" s="136"/>
      <c r="P457" s="136"/>
      <c r="Q457" s="136"/>
      <c r="R457" s="136"/>
      <c r="S457" s="136"/>
      <c r="T457" s="136"/>
      <c r="U457" s="136"/>
      <c r="V457" s="136"/>
      <c r="W457" s="136"/>
      <c r="X457" s="136"/>
      <c r="Y457" s="136"/>
      <c r="Z457" s="136"/>
      <c r="AA457" s="136"/>
      <c r="AB457" s="136"/>
    </row>
    <row r="458" spans="1:28" x14ac:dyDescent="0.2">
      <c r="A458" s="136"/>
      <c r="B458" s="136"/>
      <c r="C458" s="136"/>
      <c r="D458" s="136"/>
      <c r="E458" s="136"/>
      <c r="F458" s="136"/>
      <c r="G458" s="136"/>
      <c r="H458" s="136"/>
      <c r="I458" s="136"/>
      <c r="J458" s="136"/>
      <c r="K458" s="136"/>
      <c r="L458" s="136"/>
      <c r="M458" s="136"/>
      <c r="N458" s="136"/>
      <c r="O458" s="136"/>
      <c r="P458" s="136"/>
      <c r="Q458" s="136"/>
      <c r="R458" s="136"/>
      <c r="S458" s="136"/>
      <c r="T458" s="136"/>
      <c r="U458" s="136"/>
      <c r="V458" s="136"/>
      <c r="W458" s="136"/>
      <c r="X458" s="136"/>
      <c r="Y458" s="136"/>
      <c r="Z458" s="136"/>
      <c r="AA458" s="136"/>
      <c r="AB458" s="136"/>
    </row>
    <row r="459" spans="1:28" x14ac:dyDescent="0.2">
      <c r="A459" s="136"/>
      <c r="B459" s="136"/>
      <c r="C459" s="136"/>
      <c r="D459" s="136"/>
      <c r="E459" s="136"/>
      <c r="F459" s="136"/>
      <c r="G459" s="136"/>
      <c r="H459" s="136"/>
      <c r="I459" s="136"/>
      <c r="J459" s="136"/>
      <c r="K459" s="136"/>
      <c r="L459" s="136"/>
      <c r="M459" s="136"/>
      <c r="N459" s="136"/>
      <c r="O459" s="136"/>
      <c r="P459" s="136"/>
      <c r="Q459" s="136"/>
      <c r="R459" s="136"/>
      <c r="S459" s="136"/>
      <c r="T459" s="136"/>
      <c r="U459" s="136"/>
      <c r="V459" s="136"/>
      <c r="W459" s="136"/>
      <c r="X459" s="136"/>
      <c r="Y459" s="136"/>
      <c r="Z459" s="136"/>
      <c r="AA459" s="136"/>
      <c r="AB459" s="136"/>
    </row>
    <row r="460" spans="1:28" x14ac:dyDescent="0.2">
      <c r="A460" s="136"/>
      <c r="B460" s="136"/>
      <c r="C460" s="136"/>
      <c r="D460" s="136"/>
      <c r="E460" s="136"/>
      <c r="F460" s="136"/>
      <c r="G460" s="136"/>
      <c r="H460" s="136"/>
      <c r="I460" s="136"/>
      <c r="J460" s="136"/>
      <c r="K460" s="136"/>
      <c r="L460" s="136"/>
      <c r="M460" s="136"/>
      <c r="N460" s="136"/>
      <c r="O460" s="136"/>
      <c r="P460" s="136"/>
      <c r="Q460" s="136"/>
      <c r="R460" s="136"/>
      <c r="S460" s="136"/>
      <c r="T460" s="136"/>
      <c r="U460" s="136"/>
      <c r="V460" s="136"/>
      <c r="W460" s="136"/>
      <c r="X460" s="136"/>
      <c r="Y460" s="136"/>
      <c r="Z460" s="136"/>
      <c r="AA460" s="136"/>
      <c r="AB460" s="136"/>
    </row>
    <row r="461" spans="1:28" x14ac:dyDescent="0.2">
      <c r="A461" s="136"/>
      <c r="B461" s="136"/>
      <c r="C461" s="136"/>
      <c r="D461" s="136"/>
      <c r="E461" s="136"/>
      <c r="F461" s="136"/>
      <c r="G461" s="136"/>
      <c r="H461" s="136"/>
      <c r="I461" s="136"/>
      <c r="J461" s="136"/>
      <c r="K461" s="136"/>
      <c r="L461" s="136"/>
      <c r="M461" s="136"/>
      <c r="N461" s="136"/>
      <c r="O461" s="136"/>
      <c r="P461" s="136"/>
      <c r="Q461" s="136"/>
      <c r="R461" s="136"/>
      <c r="S461" s="136"/>
      <c r="T461" s="136"/>
      <c r="U461" s="136"/>
      <c r="V461" s="136"/>
      <c r="W461" s="136"/>
      <c r="X461" s="136"/>
      <c r="Y461" s="136"/>
      <c r="Z461" s="136"/>
      <c r="AA461" s="136"/>
      <c r="AB461" s="136"/>
    </row>
    <row r="462" spans="1:28" x14ac:dyDescent="0.2">
      <c r="A462" s="136"/>
      <c r="B462" s="136"/>
      <c r="C462" s="136"/>
      <c r="D462" s="136"/>
      <c r="E462" s="136"/>
      <c r="F462" s="136"/>
      <c r="G462" s="136"/>
      <c r="H462" s="136"/>
      <c r="I462" s="136"/>
      <c r="J462" s="136"/>
      <c r="K462" s="136"/>
      <c r="L462" s="136"/>
      <c r="M462" s="136"/>
      <c r="N462" s="136"/>
      <c r="O462" s="136"/>
      <c r="P462" s="136"/>
      <c r="Q462" s="136"/>
      <c r="R462" s="136"/>
      <c r="S462" s="136"/>
      <c r="T462" s="136"/>
      <c r="U462" s="136"/>
      <c r="V462" s="136"/>
      <c r="W462" s="136"/>
      <c r="X462" s="136"/>
      <c r="Y462" s="136"/>
      <c r="Z462" s="136"/>
      <c r="AA462" s="136"/>
      <c r="AB462" s="136"/>
    </row>
    <row r="463" spans="1:28" x14ac:dyDescent="0.2">
      <c r="A463" s="136"/>
      <c r="B463" s="136"/>
      <c r="C463" s="136"/>
      <c r="D463" s="136"/>
      <c r="E463" s="136"/>
      <c r="F463" s="136"/>
      <c r="G463" s="136"/>
      <c r="H463" s="136"/>
      <c r="I463" s="136"/>
      <c r="J463" s="136"/>
      <c r="K463" s="136"/>
      <c r="L463" s="136"/>
      <c r="M463" s="136"/>
      <c r="N463" s="136"/>
      <c r="O463" s="136"/>
      <c r="P463" s="136"/>
      <c r="Q463" s="136"/>
      <c r="R463" s="136"/>
      <c r="S463" s="136"/>
      <c r="T463" s="136"/>
      <c r="U463" s="136"/>
      <c r="V463" s="136"/>
      <c r="W463" s="136"/>
      <c r="X463" s="136"/>
      <c r="Y463" s="136"/>
      <c r="Z463" s="136"/>
      <c r="AA463" s="136"/>
      <c r="AB463" s="136"/>
    </row>
    <row r="464" spans="1:28" x14ac:dyDescent="0.2">
      <c r="A464" s="136"/>
      <c r="B464" s="136"/>
      <c r="C464" s="136"/>
      <c r="D464" s="136"/>
      <c r="E464" s="136"/>
      <c r="F464" s="136"/>
      <c r="G464" s="136"/>
      <c r="H464" s="136"/>
      <c r="I464" s="136"/>
      <c r="J464" s="136"/>
      <c r="K464" s="136"/>
      <c r="L464" s="136"/>
      <c r="M464" s="136"/>
      <c r="N464" s="136"/>
      <c r="O464" s="136"/>
      <c r="P464" s="136"/>
      <c r="Q464" s="136"/>
      <c r="R464" s="136"/>
      <c r="S464" s="136"/>
      <c r="T464" s="136"/>
      <c r="U464" s="136"/>
      <c r="V464" s="136"/>
      <c r="W464" s="136"/>
      <c r="X464" s="136"/>
      <c r="Y464" s="136"/>
      <c r="Z464" s="136"/>
      <c r="AA464" s="136"/>
      <c r="AB464" s="136"/>
    </row>
    <row r="465" spans="1:28" x14ac:dyDescent="0.2">
      <c r="A465" s="136"/>
      <c r="B465" s="136"/>
      <c r="C465" s="136"/>
      <c r="D465" s="136"/>
      <c r="E465" s="136"/>
      <c r="F465" s="136"/>
      <c r="G465" s="136"/>
      <c r="H465" s="136"/>
      <c r="I465" s="136"/>
      <c r="J465" s="136"/>
      <c r="K465" s="136"/>
      <c r="L465" s="136"/>
      <c r="M465" s="136"/>
      <c r="N465" s="136"/>
      <c r="O465" s="136"/>
      <c r="P465" s="136"/>
      <c r="Q465" s="136"/>
      <c r="R465" s="136"/>
      <c r="S465" s="136"/>
      <c r="T465" s="136"/>
      <c r="U465" s="136"/>
      <c r="V465" s="136"/>
      <c r="W465" s="136"/>
      <c r="X465" s="136"/>
      <c r="Y465" s="136"/>
      <c r="Z465" s="136"/>
      <c r="AA465" s="136"/>
      <c r="AB465" s="136"/>
    </row>
    <row r="466" spans="1:28" x14ac:dyDescent="0.2">
      <c r="A466" s="136"/>
      <c r="B466" s="136"/>
      <c r="C466" s="136"/>
      <c r="D466" s="136"/>
      <c r="E466" s="136"/>
      <c r="F466" s="136"/>
      <c r="G466" s="136"/>
      <c r="H466" s="136"/>
      <c r="I466" s="136"/>
      <c r="J466" s="136"/>
      <c r="K466" s="136"/>
      <c r="L466" s="136"/>
      <c r="M466" s="136"/>
      <c r="N466" s="136"/>
      <c r="O466" s="136"/>
      <c r="P466" s="136"/>
      <c r="Q466" s="136"/>
      <c r="R466" s="136"/>
      <c r="S466" s="136"/>
      <c r="T466" s="136"/>
      <c r="U466" s="136"/>
      <c r="V466" s="136"/>
      <c r="W466" s="136"/>
      <c r="X466" s="136"/>
      <c r="Y466" s="136"/>
      <c r="Z466" s="136"/>
      <c r="AA466" s="136"/>
      <c r="AB466" s="136"/>
    </row>
    <row r="467" spans="1:28" x14ac:dyDescent="0.2">
      <c r="A467" s="136"/>
      <c r="B467" s="136"/>
      <c r="C467" s="136"/>
      <c r="D467" s="136"/>
      <c r="E467" s="136"/>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36"/>
    </row>
    <row r="468" spans="1:28" x14ac:dyDescent="0.2">
      <c r="A468" s="136"/>
      <c r="B468" s="136"/>
      <c r="C468" s="136"/>
      <c r="D468" s="136"/>
      <c r="E468" s="136"/>
      <c r="F468" s="136"/>
      <c r="G468" s="136"/>
      <c r="H468" s="136"/>
      <c r="I468" s="136"/>
      <c r="J468" s="136"/>
      <c r="K468" s="136"/>
      <c r="L468" s="136"/>
      <c r="M468" s="136"/>
      <c r="N468" s="136"/>
      <c r="O468" s="136"/>
      <c r="P468" s="136"/>
      <c r="Q468" s="136"/>
      <c r="R468" s="136"/>
      <c r="S468" s="136"/>
      <c r="T468" s="136"/>
      <c r="U468" s="136"/>
      <c r="V468" s="136"/>
      <c r="W468" s="136"/>
      <c r="X468" s="136"/>
      <c r="Y468" s="136"/>
      <c r="Z468" s="136"/>
      <c r="AA468" s="136"/>
      <c r="AB468" s="136"/>
    </row>
    <row r="469" spans="1:28" x14ac:dyDescent="0.2">
      <c r="A469" s="136"/>
      <c r="B469" s="136"/>
      <c r="C469" s="136"/>
      <c r="D469" s="136"/>
      <c r="E469" s="136"/>
      <c r="F469" s="136"/>
      <c r="G469" s="136"/>
      <c r="H469" s="136"/>
      <c r="I469" s="136"/>
      <c r="J469" s="136"/>
      <c r="K469" s="136"/>
      <c r="L469" s="136"/>
      <c r="M469" s="136"/>
      <c r="N469" s="136"/>
      <c r="O469" s="136"/>
      <c r="P469" s="136"/>
      <c r="Q469" s="136"/>
      <c r="R469" s="136"/>
      <c r="S469" s="136"/>
      <c r="T469" s="136"/>
      <c r="U469" s="136"/>
      <c r="V469" s="136"/>
      <c r="W469" s="136"/>
      <c r="X469" s="136"/>
      <c r="Y469" s="136"/>
      <c r="Z469" s="136"/>
      <c r="AA469" s="136"/>
      <c r="AB469" s="136"/>
    </row>
    <row r="470" spans="1:28" x14ac:dyDescent="0.2">
      <c r="A470" s="136"/>
      <c r="B470" s="136"/>
      <c r="C470" s="136"/>
      <c r="D470" s="136"/>
      <c r="E470" s="136"/>
      <c r="F470" s="136"/>
      <c r="G470" s="136"/>
      <c r="H470" s="136"/>
      <c r="I470" s="136"/>
      <c r="J470" s="136"/>
      <c r="K470" s="136"/>
      <c r="L470" s="136"/>
      <c r="M470" s="136"/>
      <c r="N470" s="136"/>
      <c r="O470" s="136"/>
      <c r="P470" s="136"/>
      <c r="Q470" s="136"/>
      <c r="R470" s="136"/>
      <c r="S470" s="136"/>
      <c r="T470" s="136"/>
      <c r="U470" s="136"/>
      <c r="V470" s="136"/>
      <c r="W470" s="136"/>
      <c r="X470" s="136"/>
      <c r="Y470" s="136"/>
      <c r="Z470" s="136"/>
      <c r="AA470" s="136"/>
      <c r="AB470" s="136"/>
    </row>
    <row r="471" spans="1:28" x14ac:dyDescent="0.2">
      <c r="A471" s="136"/>
      <c r="B471" s="136"/>
      <c r="C471" s="136"/>
      <c r="D471" s="136"/>
      <c r="E471" s="136"/>
      <c r="F471" s="136"/>
      <c r="G471" s="136"/>
      <c r="H471" s="136"/>
      <c r="I471" s="136"/>
      <c r="J471" s="136"/>
      <c r="K471" s="136"/>
      <c r="L471" s="136"/>
      <c r="M471" s="136"/>
      <c r="N471" s="136"/>
      <c r="O471" s="136"/>
      <c r="P471" s="136"/>
      <c r="Q471" s="136"/>
      <c r="R471" s="136"/>
      <c r="S471" s="136"/>
      <c r="T471" s="136"/>
      <c r="U471" s="136"/>
      <c r="V471" s="136"/>
      <c r="W471" s="136"/>
      <c r="X471" s="136"/>
      <c r="Y471" s="136"/>
      <c r="Z471" s="136"/>
      <c r="AA471" s="136"/>
      <c r="AB471" s="136"/>
    </row>
    <row r="472" spans="1:28" x14ac:dyDescent="0.2">
      <c r="A472" s="136"/>
      <c r="B472" s="136"/>
      <c r="C472" s="136"/>
      <c r="D472" s="136"/>
      <c r="E472" s="136"/>
      <c r="F472" s="136"/>
      <c r="G472" s="136"/>
      <c r="H472" s="136"/>
      <c r="I472" s="136"/>
      <c r="J472" s="136"/>
      <c r="K472" s="136"/>
      <c r="L472" s="136"/>
      <c r="M472" s="136"/>
      <c r="N472" s="136"/>
      <c r="O472" s="136"/>
      <c r="P472" s="136"/>
      <c r="Q472" s="136"/>
      <c r="R472" s="136"/>
      <c r="S472" s="136"/>
      <c r="T472" s="136"/>
      <c r="U472" s="136"/>
      <c r="V472" s="136"/>
      <c r="W472" s="136"/>
      <c r="X472" s="136"/>
      <c r="Y472" s="136"/>
      <c r="Z472" s="136"/>
      <c r="AA472" s="136"/>
      <c r="AB472" s="136"/>
    </row>
    <row r="473" spans="1:28" x14ac:dyDescent="0.2">
      <c r="A473" s="136"/>
      <c r="B473" s="136"/>
      <c r="C473" s="136"/>
      <c r="D473" s="136"/>
      <c r="E473" s="136"/>
      <c r="F473" s="136"/>
      <c r="G473" s="136"/>
      <c r="H473" s="136"/>
      <c r="I473" s="136"/>
      <c r="J473" s="136"/>
      <c r="K473" s="136"/>
      <c r="L473" s="136"/>
      <c r="M473" s="136"/>
      <c r="N473" s="136"/>
      <c r="O473" s="136"/>
      <c r="P473" s="136"/>
      <c r="Q473" s="136"/>
      <c r="R473" s="136"/>
      <c r="S473" s="136"/>
      <c r="T473" s="136"/>
      <c r="U473" s="136"/>
      <c r="V473" s="136"/>
      <c r="W473" s="136"/>
      <c r="X473" s="136"/>
      <c r="Y473" s="136"/>
      <c r="Z473" s="136"/>
      <c r="AA473" s="136"/>
      <c r="AB473" s="136"/>
    </row>
    <row r="474" spans="1:28" x14ac:dyDescent="0.2">
      <c r="A474" s="136"/>
      <c r="B474" s="136"/>
      <c r="C474" s="136"/>
      <c r="D474" s="136"/>
      <c r="E474" s="136"/>
      <c r="F474" s="136"/>
      <c r="G474" s="136"/>
      <c r="H474" s="136"/>
      <c r="I474" s="136"/>
      <c r="J474" s="136"/>
      <c r="K474" s="136"/>
      <c r="L474" s="136"/>
      <c r="M474" s="136"/>
      <c r="N474" s="136"/>
      <c r="O474" s="136"/>
      <c r="P474" s="136"/>
      <c r="Q474" s="136"/>
      <c r="R474" s="136"/>
      <c r="S474" s="136"/>
      <c r="T474" s="136"/>
      <c r="U474" s="136"/>
      <c r="V474" s="136"/>
      <c r="W474" s="136"/>
      <c r="X474" s="136"/>
      <c r="Y474" s="136"/>
      <c r="Z474" s="136"/>
      <c r="AA474" s="136"/>
      <c r="AB474" s="136"/>
    </row>
    <row r="475" spans="1:28" x14ac:dyDescent="0.2">
      <c r="A475" s="136"/>
      <c r="B475" s="136"/>
      <c r="C475" s="136"/>
      <c r="D475" s="136"/>
      <c r="E475" s="136"/>
      <c r="F475" s="136"/>
      <c r="G475" s="136"/>
      <c r="H475" s="136"/>
      <c r="I475" s="136"/>
      <c r="J475" s="136"/>
      <c r="K475" s="136"/>
      <c r="L475" s="136"/>
      <c r="M475" s="136"/>
      <c r="N475" s="136"/>
      <c r="O475" s="136"/>
      <c r="P475" s="136"/>
      <c r="Q475" s="136"/>
      <c r="R475" s="136"/>
      <c r="S475" s="136"/>
      <c r="T475" s="136"/>
      <c r="U475" s="136"/>
      <c r="V475" s="136"/>
      <c r="W475" s="136"/>
      <c r="X475" s="136"/>
      <c r="Y475" s="136"/>
      <c r="Z475" s="136"/>
      <c r="AA475" s="136"/>
      <c r="AB475" s="136"/>
    </row>
    <row r="476" spans="1:28" x14ac:dyDescent="0.2">
      <c r="A476" s="136"/>
      <c r="B476" s="136"/>
      <c r="C476" s="136"/>
      <c r="D476" s="136"/>
      <c r="E476" s="136"/>
      <c r="F476" s="136"/>
      <c r="G476" s="136"/>
      <c r="H476" s="136"/>
      <c r="I476" s="136"/>
      <c r="J476" s="136"/>
      <c r="K476" s="136"/>
      <c r="L476" s="136"/>
      <c r="M476" s="136"/>
      <c r="N476" s="136"/>
      <c r="O476" s="136"/>
      <c r="P476" s="136"/>
      <c r="Q476" s="136"/>
      <c r="R476" s="136"/>
      <c r="S476" s="136"/>
      <c r="T476" s="136"/>
      <c r="U476" s="136"/>
      <c r="V476" s="136"/>
      <c r="W476" s="136"/>
      <c r="X476" s="136"/>
      <c r="Y476" s="136"/>
      <c r="Z476" s="136"/>
      <c r="AA476" s="136"/>
      <c r="AB476" s="136"/>
    </row>
    <row r="477" spans="1:28" x14ac:dyDescent="0.2">
      <c r="A477" s="136"/>
      <c r="B477" s="136"/>
      <c r="C477" s="136"/>
      <c r="D477" s="136"/>
      <c r="E477" s="136"/>
      <c r="F477" s="136"/>
      <c r="G477" s="136"/>
      <c r="H477" s="136"/>
      <c r="I477" s="136"/>
      <c r="J477" s="136"/>
      <c r="K477" s="136"/>
      <c r="L477" s="136"/>
      <c r="M477" s="136"/>
      <c r="N477" s="136"/>
      <c r="O477" s="136"/>
      <c r="P477" s="136"/>
      <c r="Q477" s="136"/>
      <c r="R477" s="136"/>
      <c r="S477" s="136"/>
      <c r="T477" s="136"/>
      <c r="U477" s="136"/>
      <c r="V477" s="136"/>
      <c r="W477" s="136"/>
      <c r="X477" s="136"/>
      <c r="Y477" s="136"/>
      <c r="Z477" s="136"/>
      <c r="AA477" s="136"/>
      <c r="AB477" s="136"/>
    </row>
    <row r="478" spans="1:28" x14ac:dyDescent="0.2">
      <c r="A478" s="136"/>
      <c r="B478" s="136"/>
      <c r="C478" s="136"/>
      <c r="D478" s="136"/>
      <c r="E478" s="136"/>
      <c r="F478" s="136"/>
      <c r="G478" s="136"/>
      <c r="H478" s="136"/>
      <c r="I478" s="136"/>
      <c r="J478" s="136"/>
      <c r="K478" s="136"/>
      <c r="L478" s="136"/>
      <c r="M478" s="136"/>
      <c r="N478" s="136"/>
      <c r="O478" s="136"/>
      <c r="P478" s="136"/>
      <c r="Q478" s="136"/>
      <c r="R478" s="136"/>
      <c r="S478" s="136"/>
      <c r="T478" s="136"/>
      <c r="U478" s="136"/>
      <c r="V478" s="136"/>
      <c r="W478" s="136"/>
      <c r="X478" s="136"/>
      <c r="Y478" s="136"/>
      <c r="Z478" s="136"/>
      <c r="AA478" s="136"/>
      <c r="AB478" s="136"/>
    </row>
    <row r="479" spans="1:28" x14ac:dyDescent="0.2">
      <c r="A479" s="136"/>
      <c r="B479" s="136"/>
      <c r="C479" s="136"/>
      <c r="D479" s="136"/>
      <c r="E479" s="136"/>
      <c r="F479" s="136"/>
      <c r="G479" s="136"/>
      <c r="H479" s="136"/>
      <c r="I479" s="136"/>
      <c r="J479" s="136"/>
      <c r="K479" s="136"/>
      <c r="L479" s="136"/>
      <c r="M479" s="136"/>
      <c r="N479" s="136"/>
      <c r="O479" s="136"/>
      <c r="P479" s="136"/>
      <c r="Q479" s="136"/>
      <c r="R479" s="136"/>
      <c r="S479" s="136"/>
      <c r="T479" s="136"/>
      <c r="U479" s="136"/>
      <c r="V479" s="136"/>
      <c r="W479" s="136"/>
      <c r="X479" s="136"/>
      <c r="Y479" s="136"/>
      <c r="Z479" s="136"/>
      <c r="AA479" s="136"/>
      <c r="AB479" s="136"/>
    </row>
    <row r="480" spans="1:28" x14ac:dyDescent="0.2">
      <c r="A480" s="136"/>
      <c r="B480" s="136"/>
      <c r="C480" s="136"/>
      <c r="D480" s="136"/>
      <c r="E480" s="136"/>
      <c r="F480" s="136"/>
      <c r="G480" s="136"/>
      <c r="H480" s="136"/>
      <c r="I480" s="136"/>
      <c r="J480" s="136"/>
      <c r="K480" s="136"/>
      <c r="L480" s="136"/>
      <c r="M480" s="136"/>
      <c r="N480" s="136"/>
      <c r="O480" s="136"/>
      <c r="P480" s="136"/>
      <c r="Q480" s="136"/>
      <c r="R480" s="136"/>
      <c r="S480" s="136"/>
      <c r="T480" s="136"/>
      <c r="U480" s="136"/>
      <c r="V480" s="136"/>
      <c r="W480" s="136"/>
      <c r="X480" s="136"/>
      <c r="Y480" s="136"/>
      <c r="Z480" s="136"/>
      <c r="AA480" s="136"/>
      <c r="AB480" s="136"/>
    </row>
    <row r="481" spans="1:28" x14ac:dyDescent="0.2">
      <c r="A481" s="136"/>
      <c r="B481" s="136"/>
      <c r="C481" s="136"/>
      <c r="D481" s="136"/>
      <c r="E481" s="136"/>
      <c r="F481" s="136"/>
      <c r="G481" s="136"/>
      <c r="H481" s="136"/>
      <c r="I481" s="136"/>
      <c r="J481" s="136"/>
      <c r="K481" s="136"/>
      <c r="L481" s="136"/>
      <c r="M481" s="136"/>
      <c r="N481" s="136"/>
      <c r="O481" s="136"/>
      <c r="P481" s="136"/>
      <c r="Q481" s="136"/>
      <c r="R481" s="136"/>
      <c r="S481" s="136"/>
      <c r="T481" s="136"/>
      <c r="U481" s="136"/>
      <c r="V481" s="136"/>
      <c r="W481" s="136"/>
      <c r="X481" s="136"/>
      <c r="Y481" s="136"/>
      <c r="Z481" s="136"/>
      <c r="AA481" s="136"/>
      <c r="AB481" s="136"/>
    </row>
    <row r="482" spans="1:28" x14ac:dyDescent="0.2">
      <c r="A482" s="136"/>
      <c r="B482" s="136"/>
      <c r="C482" s="136"/>
      <c r="D482" s="136"/>
      <c r="E482" s="136"/>
      <c r="F482" s="136"/>
      <c r="G482" s="136"/>
      <c r="H482" s="136"/>
      <c r="I482" s="136"/>
      <c r="J482" s="136"/>
      <c r="K482" s="136"/>
      <c r="L482" s="136"/>
      <c r="M482" s="136"/>
      <c r="N482" s="136"/>
      <c r="O482" s="136"/>
      <c r="P482" s="136"/>
      <c r="Q482" s="136"/>
      <c r="R482" s="136"/>
      <c r="S482" s="136"/>
      <c r="T482" s="136"/>
      <c r="U482" s="136"/>
      <c r="V482" s="136"/>
      <c r="W482" s="136"/>
      <c r="X482" s="136"/>
      <c r="Y482" s="136"/>
      <c r="Z482" s="136"/>
      <c r="AA482" s="136"/>
      <c r="AB482" s="136"/>
    </row>
    <row r="483" spans="1:28" x14ac:dyDescent="0.2">
      <c r="A483" s="136"/>
      <c r="B483" s="136"/>
      <c r="C483" s="136"/>
      <c r="D483" s="136"/>
      <c r="E483" s="136"/>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36"/>
    </row>
    <row r="484" spans="1:28" x14ac:dyDescent="0.2">
      <c r="A484" s="136"/>
      <c r="B484" s="136"/>
      <c r="C484" s="136"/>
      <c r="D484" s="136"/>
      <c r="E484" s="136"/>
      <c r="F484" s="136"/>
      <c r="G484" s="136"/>
      <c r="H484" s="136"/>
      <c r="I484" s="136"/>
      <c r="J484" s="136"/>
      <c r="K484" s="136"/>
      <c r="L484" s="136"/>
      <c r="M484" s="136"/>
      <c r="N484" s="136"/>
      <c r="O484" s="136"/>
      <c r="P484" s="136"/>
      <c r="Q484" s="136"/>
      <c r="R484" s="136"/>
      <c r="S484" s="136"/>
      <c r="T484" s="136"/>
      <c r="U484" s="136"/>
      <c r="V484" s="136"/>
      <c r="W484" s="136"/>
      <c r="X484" s="136"/>
      <c r="Y484" s="136"/>
      <c r="Z484" s="136"/>
      <c r="AA484" s="136"/>
      <c r="AB484" s="136"/>
    </row>
    <row r="485" spans="1:28" x14ac:dyDescent="0.2">
      <c r="A485" s="136"/>
      <c r="B485" s="136"/>
      <c r="C485" s="136"/>
      <c r="D485" s="136"/>
      <c r="E485" s="136"/>
      <c r="F485" s="136"/>
      <c r="G485" s="136"/>
      <c r="H485" s="136"/>
      <c r="I485" s="136"/>
      <c r="J485" s="136"/>
      <c r="K485" s="136"/>
      <c r="L485" s="136"/>
      <c r="M485" s="136"/>
      <c r="N485" s="136"/>
      <c r="O485" s="136"/>
      <c r="P485" s="136"/>
      <c r="Q485" s="136"/>
      <c r="R485" s="136"/>
      <c r="S485" s="136"/>
      <c r="T485" s="136"/>
      <c r="U485" s="136"/>
      <c r="V485" s="136"/>
      <c r="W485" s="136"/>
      <c r="X485" s="136"/>
      <c r="Y485" s="136"/>
      <c r="Z485" s="136"/>
      <c r="AA485" s="136"/>
      <c r="AB485" s="136"/>
    </row>
    <row r="486" spans="1:28" x14ac:dyDescent="0.2">
      <c r="A486" s="136"/>
      <c r="B486" s="136"/>
      <c r="C486" s="136"/>
      <c r="D486" s="136"/>
      <c r="E486" s="136"/>
      <c r="F486" s="136"/>
      <c r="G486" s="136"/>
      <c r="H486" s="136"/>
      <c r="I486" s="136"/>
      <c r="J486" s="136"/>
      <c r="K486" s="136"/>
      <c r="L486" s="136"/>
      <c r="M486" s="136"/>
      <c r="N486" s="136"/>
      <c r="O486" s="136"/>
      <c r="P486" s="136"/>
      <c r="Q486" s="136"/>
      <c r="R486" s="136"/>
      <c r="S486" s="136"/>
      <c r="T486" s="136"/>
      <c r="U486" s="136"/>
      <c r="V486" s="136"/>
      <c r="W486" s="136"/>
      <c r="X486" s="136"/>
      <c r="Y486" s="136"/>
      <c r="Z486" s="136"/>
      <c r="AA486" s="136"/>
      <c r="AB486" s="136"/>
    </row>
    <row r="487" spans="1:28" x14ac:dyDescent="0.2">
      <c r="A487" s="136"/>
      <c r="B487" s="136"/>
      <c r="C487" s="136"/>
      <c r="D487" s="136"/>
      <c r="E487" s="136"/>
      <c r="F487" s="136"/>
      <c r="G487" s="136"/>
      <c r="H487" s="136"/>
      <c r="I487" s="136"/>
      <c r="J487" s="136"/>
      <c r="K487" s="136"/>
      <c r="L487" s="136"/>
      <c r="M487" s="136"/>
      <c r="N487" s="136"/>
      <c r="O487" s="136"/>
      <c r="P487" s="136"/>
      <c r="Q487" s="136"/>
      <c r="R487" s="136"/>
      <c r="S487" s="136"/>
      <c r="T487" s="136"/>
      <c r="U487" s="136"/>
      <c r="V487" s="136"/>
      <c r="W487" s="136"/>
      <c r="X487" s="136"/>
      <c r="Y487" s="136"/>
      <c r="Z487" s="136"/>
      <c r="AA487" s="136"/>
      <c r="AB487" s="136"/>
    </row>
    <row r="488" spans="1:28" x14ac:dyDescent="0.2">
      <c r="A488" s="136"/>
      <c r="B488" s="136"/>
      <c r="C488" s="136"/>
      <c r="D488" s="136"/>
      <c r="E488" s="136"/>
      <c r="F488" s="136"/>
      <c r="G488" s="136"/>
      <c r="H488" s="136"/>
      <c r="I488" s="136"/>
      <c r="J488" s="136"/>
      <c r="K488" s="136"/>
      <c r="L488" s="136"/>
      <c r="M488" s="136"/>
      <c r="N488" s="136"/>
      <c r="O488" s="136"/>
      <c r="P488" s="136"/>
      <c r="Q488" s="136"/>
      <c r="R488" s="136"/>
      <c r="S488" s="136"/>
      <c r="T488" s="136"/>
      <c r="U488" s="136"/>
      <c r="V488" s="136"/>
      <c r="W488" s="136"/>
      <c r="X488" s="136"/>
      <c r="Y488" s="136"/>
      <c r="Z488" s="136"/>
      <c r="AA488" s="136"/>
      <c r="AB488" s="136"/>
    </row>
    <row r="489" spans="1:28" x14ac:dyDescent="0.2">
      <c r="A489" s="136"/>
      <c r="B489" s="136"/>
      <c r="C489" s="136"/>
      <c r="D489" s="136"/>
      <c r="E489" s="136"/>
      <c r="F489" s="136"/>
      <c r="G489" s="136"/>
      <c r="H489" s="136"/>
      <c r="I489" s="136"/>
      <c r="J489" s="136"/>
      <c r="K489" s="136"/>
      <c r="L489" s="136"/>
      <c r="M489" s="136"/>
      <c r="N489" s="136"/>
      <c r="O489" s="136"/>
      <c r="P489" s="136"/>
      <c r="Q489" s="136"/>
      <c r="R489" s="136"/>
      <c r="S489" s="136"/>
      <c r="T489" s="136"/>
      <c r="U489" s="136"/>
      <c r="V489" s="136"/>
      <c r="W489" s="136"/>
      <c r="X489" s="136"/>
      <c r="Y489" s="136"/>
      <c r="Z489" s="136"/>
      <c r="AA489" s="136"/>
      <c r="AB489" s="136"/>
    </row>
    <row r="490" spans="1:28" x14ac:dyDescent="0.2">
      <c r="A490" s="136"/>
      <c r="B490" s="136"/>
      <c r="C490" s="136"/>
      <c r="D490" s="136"/>
      <c r="E490" s="136"/>
      <c r="F490" s="136"/>
      <c r="G490" s="136"/>
      <c r="H490" s="136"/>
      <c r="I490" s="136"/>
      <c r="J490" s="136"/>
      <c r="K490" s="136"/>
      <c r="L490" s="136"/>
      <c r="M490" s="136"/>
      <c r="N490" s="136"/>
      <c r="O490" s="136"/>
      <c r="P490" s="136"/>
      <c r="Q490" s="136"/>
      <c r="R490" s="136"/>
      <c r="S490" s="136"/>
      <c r="T490" s="136"/>
      <c r="U490" s="136"/>
      <c r="V490" s="136"/>
      <c r="W490" s="136"/>
      <c r="X490" s="136"/>
      <c r="Y490" s="136"/>
      <c r="Z490" s="136"/>
      <c r="AA490" s="136"/>
      <c r="AB490" s="136"/>
    </row>
    <row r="491" spans="1:28" x14ac:dyDescent="0.2">
      <c r="A491" s="136"/>
      <c r="B491" s="136"/>
      <c r="C491" s="136"/>
      <c r="D491" s="136"/>
      <c r="E491" s="136"/>
      <c r="F491" s="136"/>
      <c r="G491" s="136"/>
      <c r="H491" s="136"/>
      <c r="I491" s="136"/>
      <c r="J491" s="136"/>
      <c r="K491" s="136"/>
      <c r="L491" s="136"/>
      <c r="M491" s="136"/>
      <c r="N491" s="136"/>
      <c r="O491" s="136"/>
      <c r="P491" s="136"/>
      <c r="Q491" s="136"/>
      <c r="R491" s="136"/>
      <c r="S491" s="136"/>
      <c r="T491" s="136"/>
      <c r="U491" s="136"/>
      <c r="V491" s="136"/>
      <c r="W491" s="136"/>
      <c r="X491" s="136"/>
      <c r="Y491" s="136"/>
      <c r="Z491" s="136"/>
      <c r="AA491" s="136"/>
      <c r="AB491" s="136"/>
    </row>
    <row r="492" spans="1:28" x14ac:dyDescent="0.2">
      <c r="A492" s="136"/>
      <c r="B492" s="136"/>
      <c r="C492" s="136"/>
      <c r="D492" s="136"/>
      <c r="E492" s="136"/>
      <c r="F492" s="136"/>
      <c r="G492" s="136"/>
      <c r="H492" s="136"/>
      <c r="I492" s="136"/>
      <c r="J492" s="136"/>
      <c r="K492" s="136"/>
      <c r="L492" s="136"/>
      <c r="M492" s="136"/>
      <c r="N492" s="136"/>
      <c r="O492" s="136"/>
      <c r="P492" s="136"/>
      <c r="Q492" s="136"/>
      <c r="R492" s="136"/>
      <c r="S492" s="136"/>
      <c r="T492" s="136"/>
      <c r="U492" s="136"/>
      <c r="V492" s="136"/>
      <c r="W492" s="136"/>
      <c r="X492" s="136"/>
      <c r="Y492" s="136"/>
      <c r="Z492" s="136"/>
      <c r="AA492" s="136"/>
      <c r="AB492" s="136"/>
    </row>
    <row r="493" spans="1:28" x14ac:dyDescent="0.2">
      <c r="A493" s="136"/>
      <c r="B493" s="136"/>
      <c r="C493" s="136"/>
      <c r="D493" s="136"/>
      <c r="E493" s="136"/>
      <c r="F493" s="136"/>
      <c r="G493" s="136"/>
      <c r="H493" s="136"/>
      <c r="I493" s="136"/>
      <c r="J493" s="136"/>
      <c r="K493" s="136"/>
      <c r="L493" s="136"/>
      <c r="M493" s="136"/>
      <c r="N493" s="136"/>
      <c r="O493" s="136"/>
      <c r="P493" s="136"/>
      <c r="Q493" s="136"/>
      <c r="R493" s="136"/>
      <c r="S493" s="136"/>
      <c r="T493" s="136"/>
      <c r="U493" s="136"/>
      <c r="V493" s="136"/>
      <c r="W493" s="136"/>
      <c r="X493" s="136"/>
      <c r="Y493" s="136"/>
      <c r="Z493" s="136"/>
      <c r="AA493" s="136"/>
      <c r="AB493" s="136"/>
    </row>
    <row r="494" spans="1:28" x14ac:dyDescent="0.2">
      <c r="A494" s="136"/>
      <c r="B494" s="136"/>
      <c r="C494" s="136"/>
      <c r="D494" s="136"/>
      <c r="E494" s="136"/>
      <c r="F494" s="136"/>
      <c r="G494" s="136"/>
      <c r="H494" s="136"/>
      <c r="I494" s="136"/>
      <c r="J494" s="136"/>
      <c r="K494" s="136"/>
      <c r="L494" s="136"/>
      <c r="M494" s="136"/>
      <c r="N494" s="136"/>
      <c r="O494" s="136"/>
      <c r="P494" s="136"/>
      <c r="Q494" s="136"/>
      <c r="R494" s="136"/>
      <c r="S494" s="136"/>
      <c r="T494" s="136"/>
      <c r="U494" s="136"/>
      <c r="V494" s="136"/>
      <c r="W494" s="136"/>
      <c r="X494" s="136"/>
      <c r="Y494" s="136"/>
      <c r="Z494" s="136"/>
      <c r="AA494" s="136"/>
      <c r="AB494" s="136"/>
    </row>
    <row r="495" spans="1:28" x14ac:dyDescent="0.2">
      <c r="A495" s="136"/>
      <c r="B495" s="136"/>
      <c r="C495" s="136"/>
      <c r="D495" s="136"/>
      <c r="E495" s="136"/>
      <c r="F495" s="136"/>
      <c r="G495" s="136"/>
      <c r="H495" s="136"/>
      <c r="I495" s="136"/>
      <c r="J495" s="136"/>
      <c r="K495" s="136"/>
      <c r="L495" s="136"/>
      <c r="M495" s="136"/>
      <c r="N495" s="136"/>
      <c r="O495" s="136"/>
      <c r="P495" s="136"/>
      <c r="Q495" s="136"/>
      <c r="R495" s="136"/>
      <c r="S495" s="136"/>
      <c r="T495" s="136"/>
      <c r="U495" s="136"/>
      <c r="V495" s="136"/>
      <c r="W495" s="136"/>
      <c r="X495" s="136"/>
      <c r="Y495" s="136"/>
      <c r="Z495" s="136"/>
      <c r="AA495" s="136"/>
      <c r="AB495" s="136"/>
    </row>
    <row r="496" spans="1:28" x14ac:dyDescent="0.2">
      <c r="A496" s="136"/>
      <c r="B496" s="136"/>
      <c r="C496" s="136"/>
      <c r="D496" s="136"/>
      <c r="E496" s="136"/>
      <c r="F496" s="136"/>
      <c r="G496" s="136"/>
      <c r="H496" s="136"/>
      <c r="I496" s="136"/>
      <c r="J496" s="136"/>
      <c r="K496" s="136"/>
      <c r="L496" s="136"/>
      <c r="M496" s="136"/>
      <c r="N496" s="136"/>
      <c r="O496" s="136"/>
      <c r="P496" s="136"/>
      <c r="Q496" s="136"/>
      <c r="R496" s="136"/>
      <c r="S496" s="136"/>
      <c r="T496" s="136"/>
      <c r="U496" s="136"/>
      <c r="V496" s="136"/>
      <c r="W496" s="136"/>
      <c r="X496" s="136"/>
      <c r="Y496" s="136"/>
      <c r="Z496" s="136"/>
      <c r="AA496" s="136"/>
      <c r="AB496" s="136"/>
    </row>
    <row r="497" spans="1:28" x14ac:dyDescent="0.2">
      <c r="A497" s="136"/>
      <c r="B497" s="136"/>
      <c r="C497" s="136"/>
      <c r="D497" s="136"/>
      <c r="E497" s="136"/>
      <c r="F497" s="136"/>
      <c r="G497" s="136"/>
      <c r="H497" s="136"/>
      <c r="I497" s="136"/>
      <c r="J497" s="136"/>
      <c r="K497" s="136"/>
      <c r="L497" s="136"/>
      <c r="M497" s="136"/>
      <c r="N497" s="136"/>
      <c r="O497" s="136"/>
      <c r="P497" s="136"/>
      <c r="Q497" s="136"/>
      <c r="R497" s="136"/>
      <c r="S497" s="136"/>
      <c r="T497" s="136"/>
      <c r="U497" s="136"/>
      <c r="V497" s="136"/>
      <c r="W497" s="136"/>
      <c r="X497" s="136"/>
      <c r="Y497" s="136"/>
      <c r="Z497" s="136"/>
      <c r="AA497" s="136"/>
      <c r="AB497" s="136"/>
    </row>
    <row r="498" spans="1:28" x14ac:dyDescent="0.2">
      <c r="A498" s="136"/>
      <c r="B498" s="136"/>
      <c r="C498" s="136"/>
      <c r="D498" s="136"/>
      <c r="E498" s="136"/>
      <c r="F498" s="136"/>
      <c r="G498" s="136"/>
      <c r="H498" s="136"/>
      <c r="I498" s="136"/>
      <c r="J498" s="136"/>
      <c r="K498" s="136"/>
      <c r="L498" s="136"/>
      <c r="M498" s="136"/>
      <c r="N498" s="136"/>
      <c r="O498" s="136"/>
      <c r="P498" s="136"/>
      <c r="Q498" s="136"/>
      <c r="R498" s="136"/>
      <c r="S498" s="136"/>
      <c r="T498" s="136"/>
      <c r="U498" s="136"/>
      <c r="V498" s="136"/>
      <c r="W498" s="136"/>
      <c r="X498" s="136"/>
      <c r="Y498" s="136"/>
      <c r="Z498" s="136"/>
      <c r="AA498" s="136"/>
      <c r="AB498" s="136"/>
    </row>
    <row r="499" spans="1:28" x14ac:dyDescent="0.2">
      <c r="A499" s="136"/>
      <c r="B499" s="136"/>
      <c r="C499" s="136"/>
      <c r="D499" s="136"/>
      <c r="E499" s="136"/>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36"/>
    </row>
    <row r="500" spans="1:28" x14ac:dyDescent="0.2">
      <c r="A500" s="136"/>
      <c r="B500" s="136"/>
      <c r="C500" s="136"/>
      <c r="D500" s="136"/>
      <c r="E500" s="136"/>
      <c r="F500" s="136"/>
      <c r="G500" s="136"/>
      <c r="H500" s="136"/>
      <c r="I500" s="136"/>
      <c r="J500" s="136"/>
      <c r="K500" s="136"/>
      <c r="L500" s="136"/>
      <c r="M500" s="136"/>
      <c r="N500" s="136"/>
      <c r="O500" s="136"/>
      <c r="P500" s="136"/>
      <c r="Q500" s="136"/>
      <c r="R500" s="136"/>
      <c r="S500" s="136"/>
      <c r="T500" s="136"/>
      <c r="U500" s="136"/>
      <c r="V500" s="136"/>
      <c r="W500" s="136"/>
      <c r="X500" s="136"/>
      <c r="Y500" s="136"/>
      <c r="Z500" s="136"/>
      <c r="AA500" s="136"/>
      <c r="AB500" s="136"/>
    </row>
    <row r="501" spans="1:28" x14ac:dyDescent="0.2">
      <c r="A501" s="136"/>
      <c r="B501" s="136"/>
      <c r="C501" s="136"/>
      <c r="D501" s="136"/>
      <c r="E501" s="136"/>
      <c r="F501" s="136"/>
      <c r="G501" s="136"/>
      <c r="H501" s="136"/>
      <c r="I501" s="136"/>
      <c r="J501" s="136"/>
      <c r="K501" s="136"/>
      <c r="L501" s="136"/>
      <c r="M501" s="136"/>
      <c r="N501" s="136"/>
      <c r="O501" s="136"/>
      <c r="P501" s="136"/>
      <c r="Q501" s="136"/>
      <c r="R501" s="136"/>
      <c r="S501" s="136"/>
      <c r="T501" s="136"/>
      <c r="U501" s="136"/>
      <c r="V501" s="136"/>
      <c r="W501" s="136"/>
      <c r="X501" s="136"/>
      <c r="Y501" s="136"/>
      <c r="Z501" s="136"/>
      <c r="AA501" s="136"/>
      <c r="AB501" s="136"/>
    </row>
    <row r="502" spans="1:28" x14ac:dyDescent="0.2">
      <c r="A502" s="136"/>
      <c r="B502" s="136"/>
      <c r="C502" s="136"/>
      <c r="D502" s="136"/>
      <c r="E502" s="136"/>
      <c r="F502" s="136"/>
      <c r="G502" s="136"/>
      <c r="H502" s="136"/>
      <c r="I502" s="136"/>
      <c r="J502" s="136"/>
      <c r="K502" s="136"/>
      <c r="L502" s="136"/>
      <c r="M502" s="136"/>
      <c r="N502" s="136"/>
      <c r="O502" s="136"/>
      <c r="P502" s="136"/>
      <c r="Q502" s="136"/>
      <c r="R502" s="136"/>
      <c r="S502" s="136"/>
      <c r="T502" s="136"/>
      <c r="U502" s="136"/>
      <c r="V502" s="136"/>
      <c r="W502" s="136"/>
      <c r="X502" s="136"/>
      <c r="Y502" s="136"/>
      <c r="Z502" s="136"/>
      <c r="AA502" s="136"/>
      <c r="AB502" s="136"/>
    </row>
    <row r="503" spans="1:28" x14ac:dyDescent="0.2">
      <c r="A503" s="136"/>
      <c r="B503" s="136"/>
      <c r="C503" s="136"/>
      <c r="D503" s="136"/>
      <c r="E503" s="136"/>
      <c r="F503" s="136"/>
      <c r="G503" s="136"/>
      <c r="H503" s="136"/>
      <c r="I503" s="136"/>
      <c r="J503" s="136"/>
      <c r="K503" s="136"/>
      <c r="L503" s="136"/>
      <c r="M503" s="136"/>
      <c r="N503" s="136"/>
      <c r="O503" s="136"/>
      <c r="P503" s="136"/>
      <c r="Q503" s="136"/>
      <c r="R503" s="136"/>
      <c r="S503" s="136"/>
      <c r="T503" s="136"/>
      <c r="U503" s="136"/>
      <c r="V503" s="136"/>
      <c r="W503" s="136"/>
      <c r="X503" s="136"/>
      <c r="Y503" s="136"/>
      <c r="Z503" s="136"/>
      <c r="AA503" s="136"/>
      <c r="AB503" s="136"/>
    </row>
    <row r="504" spans="1:28" x14ac:dyDescent="0.2">
      <c r="A504" s="136"/>
      <c r="B504" s="136"/>
      <c r="C504" s="136"/>
      <c r="D504" s="136"/>
      <c r="E504" s="136"/>
      <c r="F504" s="136"/>
      <c r="G504" s="136"/>
      <c r="H504" s="136"/>
      <c r="I504" s="136"/>
      <c r="J504" s="136"/>
      <c r="K504" s="136"/>
      <c r="L504" s="136"/>
      <c r="M504" s="136"/>
      <c r="N504" s="136"/>
      <c r="O504" s="136"/>
      <c r="P504" s="136"/>
      <c r="Q504" s="136"/>
      <c r="R504" s="136"/>
      <c r="S504" s="136"/>
      <c r="T504" s="136"/>
      <c r="U504" s="136"/>
      <c r="V504" s="136"/>
      <c r="W504" s="136"/>
      <c r="X504" s="136"/>
      <c r="Y504" s="136"/>
      <c r="Z504" s="136"/>
      <c r="AA504" s="136"/>
      <c r="AB504" s="136"/>
    </row>
    <row r="505" spans="1:28" x14ac:dyDescent="0.2">
      <c r="A505" s="136"/>
      <c r="B505" s="136"/>
      <c r="C505" s="136"/>
      <c r="D505" s="136"/>
      <c r="E505" s="136"/>
      <c r="F505" s="136"/>
      <c r="G505" s="136"/>
      <c r="H505" s="136"/>
      <c r="I505" s="136"/>
      <c r="J505" s="136"/>
      <c r="K505" s="136"/>
      <c r="L505" s="136"/>
      <c r="M505" s="136"/>
      <c r="N505" s="136"/>
      <c r="O505" s="136"/>
      <c r="P505" s="136"/>
      <c r="Q505" s="136"/>
      <c r="R505" s="136"/>
      <c r="S505" s="136"/>
      <c r="T505" s="136"/>
      <c r="U505" s="136"/>
      <c r="V505" s="136"/>
      <c r="W505" s="136"/>
      <c r="X505" s="136"/>
      <c r="Y505" s="136"/>
      <c r="Z505" s="136"/>
      <c r="AA505" s="136"/>
      <c r="AB505" s="136"/>
    </row>
  </sheetData>
  <sheetProtection sheet="1" objects="1" scenarios="1" insertRows="0" deleteRows="0"/>
  <conditionalFormatting sqref="B4:AB4">
    <cfRule type="expression" dxfId="26" priority="3">
      <formula>B1&lt;&gt;""</formula>
    </cfRule>
    <cfRule type="cellIs" dxfId="25" priority="10" operator="notEqual">
      <formula>""</formula>
    </cfRule>
  </conditionalFormatting>
  <conditionalFormatting sqref="B5:AB213">
    <cfRule type="expression" dxfId="24" priority="9">
      <formula>AND(B$2&gt;0,B5&gt;B$2)</formula>
    </cfRule>
  </conditionalFormatting>
  <conditionalFormatting sqref="B2:AB2">
    <cfRule type="expression" dxfId="23" priority="11">
      <formula>AND(B4&gt;0,B4&gt;B2)</formula>
    </cfRule>
  </conditionalFormatting>
  <conditionalFormatting sqref="A3 A1">
    <cfRule type="expression" dxfId="22" priority="8">
      <formula>SUM($B$3:$AZ$3)&lt;&gt;100</formula>
    </cfRule>
  </conditionalFormatting>
  <conditionalFormatting sqref="B1:AB1">
    <cfRule type="expression" dxfId="21" priority="6">
      <formula>AND(B1&lt;&gt;"",COUNT($A$5:$A$155)&lt;&gt;COUNT(B5:B155))</formula>
    </cfRule>
  </conditionalFormatting>
  <conditionalFormatting sqref="B5:AB155">
    <cfRule type="expression" dxfId="20" priority="5">
      <formula>AND($A5&gt;0,B$1&lt;&gt;"",B5="")</formula>
    </cfRule>
  </conditionalFormatting>
  <conditionalFormatting sqref="B2:AA2">
    <cfRule type="expression" dxfId="19" priority="4">
      <formula>AND(B1&lt;&gt;"",B2="")</formula>
    </cfRule>
  </conditionalFormatting>
  <conditionalFormatting sqref="A5:A505">
    <cfRule type="expression" dxfId="18" priority="2">
      <formula>AND(A5="",COUNTA(B5:AB5)&gt;0)</formula>
    </cfRule>
  </conditionalFormatting>
  <conditionalFormatting sqref="B3:AA3">
    <cfRule type="expression" dxfId="17" priority="1">
      <formula>SEARCH(".??*",B3)</formula>
    </cfRule>
  </conditionalFormatting>
  <dataValidations count="1">
    <dataValidation type="whole" allowBlank="1" showInputMessage="1" showErrorMessage="1" sqref="A5:A505">
      <formula1>10000000</formula1>
      <formula2>100000000</formula2>
    </dataValidation>
  </dataValidations>
  <pageMargins left="0.7" right="0.7" top="0.75" bottom="0.75" header="0.3" footer="0.3"/>
  <pageSetup orientation="portrait" horizontalDpi="4294967295" verticalDpi="4294967295"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C90"/>
  <sheetViews>
    <sheetView workbookViewId="0">
      <pane ySplit="1" topLeftCell="A2" activePane="bottomLeft" state="frozen"/>
      <selection pane="bottomLeft" activeCell="E2" sqref="E2"/>
    </sheetView>
  </sheetViews>
  <sheetFormatPr baseColWidth="10" defaultColWidth="9.1640625" defaultRowHeight="15" x14ac:dyDescent="0.2"/>
  <cols>
    <col min="1" max="1" width="52.5" style="48" customWidth="1"/>
    <col min="2" max="2" width="55.33203125" style="48" customWidth="1"/>
    <col min="3" max="3" width="3" style="11" bestFit="1" customWidth="1"/>
    <col min="4" max="16384" width="9.1640625" style="11"/>
  </cols>
  <sheetData>
    <row r="1" spans="1:3" s="10" customFormat="1" x14ac:dyDescent="0.2">
      <c r="A1" s="23" t="s">
        <v>464</v>
      </c>
      <c r="B1" s="29" t="s">
        <v>465</v>
      </c>
    </row>
    <row r="2" spans="1:3" x14ac:dyDescent="0.2">
      <c r="A2" s="49" t="s">
        <v>276</v>
      </c>
      <c r="B2" s="53" t="s">
        <v>546</v>
      </c>
      <c r="C2" s="11" t="str">
        <f>IF(B2="","",IFERROR(VLOOKUP(B2,PLI!$F$2:$H$34,3,0),""))</f>
        <v>1a</v>
      </c>
    </row>
    <row r="3" spans="1:3" ht="30" x14ac:dyDescent="0.2">
      <c r="A3" s="50" t="s">
        <v>247</v>
      </c>
      <c r="B3" s="54" t="s">
        <v>546</v>
      </c>
      <c r="C3" s="11" t="str">
        <f>IF(B3="","",IFERROR(VLOOKUP(B3,PLI!$F$2:$H$34,3,0),""))</f>
        <v>1a</v>
      </c>
    </row>
    <row r="4" spans="1:3" x14ac:dyDescent="0.2">
      <c r="A4" s="50" t="s">
        <v>435</v>
      </c>
      <c r="B4" s="54" t="s">
        <v>560</v>
      </c>
      <c r="C4" s="11" t="str">
        <f>IF(B4="","",IFERROR(VLOOKUP(B4,PLI!$F$2:$H$34,3,0),""))</f>
        <v>2a</v>
      </c>
    </row>
    <row r="5" spans="1:3" x14ac:dyDescent="0.2">
      <c r="A5" s="50"/>
      <c r="B5" s="53"/>
      <c r="C5" s="11" t="str">
        <f>IF(B5="","",IFERROR(VLOOKUP(B5,PLI!$F$2:$H$34,3,0),""))</f>
        <v/>
      </c>
    </row>
    <row r="6" spans="1:3" x14ac:dyDescent="0.2">
      <c r="A6" s="50"/>
      <c r="B6" s="54"/>
      <c r="C6" s="11" t="str">
        <f>IF(B6="","",IFERROR(VLOOKUP(B6,PLI!$F$2:$H$34,3,0),""))</f>
        <v/>
      </c>
    </row>
    <row r="7" spans="1:3" x14ac:dyDescent="0.2">
      <c r="A7" s="50"/>
      <c r="B7" s="53"/>
      <c r="C7" s="11" t="str">
        <f>IF(B7="","",IFERROR(VLOOKUP(B7,PLI!$F$2:$H$34,3,0),""))</f>
        <v/>
      </c>
    </row>
    <row r="8" spans="1:3" x14ac:dyDescent="0.2">
      <c r="A8" s="50"/>
      <c r="B8" s="53"/>
      <c r="C8" s="11" t="str">
        <f>IF(B8="","",IFERROR(VLOOKUP(B8,PLI!$F$2:$H$34,3,0),""))</f>
        <v/>
      </c>
    </row>
    <row r="9" spans="1:3" x14ac:dyDescent="0.2">
      <c r="A9" s="50"/>
      <c r="B9" s="54"/>
      <c r="C9" s="11" t="str">
        <f>IF(B9="","",IFERROR(VLOOKUP(B9,PLI!$F$2:$H$34,3,0),""))</f>
        <v/>
      </c>
    </row>
    <row r="10" spans="1:3" x14ac:dyDescent="0.2">
      <c r="A10" s="50"/>
      <c r="B10" s="53"/>
      <c r="C10" s="11" t="str">
        <f>IF(B10="","",IFERROR(VLOOKUP(B10,PLI!$F$2:$H$34,3,0),""))</f>
        <v/>
      </c>
    </row>
    <row r="11" spans="1:3" x14ac:dyDescent="0.2">
      <c r="A11" s="50"/>
      <c r="B11" s="54"/>
      <c r="C11" s="11" t="str">
        <f>IF(B11="","",IFERROR(VLOOKUP(B11,PLI!$F$2:$H$34,3,0),""))</f>
        <v/>
      </c>
    </row>
    <row r="12" spans="1:3" x14ac:dyDescent="0.2">
      <c r="A12" s="51"/>
      <c r="B12" s="53"/>
      <c r="C12" s="11" t="str">
        <f>IF(B12="","",IFERROR(VLOOKUP(B12,PLI!$F$2:$H$34,3,0),""))</f>
        <v/>
      </c>
    </row>
    <row r="13" spans="1:3" x14ac:dyDescent="0.2">
      <c r="A13" s="51"/>
      <c r="B13" s="53"/>
      <c r="C13" s="11" t="str">
        <f>IF(B13="","",IFERROR(VLOOKUP(B13,PLI!$F$2:$H$34,3,0),""))</f>
        <v/>
      </c>
    </row>
    <row r="14" spans="1:3" x14ac:dyDescent="0.2">
      <c r="A14" s="51"/>
      <c r="B14" s="53"/>
      <c r="C14" s="11" t="str">
        <f>IF(B14="","",IFERROR(VLOOKUP(B14,PLI!$F$2:$H$34,3,0),""))</f>
        <v/>
      </c>
    </row>
    <row r="15" spans="1:3" x14ac:dyDescent="0.2">
      <c r="A15" s="51"/>
      <c r="B15" s="53"/>
      <c r="C15" s="11" t="str">
        <f>IF(B15="","",IFERROR(VLOOKUP(B15,PLI!$F$2:$H$34,3,0),""))</f>
        <v/>
      </c>
    </row>
    <row r="16" spans="1:3" x14ac:dyDescent="0.2">
      <c r="A16" s="51"/>
      <c r="B16" s="53"/>
      <c r="C16" s="11" t="str">
        <f>IF(B16="","",IFERROR(VLOOKUP(B16,PLI!$F$2:$H$34,3,0),""))</f>
        <v/>
      </c>
    </row>
    <row r="17" spans="1:3" x14ac:dyDescent="0.2">
      <c r="A17" s="51"/>
      <c r="B17" s="53"/>
      <c r="C17" s="11" t="str">
        <f>IF(B17="","",IFERROR(VLOOKUP(B17,PLI!$F$2:$H$34,3,0),""))</f>
        <v/>
      </c>
    </row>
    <row r="18" spans="1:3" x14ac:dyDescent="0.2">
      <c r="A18" s="51"/>
      <c r="B18" s="53"/>
      <c r="C18" s="11" t="str">
        <f>IF(B18="","",IFERROR(VLOOKUP(B18,PLI!$F$2:$H$34,3,0),""))</f>
        <v/>
      </c>
    </row>
    <row r="19" spans="1:3" x14ac:dyDescent="0.2">
      <c r="A19" s="51"/>
      <c r="B19" s="53"/>
      <c r="C19" s="11" t="str">
        <f>IF(B19="","",IFERROR(VLOOKUP(B19,PLI!$F$2:$H$34,3,0),""))</f>
        <v/>
      </c>
    </row>
    <row r="20" spans="1:3" x14ac:dyDescent="0.2">
      <c r="A20" s="51"/>
      <c r="B20" s="53"/>
      <c r="C20" s="11" t="str">
        <f>IF(B20="","",IFERROR(VLOOKUP(B20,PLI!$F$2:$H$34,3,0),""))</f>
        <v/>
      </c>
    </row>
    <row r="21" spans="1:3" x14ac:dyDescent="0.2">
      <c r="A21" s="51"/>
      <c r="B21" s="53"/>
      <c r="C21" s="11" t="str">
        <f>IF(B21="","",IFERROR(VLOOKUP(B21,PLI!$F$2:$H$34,3,0),""))</f>
        <v/>
      </c>
    </row>
    <row r="22" spans="1:3" x14ac:dyDescent="0.2">
      <c r="A22" s="51"/>
      <c r="B22" s="53"/>
      <c r="C22" s="11" t="str">
        <f>IF(B22="","",IFERROR(VLOOKUP(B22,PLI!$F$2:$H$34,3,0),""))</f>
        <v/>
      </c>
    </row>
    <row r="23" spans="1:3" x14ac:dyDescent="0.2">
      <c r="A23" s="51"/>
      <c r="B23" s="53"/>
      <c r="C23" s="11" t="str">
        <f>IF(B23="","",IFERROR(VLOOKUP(B23,PLI!$F$2:$H$34,3,0),""))</f>
        <v/>
      </c>
    </row>
    <row r="24" spans="1:3" x14ac:dyDescent="0.2">
      <c r="A24" s="51"/>
      <c r="B24" s="53"/>
      <c r="C24" s="11" t="str">
        <f>IF(B24="","",IFERROR(VLOOKUP(B24,PLI!$F$2:$H$34,3,0),""))</f>
        <v/>
      </c>
    </row>
    <row r="25" spans="1:3" x14ac:dyDescent="0.2">
      <c r="A25" s="51"/>
      <c r="B25" s="53"/>
      <c r="C25" s="11" t="str">
        <f>IF(B25="","",IFERROR(VLOOKUP(B25,PLI!$F$2:$H$34,3,0),""))</f>
        <v/>
      </c>
    </row>
    <row r="26" spans="1:3" x14ac:dyDescent="0.2">
      <c r="A26" s="51"/>
      <c r="B26" s="53"/>
      <c r="C26" s="11" t="str">
        <f>IF(B26="","",IFERROR(VLOOKUP(B26,PLI!$F$2:$H$34,3,0),""))</f>
        <v/>
      </c>
    </row>
    <row r="27" spans="1:3" x14ac:dyDescent="0.2">
      <c r="A27" s="51"/>
      <c r="B27" s="53"/>
      <c r="C27" s="11" t="str">
        <f>IF(B27="","",IFERROR(VLOOKUP(B27,PLI!$F$2:$H$34,3,0),""))</f>
        <v/>
      </c>
    </row>
    <row r="28" spans="1:3" x14ac:dyDescent="0.2">
      <c r="A28" s="51"/>
      <c r="B28" s="53"/>
      <c r="C28" s="11" t="str">
        <f>IF(B28="","",IFERROR(VLOOKUP(B28,PLI!$F$2:$H$34,3,0),""))</f>
        <v/>
      </c>
    </row>
    <row r="29" spans="1:3" x14ac:dyDescent="0.2">
      <c r="A29" s="51"/>
      <c r="B29" s="53"/>
      <c r="C29" s="11" t="str">
        <f>IF(B29="","",IFERROR(VLOOKUP(B29,PLI!$F$2:$H$34,3,0),""))</f>
        <v/>
      </c>
    </row>
    <row r="30" spans="1:3" x14ac:dyDescent="0.2">
      <c r="A30" s="51"/>
      <c r="B30" s="53"/>
      <c r="C30" s="11" t="str">
        <f>IF(B30="","",IFERROR(VLOOKUP(B30,PLI!$F$2:$H$34,3,0),""))</f>
        <v/>
      </c>
    </row>
    <row r="31" spans="1:3" x14ac:dyDescent="0.2">
      <c r="A31" s="51"/>
      <c r="B31" s="53"/>
      <c r="C31" s="11" t="str">
        <f>IF(B31="","",IFERROR(VLOOKUP(B31,PLI!$F$2:$H$34,3,0),""))</f>
        <v/>
      </c>
    </row>
    <row r="32" spans="1:3" x14ac:dyDescent="0.2">
      <c r="A32" s="51"/>
      <c r="B32" s="53"/>
      <c r="C32" s="11" t="str">
        <f>IF(B32="","",IFERROR(VLOOKUP(B32,PLI!$F$2:$H$34,3,0),""))</f>
        <v/>
      </c>
    </row>
    <row r="33" spans="1:3" x14ac:dyDescent="0.2">
      <c r="A33" s="51"/>
      <c r="B33" s="53"/>
      <c r="C33" s="11" t="str">
        <f>IF(B33="","",IFERROR(VLOOKUP(B33,PLI!$F$2:$H$34,3,0),""))</f>
        <v/>
      </c>
    </row>
    <row r="34" spans="1:3" x14ac:dyDescent="0.2">
      <c r="A34" s="51"/>
      <c r="B34" s="53"/>
      <c r="C34" s="11" t="str">
        <f>IF(B34="","",IFERROR(VLOOKUP(B34,PLI!$F$2:$H$34,3,0),""))</f>
        <v/>
      </c>
    </row>
    <row r="35" spans="1:3" x14ac:dyDescent="0.2">
      <c r="A35" s="51"/>
      <c r="B35" s="53"/>
      <c r="C35" s="11" t="str">
        <f>IF(B35="","",IFERROR(VLOOKUP(B35,PLI!$F$2:$H$34,3,0),""))</f>
        <v/>
      </c>
    </row>
    <row r="36" spans="1:3" x14ac:dyDescent="0.2">
      <c r="A36" s="51"/>
      <c r="B36" s="53"/>
      <c r="C36" s="11" t="str">
        <f>IF(B36="","",IFERROR(VLOOKUP(B36,PLI!$F$2:$H$34,3,0),""))</f>
        <v/>
      </c>
    </row>
    <row r="37" spans="1:3" x14ac:dyDescent="0.2">
      <c r="A37" s="51"/>
      <c r="B37" s="53"/>
      <c r="C37" s="11" t="str">
        <f>IF(B37="","",IFERROR(VLOOKUP(B37,PLI!$F$2:$H$34,3,0),""))</f>
        <v/>
      </c>
    </row>
    <row r="38" spans="1:3" x14ac:dyDescent="0.2">
      <c r="A38" s="51"/>
      <c r="B38" s="53"/>
      <c r="C38" s="11" t="str">
        <f>IF(B38="","",IFERROR(VLOOKUP(B38,PLI!$F$2:$H$34,3,0),""))</f>
        <v/>
      </c>
    </row>
    <row r="39" spans="1:3" x14ac:dyDescent="0.2">
      <c r="A39" s="51"/>
      <c r="B39" s="53"/>
      <c r="C39" s="11" t="str">
        <f>IF(B39="","",IFERROR(VLOOKUP(B39,PLI!$F$2:$H$34,3,0),""))</f>
        <v/>
      </c>
    </row>
    <row r="40" spans="1:3" x14ac:dyDescent="0.2">
      <c r="A40" s="51"/>
      <c r="B40" s="53"/>
      <c r="C40" s="11" t="str">
        <f>IF(B40="","",IFERROR(VLOOKUP(B40,PLI!$F$2:$H$34,3,0),""))</f>
        <v/>
      </c>
    </row>
    <row r="41" spans="1:3" x14ac:dyDescent="0.2">
      <c r="A41" s="51"/>
      <c r="B41" s="53"/>
      <c r="C41" s="11" t="str">
        <f>IF(B41="","",IFERROR(VLOOKUP(B41,PLI!$F$2:$H$34,3,0),""))</f>
        <v/>
      </c>
    </row>
    <row r="42" spans="1:3" x14ac:dyDescent="0.2">
      <c r="A42" s="51"/>
      <c r="B42" s="53"/>
      <c r="C42" s="11" t="str">
        <f>IF(B42="","",IFERROR(VLOOKUP(B42,PLI!$F$2:$H$34,3,0),""))</f>
        <v/>
      </c>
    </row>
    <row r="43" spans="1:3" x14ac:dyDescent="0.2">
      <c r="A43" s="51"/>
      <c r="B43" s="53"/>
      <c r="C43" s="11" t="str">
        <f>IF(B43="","",IFERROR(VLOOKUP(B43,PLI!$F$2:$H$34,3,0),""))</f>
        <v/>
      </c>
    </row>
    <row r="44" spans="1:3" x14ac:dyDescent="0.2">
      <c r="A44" s="51"/>
      <c r="B44" s="53"/>
      <c r="C44" s="11" t="str">
        <f>IF(B44="","",IFERROR(VLOOKUP(B44,PLI!$F$2:$H$34,3,0),""))</f>
        <v/>
      </c>
    </row>
    <row r="45" spans="1:3" x14ac:dyDescent="0.2">
      <c r="A45" s="51"/>
      <c r="B45" s="53"/>
      <c r="C45" s="11" t="str">
        <f>IF(B45="","",IFERROR(VLOOKUP(B45,PLI!$F$2:$H$34,3,0),""))</f>
        <v/>
      </c>
    </row>
    <row r="46" spans="1:3" x14ac:dyDescent="0.2">
      <c r="A46" s="51"/>
      <c r="B46" s="53"/>
      <c r="C46" s="11" t="str">
        <f>IF(B46="","",IFERROR(VLOOKUP(B46,PLI!$F$2:$H$34,3,0),""))</f>
        <v/>
      </c>
    </row>
    <row r="47" spans="1:3" x14ac:dyDescent="0.2">
      <c r="A47" s="51"/>
      <c r="B47" s="53"/>
      <c r="C47" s="11" t="str">
        <f>IF(B47="","",IFERROR(VLOOKUP(B47,PLI!$F$2:$H$34,3,0),""))</f>
        <v/>
      </c>
    </row>
    <row r="48" spans="1:3" x14ac:dyDescent="0.2">
      <c r="A48" s="51"/>
      <c r="B48" s="53"/>
      <c r="C48" s="11" t="str">
        <f>IF(B48="","",IFERROR(VLOOKUP(B48,PLI!$F$2:$H$34,3,0),""))</f>
        <v/>
      </c>
    </row>
    <row r="49" spans="1:3" x14ac:dyDescent="0.2">
      <c r="A49" s="51"/>
      <c r="B49" s="53"/>
      <c r="C49" s="11" t="str">
        <f>IF(B49="","",IFERROR(VLOOKUP(B49,PLI!$F$2:$H$34,3,0),""))</f>
        <v/>
      </c>
    </row>
    <row r="50" spans="1:3" x14ac:dyDescent="0.2">
      <c r="A50" s="51"/>
      <c r="B50" s="53"/>
      <c r="C50" s="11" t="str">
        <f>IF(B50="","",IFERROR(VLOOKUP(B50,PLI!$F$2:$H$34,3,0),""))</f>
        <v/>
      </c>
    </row>
    <row r="51" spans="1:3" x14ac:dyDescent="0.2">
      <c r="A51" s="51"/>
      <c r="B51" s="53"/>
      <c r="C51" s="11" t="str">
        <f>IF(B51="","",IFERROR(VLOOKUP(B51,PLI!$F$2:$H$34,3,0),""))</f>
        <v/>
      </c>
    </row>
    <row r="52" spans="1:3" x14ac:dyDescent="0.2">
      <c r="A52" s="51"/>
      <c r="B52" s="53"/>
      <c r="C52" s="11" t="str">
        <f>IF(B52="","",IFERROR(VLOOKUP(B52,PLI!$F$2:$H$34,3,0),""))</f>
        <v/>
      </c>
    </row>
    <row r="53" spans="1:3" x14ac:dyDescent="0.2">
      <c r="A53" s="51"/>
      <c r="B53" s="53"/>
      <c r="C53" s="11" t="str">
        <f>IF(B53="","",IFERROR(VLOOKUP(B53,PLI!$F$2:$H$34,3,0),""))</f>
        <v/>
      </c>
    </row>
    <row r="54" spans="1:3" x14ac:dyDescent="0.2">
      <c r="A54" s="51"/>
      <c r="B54" s="53"/>
      <c r="C54" s="11" t="str">
        <f>IF(B54="","",IFERROR(VLOOKUP(B54,PLI!$F$2:$H$34,3,0),""))</f>
        <v/>
      </c>
    </row>
    <row r="55" spans="1:3" x14ac:dyDescent="0.2">
      <c r="A55" s="51"/>
      <c r="B55" s="53"/>
      <c r="C55" s="11" t="str">
        <f>IF(B55="","",IFERROR(VLOOKUP(B55,PLI!$F$2:$H$34,3,0),""))</f>
        <v/>
      </c>
    </row>
    <row r="56" spans="1:3" x14ac:dyDescent="0.2">
      <c r="A56" s="51"/>
      <c r="B56" s="53"/>
      <c r="C56" s="11" t="str">
        <f>IF(B56="","",IFERROR(VLOOKUP(B56,PLI!$F$2:$H$34,3,0),""))</f>
        <v/>
      </c>
    </row>
    <row r="57" spans="1:3" x14ac:dyDescent="0.2">
      <c r="A57" s="51"/>
      <c r="B57" s="53"/>
      <c r="C57" s="11" t="str">
        <f>IF(B57="","",IFERROR(VLOOKUP(B57,PLI!$F$2:$H$34,3,0),""))</f>
        <v/>
      </c>
    </row>
    <row r="58" spans="1:3" x14ac:dyDescent="0.2">
      <c r="A58" s="51"/>
      <c r="B58" s="53"/>
      <c r="C58" s="11" t="str">
        <f>IF(B58="","",IFERROR(VLOOKUP(B58,PLI!$F$2:$H$34,3,0),""))</f>
        <v/>
      </c>
    </row>
    <row r="59" spans="1:3" x14ac:dyDescent="0.2">
      <c r="A59" s="51"/>
      <c r="B59" s="53"/>
      <c r="C59" s="11" t="str">
        <f>IF(B59="","",IFERROR(VLOOKUP(B59,PLI!$F$2:$H$34,3,0),""))</f>
        <v/>
      </c>
    </row>
    <row r="60" spans="1:3" x14ac:dyDescent="0.2">
      <c r="A60" s="52"/>
      <c r="B60" s="53"/>
      <c r="C60" s="11" t="str">
        <f>IF(B60="","",IFERROR(VLOOKUP(B60,PLI!$F$2:$H$34,3,0),""))</f>
        <v/>
      </c>
    </row>
    <row r="61" spans="1:3" x14ac:dyDescent="0.2">
      <c r="A61" s="47"/>
      <c r="B61" s="53"/>
      <c r="C61" s="11" t="str">
        <f>IF(B61="","",IFERROR(VLOOKUP(B61,PLI!$F$2:$H$34,3,0),""))</f>
        <v/>
      </c>
    </row>
    <row r="62" spans="1:3" x14ac:dyDescent="0.2">
      <c r="A62" s="47"/>
      <c r="C62" s="11" t="str">
        <f>IF(B62="","",IFERROR(VLOOKUP(B62,PLI!$F$2:$H$34,3,0),""))</f>
        <v/>
      </c>
    </row>
    <row r="63" spans="1:3" x14ac:dyDescent="0.2">
      <c r="A63" s="47"/>
      <c r="C63" s="11" t="str">
        <f>IF(B63="","",IFERROR(VLOOKUP(B63,PLI!$F$2:$H$34,3,0),""))</f>
        <v/>
      </c>
    </row>
    <row r="64" spans="1:3" x14ac:dyDescent="0.2">
      <c r="A64" s="47"/>
      <c r="C64" s="11" t="str">
        <f>IF(B64="","",IFERROR(VLOOKUP(B64,PLI!$F$2:$H$34,3,0),""))</f>
        <v/>
      </c>
    </row>
    <row r="65" spans="1:3" x14ac:dyDescent="0.2">
      <c r="A65" s="47"/>
      <c r="C65" s="11" t="str">
        <f>IF(B65="","",IFERROR(VLOOKUP(B65,PLI!$F$2:$H$34,3,0),""))</f>
        <v/>
      </c>
    </row>
    <row r="66" spans="1:3" x14ac:dyDescent="0.2">
      <c r="A66" s="47"/>
      <c r="C66" s="11" t="str">
        <f>IF(B66="","",IFERROR(VLOOKUP(B66,PLI!$F$2:$H$34,3,0),""))</f>
        <v/>
      </c>
    </row>
    <row r="67" spans="1:3" x14ac:dyDescent="0.2">
      <c r="A67" s="47"/>
      <c r="C67" s="11" t="str">
        <f>IF(B67="","",IFERROR(VLOOKUP(B67,PLI!$F$2:$H$34,3,0),""))</f>
        <v/>
      </c>
    </row>
    <row r="68" spans="1:3" x14ac:dyDescent="0.2">
      <c r="A68" s="47"/>
      <c r="C68" s="11" t="str">
        <f>IF(B68="","",IFERROR(VLOOKUP(B68,PLI!$F$2:$H$34,3,0),""))</f>
        <v/>
      </c>
    </row>
    <row r="69" spans="1:3" x14ac:dyDescent="0.2">
      <c r="A69" s="47"/>
      <c r="C69" s="11" t="str">
        <f>IF(B69="","",IFERROR(VLOOKUP(B69,PLI!$F$2:$H$34,3,0),""))</f>
        <v/>
      </c>
    </row>
    <row r="70" spans="1:3" x14ac:dyDescent="0.2">
      <c r="A70" s="47"/>
      <c r="C70" s="11" t="str">
        <f>IF(B70="","",IFERROR(VLOOKUP(B70,PLI!$F$2:$H$34,3,0),""))</f>
        <v/>
      </c>
    </row>
    <row r="71" spans="1:3" x14ac:dyDescent="0.2">
      <c r="A71" s="47"/>
      <c r="C71" s="11" t="str">
        <f>IF(B71="","",IFERROR(VLOOKUP(B71,PLI!$F$2:$H$34,3,0),""))</f>
        <v/>
      </c>
    </row>
    <row r="72" spans="1:3" x14ac:dyDescent="0.2">
      <c r="A72" s="47"/>
      <c r="C72" s="11" t="str">
        <f>IF(B72="","",IFERROR(VLOOKUP(B72,PLI!$F$2:$H$34,3,0),""))</f>
        <v/>
      </c>
    </row>
    <row r="73" spans="1:3" x14ac:dyDescent="0.2">
      <c r="A73" s="47"/>
      <c r="C73" s="11" t="str">
        <f>IF(B73="","",IFERROR(VLOOKUP(B73,PLI!$F$2:$H$34,3,0),""))</f>
        <v/>
      </c>
    </row>
    <row r="74" spans="1:3" x14ac:dyDescent="0.2">
      <c r="A74" s="47"/>
      <c r="C74" s="11" t="str">
        <f>IF(B74="","",IFERROR(VLOOKUP(B74,PLI!$F$2:$H$34,3,0),""))</f>
        <v/>
      </c>
    </row>
    <row r="75" spans="1:3" x14ac:dyDescent="0.2">
      <c r="A75" s="47"/>
      <c r="C75" s="11" t="str">
        <f>IF(B75="","",IFERROR(VLOOKUP(B75,PLI!$F$2:$H$34,3,0),""))</f>
        <v/>
      </c>
    </row>
    <row r="76" spans="1:3" x14ac:dyDescent="0.2">
      <c r="A76" s="47"/>
      <c r="C76" s="11" t="str">
        <f>IF(B76="","",IFERROR(VLOOKUP(B76,PLI!$F$2:$H$34,3,0),""))</f>
        <v/>
      </c>
    </row>
    <row r="77" spans="1:3" x14ac:dyDescent="0.2">
      <c r="A77" s="47"/>
      <c r="C77" s="11" t="str">
        <f>IF(B77="","",IFERROR(VLOOKUP(B77,PLI!$F$2:$H$34,3,0),""))</f>
        <v/>
      </c>
    </row>
    <row r="78" spans="1:3" x14ac:dyDescent="0.2">
      <c r="A78" s="47"/>
      <c r="C78" s="11" t="str">
        <f>IF(B78="","",IFERROR(VLOOKUP(B78,PLI!$F$2:$H$34,3,0),""))</f>
        <v/>
      </c>
    </row>
    <row r="79" spans="1:3" x14ac:dyDescent="0.2">
      <c r="A79" s="47"/>
      <c r="C79" s="11" t="str">
        <f>IF(B79="","",IFERROR(VLOOKUP(B79,PLI!$F$2:$H$34,3,0),""))</f>
        <v/>
      </c>
    </row>
    <row r="80" spans="1:3" x14ac:dyDescent="0.2">
      <c r="A80" s="47"/>
      <c r="C80" s="11" t="str">
        <f>IF(B80="","",IFERROR(VLOOKUP(B80,PLI!$F$2:$H$34,3,0),""))</f>
        <v/>
      </c>
    </row>
    <row r="81" spans="1:3" x14ac:dyDescent="0.2">
      <c r="A81" s="47"/>
      <c r="C81" s="11" t="str">
        <f>IF(B81="","",IFERROR(VLOOKUP(B81,PLI!$F$2:$H$34,3,0),""))</f>
        <v/>
      </c>
    </row>
    <row r="82" spans="1:3" x14ac:dyDescent="0.2">
      <c r="A82" s="47"/>
      <c r="C82" s="11" t="str">
        <f>IF(B82="","",IFERROR(VLOOKUP(B82,PLI!$F$2:$H$34,3,0),""))</f>
        <v/>
      </c>
    </row>
    <row r="83" spans="1:3" x14ac:dyDescent="0.2">
      <c r="A83" s="47"/>
      <c r="C83" s="11" t="str">
        <f>IF(B83="","",IFERROR(VLOOKUP(B83,PLI!$F$2:$H$34,3,0),""))</f>
        <v/>
      </c>
    </row>
    <row r="84" spans="1:3" x14ac:dyDescent="0.2">
      <c r="A84" s="47"/>
    </row>
    <row r="85" spans="1:3" x14ac:dyDescent="0.2">
      <c r="A85" s="47"/>
    </row>
    <row r="86" spans="1:3" x14ac:dyDescent="0.2">
      <c r="A86" s="47"/>
    </row>
    <row r="87" spans="1:3" x14ac:dyDescent="0.2">
      <c r="A87" s="47"/>
    </row>
    <row r="88" spans="1:3" x14ac:dyDescent="0.2">
      <c r="A88" s="47"/>
    </row>
    <row r="89" spans="1:3" x14ac:dyDescent="0.2">
      <c r="A89" s="47"/>
    </row>
    <row r="90" spans="1:3" x14ac:dyDescent="0.2">
      <c r="A90" s="47"/>
    </row>
  </sheetData>
  <conditionalFormatting sqref="B2:B80">
    <cfRule type="expression" dxfId="16" priority="1">
      <formula>AND(A2&lt;&gt;"",B2="")</formula>
    </cfRule>
    <cfRule type="cellIs" dxfId="15" priority="3" operator="notEqual">
      <formula>""</formula>
    </cfRule>
  </conditionalFormatting>
  <conditionalFormatting sqref="A2:A90">
    <cfRule type="cellIs" dxfId="14" priority="2" operator="equal">
      <formula>""</formula>
    </cfRule>
  </conditionalFormatting>
  <pageMargins left="0.7" right="0.7" top="0.75" bottom="0.75" header="0.3" footer="0.3"/>
  <pageSetup scale="83"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R457"/>
  <sheetViews>
    <sheetView workbookViewId="0"/>
  </sheetViews>
  <sheetFormatPr baseColWidth="10" defaultColWidth="8.83203125" defaultRowHeight="15" x14ac:dyDescent="0.2"/>
  <cols>
    <col min="1" max="1" width="10.6640625" style="3" bestFit="1" customWidth="1"/>
    <col min="2" max="2" width="5.5" style="3" customWidth="1"/>
    <col min="3" max="3" width="8" style="3" customWidth="1"/>
    <col min="4" max="4" width="7.1640625" style="3" customWidth="1"/>
    <col min="5" max="5" width="66.83203125" style="3" customWidth="1"/>
    <col min="6" max="6" width="4.5" style="3" customWidth="1"/>
    <col min="7" max="8" width="5.5" style="3" customWidth="1"/>
    <col min="9" max="9" width="33.5" style="3" bestFit="1" customWidth="1"/>
    <col min="10" max="10" width="44.5" style="3" customWidth="1"/>
    <col min="15" max="15" width="71" customWidth="1"/>
    <col min="16" max="16" width="32.6640625" customWidth="1"/>
  </cols>
  <sheetData>
    <row r="1" spans="1:18" ht="31" thickBot="1" x14ac:dyDescent="0.25">
      <c r="A1" s="114" t="s">
        <v>62</v>
      </c>
      <c r="B1" s="115" t="s">
        <v>63</v>
      </c>
      <c r="C1" s="115" t="s">
        <v>39</v>
      </c>
      <c r="D1" s="115" t="s">
        <v>30</v>
      </c>
      <c r="E1" s="26" t="s">
        <v>64</v>
      </c>
      <c r="F1" s="113" t="s">
        <v>488</v>
      </c>
      <c r="G1" s="112" t="s">
        <v>489</v>
      </c>
      <c r="H1" s="112" t="s">
        <v>490</v>
      </c>
      <c r="I1" s="27" t="s">
        <v>2</v>
      </c>
      <c r="J1" s="28" t="s">
        <v>65</v>
      </c>
      <c r="K1" s="3"/>
      <c r="L1" s="3"/>
      <c r="M1" s="3"/>
      <c r="N1" s="3"/>
      <c r="O1" s="16"/>
      <c r="P1" s="3"/>
      <c r="Q1" s="3"/>
      <c r="R1" s="3"/>
    </row>
    <row r="2" spans="1:18" ht="20" thickBot="1" x14ac:dyDescent="0.25">
      <c r="A2" s="79" t="s">
        <v>229</v>
      </c>
      <c r="B2" s="18" t="s">
        <v>67</v>
      </c>
      <c r="C2" s="18" t="s">
        <v>32</v>
      </c>
      <c r="D2" s="18" t="s">
        <v>68</v>
      </c>
      <c r="E2" s="19" t="s">
        <v>231</v>
      </c>
      <c r="F2" s="17" t="s">
        <v>492</v>
      </c>
      <c r="G2" s="17" t="str">
        <f t="shared" ref="G2:G65" si="0">IF(LEN(F2)=2,LEFT(F2,1),LEFT(F2,2))</f>
        <v>1</v>
      </c>
      <c r="H2" s="17" t="str">
        <f t="shared" ref="H2:H65" si="1">RIGHT(F2,1)</f>
        <v>b</v>
      </c>
      <c r="I2" s="20" t="str">
        <f t="shared" ref="I2:I65" si="2">IFERROR(VLOOKUP(F2,$N$2:$Q$39,4,FALSE),0)</f>
        <v>Knowledge base for engineering</v>
      </c>
      <c r="J2" s="21" t="str">
        <f t="shared" ref="J2:J65" si="3">IFERROR(VLOOKUP(F2,$N$2:$O$39,2,FALSE),0)</f>
        <v>Demonstrate understanding of natural sciences</v>
      </c>
      <c r="K2" s="3"/>
      <c r="L2" s="3"/>
      <c r="M2" s="3"/>
      <c r="N2" s="87"/>
      <c r="O2" s="88" t="s">
        <v>915</v>
      </c>
      <c r="P2" s="80" t="s">
        <v>916</v>
      </c>
      <c r="Q2" s="3"/>
      <c r="R2" s="3"/>
    </row>
    <row r="3" spans="1:18" ht="30" x14ac:dyDescent="0.2">
      <c r="A3" s="79" t="s">
        <v>229</v>
      </c>
      <c r="B3" s="18" t="s">
        <v>67</v>
      </c>
      <c r="C3" s="18" t="s">
        <v>32</v>
      </c>
      <c r="D3" s="18" t="s">
        <v>68</v>
      </c>
      <c r="E3" s="19" t="s">
        <v>230</v>
      </c>
      <c r="F3" s="17" t="s">
        <v>492</v>
      </c>
      <c r="G3" s="17" t="str">
        <f t="shared" si="0"/>
        <v>1</v>
      </c>
      <c r="H3" s="17" t="str">
        <f t="shared" si="1"/>
        <v>b</v>
      </c>
      <c r="I3" s="20" t="str">
        <f t="shared" si="2"/>
        <v>Knowledge base for engineering</v>
      </c>
      <c r="J3" s="21" t="str">
        <f t="shared" si="3"/>
        <v>Demonstrate understanding of natural sciences</v>
      </c>
      <c r="K3" s="3"/>
      <c r="L3" s="3"/>
      <c r="M3" s="3"/>
      <c r="N3" s="82" t="s">
        <v>491</v>
      </c>
      <c r="O3" s="89" t="s">
        <v>546</v>
      </c>
      <c r="P3" s="238" t="s">
        <v>917</v>
      </c>
      <c r="Q3" s="3" t="str">
        <f>IF(P3&lt;&gt;"",P3,Q2)</f>
        <v>Knowledge base for engineering</v>
      </c>
      <c r="R3" s="3"/>
    </row>
    <row r="4" spans="1:18" ht="30" x14ac:dyDescent="0.2">
      <c r="A4" s="79" t="s">
        <v>229</v>
      </c>
      <c r="B4" s="18" t="s">
        <v>67</v>
      </c>
      <c r="C4" s="18" t="s">
        <v>32</v>
      </c>
      <c r="D4" s="18" t="s">
        <v>68</v>
      </c>
      <c r="E4" s="19" t="s">
        <v>348</v>
      </c>
      <c r="F4" s="17" t="s">
        <v>508</v>
      </c>
      <c r="G4" s="17" t="str">
        <f t="shared" si="0"/>
        <v>2</v>
      </c>
      <c r="H4" s="17" t="str">
        <f t="shared" si="1"/>
        <v>a</v>
      </c>
      <c r="I4" s="20" t="str">
        <f t="shared" si="2"/>
        <v xml:space="preserve">Problem Analysis </v>
      </c>
      <c r="J4" s="21" t="str">
        <f t="shared" si="3"/>
        <v>Identify / define a problem</v>
      </c>
      <c r="K4" s="3"/>
      <c r="L4" s="3"/>
      <c r="M4" s="3"/>
      <c r="N4" s="29" t="s">
        <v>492</v>
      </c>
      <c r="O4" s="90" t="s">
        <v>547</v>
      </c>
      <c r="P4" s="239"/>
      <c r="Q4" s="3" t="str">
        <f t="shared" ref="Q4:Q35" si="4">IF(P4&lt;&gt;"",P4,Q3)</f>
        <v>Knowledge base for engineering</v>
      </c>
      <c r="R4" s="3"/>
    </row>
    <row r="5" spans="1:18" x14ac:dyDescent="0.2">
      <c r="A5" s="79" t="s">
        <v>229</v>
      </c>
      <c r="B5" s="18" t="s">
        <v>67</v>
      </c>
      <c r="C5" s="18" t="s">
        <v>32</v>
      </c>
      <c r="D5" s="18" t="s">
        <v>68</v>
      </c>
      <c r="E5" s="19" t="s">
        <v>347</v>
      </c>
      <c r="F5" s="17" t="s">
        <v>510</v>
      </c>
      <c r="G5" s="17" t="str">
        <f t="shared" si="0"/>
        <v>2</v>
      </c>
      <c r="H5" s="17" t="str">
        <f t="shared" si="1"/>
        <v>c</v>
      </c>
      <c r="I5" s="20" t="str">
        <f t="shared" si="2"/>
        <v xml:space="preserve">Problem Analysis </v>
      </c>
      <c r="J5" s="21" t="str">
        <f t="shared" si="3"/>
        <v>Evaluate solutions of complex engineering problems to reach substantiated conclusions</v>
      </c>
      <c r="K5" s="3"/>
      <c r="L5" s="3"/>
      <c r="M5" s="3"/>
      <c r="N5" s="29" t="s">
        <v>493</v>
      </c>
      <c r="O5" s="90" t="s">
        <v>548</v>
      </c>
      <c r="P5" s="239"/>
      <c r="Q5" s="3" t="str">
        <f t="shared" si="4"/>
        <v>Knowledge base for engineering</v>
      </c>
      <c r="R5" s="3"/>
    </row>
    <row r="6" spans="1:18" ht="31" thickBot="1" x14ac:dyDescent="0.25">
      <c r="A6" s="79" t="s">
        <v>229</v>
      </c>
      <c r="B6" s="18" t="s">
        <v>67</v>
      </c>
      <c r="C6" s="18" t="s">
        <v>32</v>
      </c>
      <c r="D6" s="18" t="s">
        <v>68</v>
      </c>
      <c r="E6" s="19" t="s">
        <v>349</v>
      </c>
      <c r="F6" s="17" t="s">
        <v>510</v>
      </c>
      <c r="G6" s="17" t="str">
        <f t="shared" si="0"/>
        <v>2</v>
      </c>
      <c r="H6" s="17" t="str">
        <f t="shared" si="1"/>
        <v>c</v>
      </c>
      <c r="I6" s="20" t="str">
        <f t="shared" si="2"/>
        <v xml:space="preserve">Problem Analysis </v>
      </c>
      <c r="J6" s="21" t="str">
        <f t="shared" si="3"/>
        <v>Evaluate solutions of complex engineering problems to reach substantiated conclusions</v>
      </c>
      <c r="K6" s="3"/>
      <c r="L6" s="3"/>
      <c r="M6" s="3"/>
      <c r="N6" s="29" t="s">
        <v>494</v>
      </c>
      <c r="O6" s="90" t="s">
        <v>898</v>
      </c>
      <c r="P6" s="240"/>
      <c r="Q6" s="3" t="str">
        <f t="shared" si="4"/>
        <v>Knowledge base for engineering</v>
      </c>
      <c r="R6" s="3"/>
    </row>
    <row r="7" spans="1:18" x14ac:dyDescent="0.2">
      <c r="A7" s="79" t="s">
        <v>232</v>
      </c>
      <c r="B7" s="18" t="s">
        <v>67</v>
      </c>
      <c r="C7" s="18" t="s">
        <v>32</v>
      </c>
      <c r="D7" s="18" t="s">
        <v>68</v>
      </c>
      <c r="E7" s="19" t="s">
        <v>236</v>
      </c>
      <c r="F7" s="17" t="s">
        <v>491</v>
      </c>
      <c r="G7" s="17" t="str">
        <f t="shared" si="0"/>
        <v>1</v>
      </c>
      <c r="H7" s="17" t="str">
        <f t="shared" si="1"/>
        <v>a</v>
      </c>
      <c r="I7" s="20" t="str">
        <f t="shared" si="2"/>
        <v>Knowledge base for engineering</v>
      </c>
      <c r="J7" s="21" t="str">
        <f t="shared" si="3"/>
        <v>Demonstrate understanding of mathematics</v>
      </c>
      <c r="K7" s="3"/>
      <c r="L7" s="3"/>
      <c r="M7" s="3"/>
      <c r="N7" s="82" t="s">
        <v>508</v>
      </c>
      <c r="O7" s="89" t="s">
        <v>918</v>
      </c>
      <c r="P7" s="238" t="s">
        <v>549</v>
      </c>
      <c r="Q7" s="3" t="str">
        <f t="shared" si="4"/>
        <v xml:space="preserve">Problem Analysis </v>
      </c>
      <c r="R7" s="3"/>
    </row>
    <row r="8" spans="1:18" ht="30" x14ac:dyDescent="0.2">
      <c r="A8" s="79" t="s">
        <v>232</v>
      </c>
      <c r="B8" s="18" t="s">
        <v>67</v>
      </c>
      <c r="C8" s="18" t="s">
        <v>32</v>
      </c>
      <c r="D8" s="18" t="s">
        <v>68</v>
      </c>
      <c r="E8" s="19" t="s">
        <v>234</v>
      </c>
      <c r="F8" s="17" t="s">
        <v>491</v>
      </c>
      <c r="G8" s="17" t="str">
        <f t="shared" si="0"/>
        <v>1</v>
      </c>
      <c r="H8" s="17" t="str">
        <f t="shared" si="1"/>
        <v>a</v>
      </c>
      <c r="I8" s="20" t="str">
        <f t="shared" si="2"/>
        <v>Knowledge base for engineering</v>
      </c>
      <c r="J8" s="21" t="str">
        <f t="shared" si="3"/>
        <v>Demonstrate understanding of mathematics</v>
      </c>
      <c r="K8" s="3"/>
      <c r="L8" s="3"/>
      <c r="M8" s="3"/>
      <c r="N8" s="29" t="s">
        <v>509</v>
      </c>
      <c r="O8" s="90" t="s">
        <v>919</v>
      </c>
      <c r="P8" s="239"/>
      <c r="Q8" s="3" t="str">
        <f t="shared" si="4"/>
        <v xml:space="preserve">Problem Analysis </v>
      </c>
      <c r="R8" s="3"/>
    </row>
    <row r="9" spans="1:18" ht="16" thickBot="1" x14ac:dyDescent="0.25">
      <c r="A9" s="79" t="s">
        <v>232</v>
      </c>
      <c r="B9" s="18" t="s">
        <v>67</v>
      </c>
      <c r="C9" s="18" t="s">
        <v>32</v>
      </c>
      <c r="D9" s="18" t="s">
        <v>68</v>
      </c>
      <c r="E9" s="19" t="s">
        <v>237</v>
      </c>
      <c r="F9" s="17" t="s">
        <v>491</v>
      </c>
      <c r="G9" s="17" t="str">
        <f t="shared" si="0"/>
        <v>1</v>
      </c>
      <c r="H9" s="17" t="str">
        <f t="shared" si="1"/>
        <v>a</v>
      </c>
      <c r="I9" s="20" t="str">
        <f t="shared" si="2"/>
        <v>Knowledge base for engineering</v>
      </c>
      <c r="J9" s="21" t="str">
        <f t="shared" si="3"/>
        <v>Demonstrate understanding of mathematics</v>
      </c>
      <c r="K9" s="3"/>
      <c r="L9" s="3"/>
      <c r="M9" s="3"/>
      <c r="N9" s="29" t="s">
        <v>510</v>
      </c>
      <c r="O9" s="90" t="s">
        <v>920</v>
      </c>
      <c r="P9" s="240"/>
      <c r="Q9" s="3" t="str">
        <f t="shared" si="4"/>
        <v xml:space="preserve">Problem Analysis </v>
      </c>
      <c r="R9" s="3"/>
    </row>
    <row r="10" spans="1:18" ht="30" x14ac:dyDescent="0.2">
      <c r="A10" s="79" t="s">
        <v>232</v>
      </c>
      <c r="B10" s="18" t="s">
        <v>67</v>
      </c>
      <c r="C10" s="18" t="s">
        <v>32</v>
      </c>
      <c r="D10" s="18" t="s">
        <v>68</v>
      </c>
      <c r="E10" s="19" t="s">
        <v>235</v>
      </c>
      <c r="F10" s="17" t="s">
        <v>491</v>
      </c>
      <c r="G10" s="17" t="str">
        <f t="shared" si="0"/>
        <v>1</v>
      </c>
      <c r="H10" s="17" t="str">
        <f t="shared" si="1"/>
        <v>a</v>
      </c>
      <c r="I10" s="20" t="str">
        <f t="shared" si="2"/>
        <v>Knowledge base for engineering</v>
      </c>
      <c r="J10" s="21" t="str">
        <f t="shared" si="3"/>
        <v>Demonstrate understanding of mathematics</v>
      </c>
      <c r="K10" s="3"/>
      <c r="L10" s="3"/>
      <c r="M10" s="3"/>
      <c r="N10" s="82" t="s">
        <v>512</v>
      </c>
      <c r="O10" s="89" t="s">
        <v>921</v>
      </c>
      <c r="P10" s="238" t="s">
        <v>41</v>
      </c>
      <c r="Q10" s="3" t="str">
        <f t="shared" si="4"/>
        <v>Investigation</v>
      </c>
      <c r="R10" s="3"/>
    </row>
    <row r="11" spans="1:18" x14ac:dyDescent="0.2">
      <c r="A11" s="79" t="s">
        <v>232</v>
      </c>
      <c r="B11" s="18" t="s">
        <v>67</v>
      </c>
      <c r="C11" s="18" t="s">
        <v>32</v>
      </c>
      <c r="D11" s="18" t="s">
        <v>68</v>
      </c>
      <c r="E11" s="19" t="s">
        <v>233</v>
      </c>
      <c r="F11" s="17" t="s">
        <v>491</v>
      </c>
      <c r="G11" s="17" t="str">
        <f t="shared" si="0"/>
        <v>1</v>
      </c>
      <c r="H11" s="17" t="str">
        <f t="shared" si="1"/>
        <v>a</v>
      </c>
      <c r="I11" s="20" t="str">
        <f t="shared" si="2"/>
        <v>Knowledge base for engineering</v>
      </c>
      <c r="J11" s="21" t="str">
        <f t="shared" si="3"/>
        <v>Demonstrate understanding of mathematics</v>
      </c>
      <c r="K11" s="3"/>
      <c r="L11" s="3"/>
      <c r="M11" s="3"/>
      <c r="N11" s="29" t="s">
        <v>513</v>
      </c>
      <c r="O11" s="90" t="s">
        <v>873</v>
      </c>
      <c r="P11" s="239"/>
      <c r="Q11" s="3" t="str">
        <f t="shared" si="4"/>
        <v>Investigation</v>
      </c>
      <c r="R11" s="3"/>
    </row>
    <row r="12" spans="1:18" ht="16" thickBot="1" x14ac:dyDescent="0.25">
      <c r="A12" s="79" t="s">
        <v>232</v>
      </c>
      <c r="B12" s="18" t="s">
        <v>67</v>
      </c>
      <c r="C12" s="18" t="s">
        <v>32</v>
      </c>
      <c r="D12" s="18" t="s">
        <v>68</v>
      </c>
      <c r="E12" s="19" t="s">
        <v>352</v>
      </c>
      <c r="F12" s="17" t="s">
        <v>510</v>
      </c>
      <c r="G12" s="17" t="str">
        <f t="shared" si="0"/>
        <v>2</v>
      </c>
      <c r="H12" s="17" t="str">
        <f t="shared" si="1"/>
        <v>c</v>
      </c>
      <c r="I12" s="20" t="str">
        <f t="shared" si="2"/>
        <v xml:space="preserve">Problem Analysis </v>
      </c>
      <c r="J12" s="21" t="str">
        <f t="shared" si="3"/>
        <v>Evaluate solutions of complex engineering problems to reach substantiated conclusions</v>
      </c>
      <c r="K12" s="3"/>
      <c r="L12" s="3"/>
      <c r="M12" s="3"/>
      <c r="N12" s="83" t="s">
        <v>514</v>
      </c>
      <c r="O12" s="91" t="s">
        <v>922</v>
      </c>
      <c r="P12" s="240"/>
      <c r="Q12" s="3" t="str">
        <f t="shared" si="4"/>
        <v>Investigation</v>
      </c>
      <c r="R12" s="3"/>
    </row>
    <row r="13" spans="1:18" x14ac:dyDescent="0.2">
      <c r="A13" s="79" t="s">
        <v>232</v>
      </c>
      <c r="B13" s="18" t="s">
        <v>67</v>
      </c>
      <c r="C13" s="18" t="s">
        <v>32</v>
      </c>
      <c r="D13" s="18" t="s">
        <v>68</v>
      </c>
      <c r="E13" s="19" t="s">
        <v>351</v>
      </c>
      <c r="F13" s="17" t="s">
        <v>510</v>
      </c>
      <c r="G13" s="17" t="str">
        <f t="shared" si="0"/>
        <v>2</v>
      </c>
      <c r="H13" s="17" t="str">
        <f t="shared" si="1"/>
        <v>c</v>
      </c>
      <c r="I13" s="20" t="str">
        <f t="shared" si="2"/>
        <v xml:space="preserve">Problem Analysis </v>
      </c>
      <c r="J13" s="21" t="str">
        <f t="shared" si="3"/>
        <v>Evaluate solutions of complex engineering problems to reach substantiated conclusions</v>
      </c>
      <c r="K13" s="3"/>
      <c r="L13" s="3"/>
      <c r="M13" s="3"/>
      <c r="N13" s="82" t="s">
        <v>515</v>
      </c>
      <c r="O13" s="89" t="s">
        <v>923</v>
      </c>
      <c r="P13" s="238" t="s">
        <v>42</v>
      </c>
      <c r="Q13" s="3" t="str">
        <f t="shared" si="4"/>
        <v>Design</v>
      </c>
      <c r="R13" s="3"/>
    </row>
    <row r="14" spans="1:18" x14ac:dyDescent="0.2">
      <c r="A14" s="79" t="s">
        <v>232</v>
      </c>
      <c r="B14" s="18" t="s">
        <v>67</v>
      </c>
      <c r="C14" s="18" t="s">
        <v>32</v>
      </c>
      <c r="D14" s="18" t="s">
        <v>68</v>
      </c>
      <c r="E14" s="19" t="s">
        <v>350</v>
      </c>
      <c r="F14" s="17" t="s">
        <v>510</v>
      </c>
      <c r="G14" s="17" t="str">
        <f t="shared" si="0"/>
        <v>2</v>
      </c>
      <c r="H14" s="17" t="str">
        <f t="shared" si="1"/>
        <v>c</v>
      </c>
      <c r="I14" s="20" t="str">
        <f t="shared" si="2"/>
        <v xml:space="preserve">Problem Analysis </v>
      </c>
      <c r="J14" s="21" t="str">
        <f t="shared" si="3"/>
        <v>Evaluate solutions of complex engineering problems to reach substantiated conclusions</v>
      </c>
      <c r="K14" s="3"/>
      <c r="L14" s="3"/>
      <c r="M14" s="3"/>
      <c r="N14" s="29" t="s">
        <v>516</v>
      </c>
      <c r="O14" s="90" t="s">
        <v>924</v>
      </c>
      <c r="P14" s="239"/>
      <c r="Q14" s="3" t="str">
        <f t="shared" si="4"/>
        <v>Design</v>
      </c>
      <c r="R14" s="3"/>
    </row>
    <row r="15" spans="1:18" ht="31" thickBot="1" x14ac:dyDescent="0.25">
      <c r="A15" s="79" t="s">
        <v>238</v>
      </c>
      <c r="B15" s="18" t="s">
        <v>67</v>
      </c>
      <c r="C15" s="18" t="s">
        <v>32</v>
      </c>
      <c r="D15" s="18" t="s">
        <v>68</v>
      </c>
      <c r="E15" s="19" t="s">
        <v>239</v>
      </c>
      <c r="F15" s="17" t="s">
        <v>491</v>
      </c>
      <c r="G15" s="17" t="str">
        <f t="shared" si="0"/>
        <v>1</v>
      </c>
      <c r="H15" s="17" t="str">
        <f t="shared" si="1"/>
        <v>a</v>
      </c>
      <c r="I15" s="20" t="str">
        <f t="shared" si="2"/>
        <v>Knowledge base for engineering</v>
      </c>
      <c r="J15" s="21" t="str">
        <f t="shared" si="3"/>
        <v>Demonstrate understanding of mathematics</v>
      </c>
      <c r="K15" s="3"/>
      <c r="L15" s="3"/>
      <c r="M15" s="3"/>
      <c r="N15" s="83" t="s">
        <v>517</v>
      </c>
      <c r="O15" s="92" t="s">
        <v>876</v>
      </c>
      <c r="P15" s="240"/>
      <c r="Q15" s="3" t="str">
        <f t="shared" si="4"/>
        <v>Design</v>
      </c>
      <c r="R15" s="3"/>
    </row>
    <row r="16" spans="1:18" ht="30" x14ac:dyDescent="0.2">
      <c r="A16" s="79" t="s">
        <v>238</v>
      </c>
      <c r="B16" s="18" t="s">
        <v>67</v>
      </c>
      <c r="C16" s="18" t="s">
        <v>32</v>
      </c>
      <c r="D16" s="18" t="s">
        <v>68</v>
      </c>
      <c r="E16" s="19" t="s">
        <v>240</v>
      </c>
      <c r="F16" s="17" t="s">
        <v>491</v>
      </c>
      <c r="G16" s="17" t="str">
        <f t="shared" si="0"/>
        <v>1</v>
      </c>
      <c r="H16" s="17" t="str">
        <f t="shared" si="1"/>
        <v>a</v>
      </c>
      <c r="I16" s="20" t="str">
        <f t="shared" si="2"/>
        <v>Knowledge base for engineering</v>
      </c>
      <c r="J16" s="21" t="str">
        <f t="shared" si="3"/>
        <v>Demonstrate understanding of mathematics</v>
      </c>
      <c r="K16" s="3"/>
      <c r="L16" s="3"/>
      <c r="M16" s="3"/>
      <c r="N16" s="82" t="s">
        <v>518</v>
      </c>
      <c r="O16" s="93" t="s">
        <v>925</v>
      </c>
      <c r="P16" s="238" t="s">
        <v>479</v>
      </c>
      <c r="Q16" s="3" t="str">
        <f t="shared" si="4"/>
        <v>Use of Engineering Tools</v>
      </c>
      <c r="R16" s="3"/>
    </row>
    <row r="17" spans="1:18" x14ac:dyDescent="0.2">
      <c r="A17" s="79" t="s">
        <v>238</v>
      </c>
      <c r="B17" s="18" t="s">
        <v>67</v>
      </c>
      <c r="C17" s="18" t="s">
        <v>32</v>
      </c>
      <c r="D17" s="18" t="s">
        <v>68</v>
      </c>
      <c r="E17" s="19" t="s">
        <v>241</v>
      </c>
      <c r="F17" s="17" t="s">
        <v>491</v>
      </c>
      <c r="G17" s="17" t="str">
        <f t="shared" si="0"/>
        <v>1</v>
      </c>
      <c r="H17" s="17" t="str">
        <f t="shared" si="1"/>
        <v>a</v>
      </c>
      <c r="I17" s="20" t="str">
        <f t="shared" si="2"/>
        <v>Knowledge base for engineering</v>
      </c>
      <c r="J17" s="21" t="str">
        <f t="shared" si="3"/>
        <v>Demonstrate understanding of mathematics</v>
      </c>
      <c r="K17" s="3"/>
      <c r="L17" s="3"/>
      <c r="M17" s="3"/>
      <c r="N17" s="29" t="s">
        <v>520</v>
      </c>
      <c r="O17" s="90" t="s">
        <v>877</v>
      </c>
      <c r="P17" s="239"/>
      <c r="Q17" s="3" t="str">
        <f t="shared" si="4"/>
        <v>Use of Engineering Tools</v>
      </c>
      <c r="R17" s="3"/>
    </row>
    <row r="18" spans="1:18" ht="31" thickBot="1" x14ac:dyDescent="0.25">
      <c r="A18" s="79" t="s">
        <v>242</v>
      </c>
      <c r="B18" s="18" t="s">
        <v>71</v>
      </c>
      <c r="C18" s="18" t="s">
        <v>32</v>
      </c>
      <c r="D18" s="18" t="s">
        <v>68</v>
      </c>
      <c r="E18" s="19" t="s">
        <v>245</v>
      </c>
      <c r="F18" s="17" t="s">
        <v>491</v>
      </c>
      <c r="G18" s="17" t="str">
        <f t="shared" si="0"/>
        <v>1</v>
      </c>
      <c r="H18" s="17" t="str">
        <f t="shared" si="1"/>
        <v>a</v>
      </c>
      <c r="I18" s="20" t="str">
        <f t="shared" si="2"/>
        <v>Knowledge base for engineering</v>
      </c>
      <c r="J18" s="21" t="str">
        <f t="shared" si="3"/>
        <v>Demonstrate understanding of mathematics</v>
      </c>
      <c r="K18" s="3"/>
      <c r="L18" s="3"/>
      <c r="M18" s="3"/>
      <c r="N18" s="83" t="s">
        <v>524</v>
      </c>
      <c r="O18" s="94" t="s">
        <v>926</v>
      </c>
      <c r="P18" s="240"/>
      <c r="Q18" s="3" t="str">
        <f t="shared" si="4"/>
        <v>Use of Engineering Tools</v>
      </c>
      <c r="R18" s="3"/>
    </row>
    <row r="19" spans="1:18" ht="16" x14ac:dyDescent="0.2">
      <c r="A19" s="79" t="s">
        <v>242</v>
      </c>
      <c r="B19" s="18" t="s">
        <v>71</v>
      </c>
      <c r="C19" s="18" t="s">
        <v>32</v>
      </c>
      <c r="D19" s="18" t="s">
        <v>68</v>
      </c>
      <c r="E19" s="19" t="s">
        <v>248</v>
      </c>
      <c r="F19" s="17" t="s">
        <v>491</v>
      </c>
      <c r="G19" s="17" t="str">
        <f t="shared" si="0"/>
        <v>1</v>
      </c>
      <c r="H19" s="17" t="str">
        <f t="shared" si="1"/>
        <v>a</v>
      </c>
      <c r="I19" s="20" t="str">
        <f t="shared" si="2"/>
        <v>Knowledge base for engineering</v>
      </c>
      <c r="J19" s="21" t="str">
        <f t="shared" si="3"/>
        <v>Demonstrate understanding of mathematics</v>
      </c>
      <c r="K19" s="3"/>
      <c r="L19" s="3"/>
      <c r="M19" s="3"/>
      <c r="N19" s="84" t="s">
        <v>526</v>
      </c>
      <c r="O19" s="95" t="s">
        <v>927</v>
      </c>
      <c r="P19" s="235" t="s">
        <v>550</v>
      </c>
      <c r="Q19" s="3" t="str">
        <f t="shared" si="4"/>
        <v>Individual and team work</v>
      </c>
      <c r="R19" s="3"/>
    </row>
    <row r="20" spans="1:18" ht="17" thickBot="1" x14ac:dyDescent="0.25">
      <c r="A20" s="79" t="s">
        <v>242</v>
      </c>
      <c r="B20" s="18" t="s">
        <v>71</v>
      </c>
      <c r="C20" s="18" t="s">
        <v>32</v>
      </c>
      <c r="D20" s="18" t="s">
        <v>68</v>
      </c>
      <c r="E20" s="19" t="s">
        <v>246</v>
      </c>
      <c r="F20" s="17" t="s">
        <v>491</v>
      </c>
      <c r="G20" s="17" t="str">
        <f t="shared" si="0"/>
        <v>1</v>
      </c>
      <c r="H20" s="17" t="str">
        <f t="shared" si="1"/>
        <v>a</v>
      </c>
      <c r="I20" s="20" t="str">
        <f t="shared" si="2"/>
        <v>Knowledge base for engineering</v>
      </c>
      <c r="J20" s="21" t="str">
        <f t="shared" si="3"/>
        <v>Demonstrate understanding of mathematics</v>
      </c>
      <c r="K20" s="3"/>
      <c r="L20" s="3"/>
      <c r="M20" s="3"/>
      <c r="N20" s="86" t="s">
        <v>527</v>
      </c>
      <c r="O20" s="96" t="s">
        <v>928</v>
      </c>
      <c r="P20" s="237"/>
      <c r="Q20" s="3" t="str">
        <f t="shared" si="4"/>
        <v>Individual and team work</v>
      </c>
      <c r="R20" s="3"/>
    </row>
    <row r="21" spans="1:18" ht="30" x14ac:dyDescent="0.2">
      <c r="A21" s="79" t="s">
        <v>242</v>
      </c>
      <c r="B21" s="18" t="s">
        <v>71</v>
      </c>
      <c r="C21" s="18" t="s">
        <v>32</v>
      </c>
      <c r="D21" s="18" t="s">
        <v>68</v>
      </c>
      <c r="E21" s="19" t="s">
        <v>247</v>
      </c>
      <c r="F21" s="17" t="s">
        <v>491</v>
      </c>
      <c r="G21" s="17" t="str">
        <f t="shared" si="0"/>
        <v>1</v>
      </c>
      <c r="H21" s="17" t="str">
        <f t="shared" si="1"/>
        <v>a</v>
      </c>
      <c r="I21" s="20" t="str">
        <f t="shared" si="2"/>
        <v>Knowledge base for engineering</v>
      </c>
      <c r="J21" s="21" t="str">
        <f t="shared" si="3"/>
        <v>Demonstrate understanding of mathematics</v>
      </c>
      <c r="K21" s="3"/>
      <c r="L21" s="3"/>
      <c r="M21" s="3"/>
      <c r="N21" s="85" t="s">
        <v>530</v>
      </c>
      <c r="O21" s="97" t="s">
        <v>882</v>
      </c>
      <c r="P21" s="235" t="s">
        <v>481</v>
      </c>
      <c r="Q21" s="3" t="str">
        <f t="shared" si="4"/>
        <v>Communication Skills</v>
      </c>
      <c r="R21" s="3"/>
    </row>
    <row r="22" spans="1:18" ht="30" x14ac:dyDescent="0.2">
      <c r="A22" s="79" t="s">
        <v>242</v>
      </c>
      <c r="B22" s="18" t="s">
        <v>71</v>
      </c>
      <c r="C22" s="18" t="s">
        <v>32</v>
      </c>
      <c r="D22" s="18" t="s">
        <v>68</v>
      </c>
      <c r="E22" s="19" t="s">
        <v>243</v>
      </c>
      <c r="F22" s="17" t="s">
        <v>491</v>
      </c>
      <c r="G22" s="17" t="str">
        <f t="shared" si="0"/>
        <v>1</v>
      </c>
      <c r="H22" s="17" t="str">
        <f t="shared" si="1"/>
        <v>a</v>
      </c>
      <c r="I22" s="20" t="str">
        <f t="shared" si="2"/>
        <v>Knowledge base for engineering</v>
      </c>
      <c r="J22" s="21" t="str">
        <f t="shared" si="3"/>
        <v>Demonstrate understanding of mathematics</v>
      </c>
      <c r="K22" s="3"/>
      <c r="L22" s="3"/>
      <c r="M22" s="3"/>
      <c r="N22" s="85" t="s">
        <v>528</v>
      </c>
      <c r="O22" s="97" t="s">
        <v>929</v>
      </c>
      <c r="P22" s="236"/>
      <c r="Q22" s="3" t="str">
        <f t="shared" si="4"/>
        <v>Communication Skills</v>
      </c>
      <c r="R22" s="3"/>
    </row>
    <row r="23" spans="1:18" ht="31" thickBot="1" x14ac:dyDescent="0.25">
      <c r="A23" s="79" t="s">
        <v>242</v>
      </c>
      <c r="B23" s="18" t="s">
        <v>71</v>
      </c>
      <c r="C23" s="18" t="s">
        <v>32</v>
      </c>
      <c r="D23" s="18" t="s">
        <v>68</v>
      </c>
      <c r="E23" s="19" t="s">
        <v>244</v>
      </c>
      <c r="F23" s="17" t="s">
        <v>491</v>
      </c>
      <c r="G23" s="17" t="str">
        <f t="shared" si="0"/>
        <v>1</v>
      </c>
      <c r="H23" s="17" t="str">
        <f t="shared" si="1"/>
        <v>a</v>
      </c>
      <c r="I23" s="20" t="str">
        <f t="shared" si="2"/>
        <v>Knowledge base for engineering</v>
      </c>
      <c r="J23" s="21" t="str">
        <f t="shared" si="3"/>
        <v>Demonstrate understanding of mathematics</v>
      </c>
      <c r="K23" s="3"/>
      <c r="L23" s="3"/>
      <c r="M23" s="3"/>
      <c r="N23" s="86" t="s">
        <v>542</v>
      </c>
      <c r="O23" s="98" t="s">
        <v>930</v>
      </c>
      <c r="P23" s="237"/>
      <c r="Q23" s="3" t="str">
        <f t="shared" si="4"/>
        <v>Communication Skills</v>
      </c>
      <c r="R23" s="3"/>
    </row>
    <row r="24" spans="1:18" ht="30" x14ac:dyDescent="0.2">
      <c r="A24" s="79" t="s">
        <v>164</v>
      </c>
      <c r="B24" s="18" t="s">
        <v>74</v>
      </c>
      <c r="C24" s="18" t="s">
        <v>32</v>
      </c>
      <c r="D24" s="18" t="s">
        <v>75</v>
      </c>
      <c r="E24" s="19" t="s">
        <v>250</v>
      </c>
      <c r="F24" s="17" t="s">
        <v>493</v>
      </c>
      <c r="G24" s="17" t="str">
        <f t="shared" si="0"/>
        <v>1</v>
      </c>
      <c r="H24" s="17" t="str">
        <f t="shared" si="1"/>
        <v>c</v>
      </c>
      <c r="I24" s="20" t="str">
        <f t="shared" si="2"/>
        <v>Knowledge base for engineering</v>
      </c>
      <c r="J24" s="21" t="str">
        <f t="shared" si="3"/>
        <v>Demonstrate understanding of engineering fundamentals</v>
      </c>
      <c r="K24" s="3"/>
      <c r="L24" s="3"/>
      <c r="M24" s="3"/>
      <c r="N24" s="84" t="s">
        <v>545</v>
      </c>
      <c r="O24" s="99" t="s">
        <v>931</v>
      </c>
      <c r="P24" s="235" t="s">
        <v>43</v>
      </c>
      <c r="Q24" s="3" t="str">
        <f t="shared" si="4"/>
        <v>Professionalism</v>
      </c>
      <c r="R24" s="3"/>
    </row>
    <row r="25" spans="1:18" ht="31" thickBot="1" x14ac:dyDescent="0.25">
      <c r="A25" s="79" t="s">
        <v>164</v>
      </c>
      <c r="B25" s="18" t="s">
        <v>74</v>
      </c>
      <c r="C25" s="18" t="s">
        <v>32</v>
      </c>
      <c r="D25" s="18" t="s">
        <v>75</v>
      </c>
      <c r="E25" s="19" t="s">
        <v>249</v>
      </c>
      <c r="F25" s="17" t="s">
        <v>492</v>
      </c>
      <c r="G25" s="17" t="str">
        <f t="shared" si="0"/>
        <v>1</v>
      </c>
      <c r="H25" s="17" t="str">
        <f t="shared" si="1"/>
        <v>b</v>
      </c>
      <c r="I25" s="20" t="str">
        <f t="shared" si="2"/>
        <v>Knowledge base for engineering</v>
      </c>
      <c r="J25" s="21" t="str">
        <f t="shared" si="3"/>
        <v>Demonstrate understanding of natural sciences</v>
      </c>
      <c r="K25" s="3"/>
      <c r="L25" s="3"/>
      <c r="M25" s="3"/>
      <c r="N25" s="86" t="s">
        <v>932</v>
      </c>
      <c r="O25" s="100" t="s">
        <v>933</v>
      </c>
      <c r="P25" s="237"/>
      <c r="Q25" s="3" t="str">
        <f t="shared" si="4"/>
        <v>Professionalism</v>
      </c>
      <c r="R25" s="3"/>
    </row>
    <row r="26" spans="1:18" ht="30" x14ac:dyDescent="0.2">
      <c r="A26" s="79" t="s">
        <v>164</v>
      </c>
      <c r="B26" s="18" t="s">
        <v>74</v>
      </c>
      <c r="C26" s="18" t="s">
        <v>32</v>
      </c>
      <c r="D26" s="18" t="s">
        <v>75</v>
      </c>
      <c r="E26" s="19" t="s">
        <v>355</v>
      </c>
      <c r="F26" s="17" t="s">
        <v>509</v>
      </c>
      <c r="G26" s="17" t="str">
        <f t="shared" si="0"/>
        <v>2</v>
      </c>
      <c r="H26" s="17" t="str">
        <f t="shared" si="1"/>
        <v>b</v>
      </c>
      <c r="I26" s="20" t="str">
        <f t="shared" si="2"/>
        <v xml:space="preserve">Problem Analysis </v>
      </c>
      <c r="J26" s="21" t="str">
        <f t="shared" si="3"/>
        <v>Develop / solve models of engineering problems including identifying approximations, assumptions, and constraints</v>
      </c>
      <c r="K26" s="3"/>
      <c r="L26" s="3"/>
      <c r="M26" s="3"/>
      <c r="N26" s="84" t="s">
        <v>511</v>
      </c>
      <c r="O26" s="99" t="s">
        <v>934</v>
      </c>
      <c r="P26" s="235" t="s">
        <v>551</v>
      </c>
      <c r="Q26" s="3" t="str">
        <f t="shared" si="4"/>
        <v>Impact of engineering</v>
      </c>
      <c r="R26" s="3"/>
    </row>
    <row r="27" spans="1:18" ht="31" thickBot="1" x14ac:dyDescent="0.25">
      <c r="A27" s="79" t="s">
        <v>164</v>
      </c>
      <c r="B27" s="18" t="s">
        <v>74</v>
      </c>
      <c r="C27" s="18" t="s">
        <v>32</v>
      </c>
      <c r="D27" s="18" t="s">
        <v>75</v>
      </c>
      <c r="E27" s="19" t="s">
        <v>356</v>
      </c>
      <c r="F27" s="17" t="s">
        <v>509</v>
      </c>
      <c r="G27" s="17" t="str">
        <f t="shared" si="0"/>
        <v>2</v>
      </c>
      <c r="H27" s="17" t="str">
        <f t="shared" si="1"/>
        <v>b</v>
      </c>
      <c r="I27" s="20" t="str">
        <f t="shared" si="2"/>
        <v xml:space="preserve">Problem Analysis </v>
      </c>
      <c r="J27" s="21" t="str">
        <f t="shared" si="3"/>
        <v>Develop / solve models of engineering problems including identifying approximations, assumptions, and constraints</v>
      </c>
      <c r="K27" s="3"/>
      <c r="L27" s="3"/>
      <c r="M27" s="3"/>
      <c r="N27" s="85" t="s">
        <v>935</v>
      </c>
      <c r="O27" s="101" t="s">
        <v>888</v>
      </c>
      <c r="P27" s="237"/>
      <c r="Q27" s="3" t="str">
        <f t="shared" si="4"/>
        <v>Impact of engineering</v>
      </c>
      <c r="R27" s="3"/>
    </row>
    <row r="28" spans="1:18" x14ac:dyDescent="0.2">
      <c r="A28" s="79" t="s">
        <v>164</v>
      </c>
      <c r="B28" s="18" t="s">
        <v>74</v>
      </c>
      <c r="C28" s="18" t="s">
        <v>32</v>
      </c>
      <c r="D28" s="18" t="s">
        <v>75</v>
      </c>
      <c r="E28" s="19" t="s">
        <v>354</v>
      </c>
      <c r="F28" s="17" t="s">
        <v>510</v>
      </c>
      <c r="G28" s="17" t="str">
        <f t="shared" si="0"/>
        <v>2</v>
      </c>
      <c r="H28" s="17" t="str">
        <f t="shared" si="1"/>
        <v>c</v>
      </c>
      <c r="I28" s="20" t="str">
        <f t="shared" si="2"/>
        <v xml:space="preserve">Problem Analysis </v>
      </c>
      <c r="J28" s="21" t="str">
        <f t="shared" si="3"/>
        <v>Evaluate solutions of complex engineering problems to reach substantiated conclusions</v>
      </c>
      <c r="K28" s="3"/>
      <c r="L28" s="3"/>
      <c r="M28" s="3"/>
      <c r="N28" s="84" t="s">
        <v>495</v>
      </c>
      <c r="O28" s="99" t="s">
        <v>936</v>
      </c>
      <c r="P28" s="235" t="s">
        <v>552</v>
      </c>
      <c r="Q28" s="3" t="str">
        <f>IF(P28&lt;&gt;"",P28,#REF!)</f>
        <v>Ethics and equity</v>
      </c>
      <c r="R28" s="3"/>
    </row>
    <row r="29" spans="1:18" x14ac:dyDescent="0.2">
      <c r="A29" s="79" t="s">
        <v>164</v>
      </c>
      <c r="B29" s="18" t="s">
        <v>74</v>
      </c>
      <c r="C29" s="18" t="s">
        <v>32</v>
      </c>
      <c r="D29" s="18" t="s">
        <v>75</v>
      </c>
      <c r="E29" s="19" t="s">
        <v>353</v>
      </c>
      <c r="F29" s="17" t="s">
        <v>510</v>
      </c>
      <c r="G29" s="17" t="str">
        <f t="shared" si="0"/>
        <v>2</v>
      </c>
      <c r="H29" s="17" t="str">
        <f t="shared" si="1"/>
        <v>c</v>
      </c>
      <c r="I29" s="20" t="str">
        <f t="shared" si="2"/>
        <v xml:space="preserve">Problem Analysis </v>
      </c>
      <c r="J29" s="21" t="str">
        <f t="shared" si="3"/>
        <v>Evaluate solutions of complex engineering problems to reach substantiated conclusions</v>
      </c>
      <c r="K29" s="3"/>
      <c r="L29" s="3"/>
      <c r="M29" s="3"/>
      <c r="N29" s="85" t="s">
        <v>937</v>
      </c>
      <c r="O29" s="102" t="s">
        <v>890</v>
      </c>
      <c r="P29" s="236"/>
      <c r="Q29" s="3" t="str">
        <f t="shared" si="4"/>
        <v>Ethics and equity</v>
      </c>
      <c r="R29" s="3"/>
    </row>
    <row r="30" spans="1:18" ht="16" thickBot="1" x14ac:dyDescent="0.25">
      <c r="A30" s="79" t="s">
        <v>164</v>
      </c>
      <c r="B30" s="18" t="s">
        <v>74</v>
      </c>
      <c r="C30" s="18" t="s">
        <v>32</v>
      </c>
      <c r="D30" s="18" t="s">
        <v>75</v>
      </c>
      <c r="E30" s="19" t="s">
        <v>525</v>
      </c>
      <c r="F30" s="81" t="s">
        <v>524</v>
      </c>
      <c r="G30" s="17" t="str">
        <f t="shared" si="0"/>
        <v>5</v>
      </c>
      <c r="H30" s="17" t="str">
        <f t="shared" si="1"/>
        <v>c</v>
      </c>
      <c r="I30" s="20" t="str">
        <f t="shared" si="2"/>
        <v>Use of Engineering Tools</v>
      </c>
      <c r="J30" s="21" t="str">
        <f t="shared" si="3"/>
        <v>Use appropriate engineering tools</v>
      </c>
      <c r="K30" s="3"/>
      <c r="L30" s="3"/>
      <c r="M30" s="3"/>
      <c r="N30" s="86" t="s">
        <v>496</v>
      </c>
      <c r="O30" s="101" t="s">
        <v>891</v>
      </c>
      <c r="P30" s="237"/>
      <c r="Q30" s="3" t="str">
        <f t="shared" si="4"/>
        <v>Ethics and equity</v>
      </c>
      <c r="R30" s="3"/>
    </row>
    <row r="31" spans="1:18" ht="30" x14ac:dyDescent="0.2">
      <c r="A31" s="79" t="s">
        <v>165</v>
      </c>
      <c r="B31" s="18" t="s">
        <v>67</v>
      </c>
      <c r="C31" s="18" t="s">
        <v>32</v>
      </c>
      <c r="D31" s="18" t="s">
        <v>38</v>
      </c>
      <c r="E31" s="19" t="s">
        <v>252</v>
      </c>
      <c r="F31" s="17" t="s">
        <v>492</v>
      </c>
      <c r="G31" s="17" t="str">
        <f t="shared" si="0"/>
        <v>1</v>
      </c>
      <c r="H31" s="17" t="str">
        <f t="shared" si="1"/>
        <v>b</v>
      </c>
      <c r="I31" s="20" t="str">
        <f t="shared" si="2"/>
        <v>Knowledge base for engineering</v>
      </c>
      <c r="J31" s="21" t="str">
        <f t="shared" si="3"/>
        <v>Demonstrate understanding of natural sciences</v>
      </c>
      <c r="K31" s="3"/>
      <c r="L31" s="3"/>
      <c r="M31" s="3"/>
      <c r="N31" s="84" t="s">
        <v>498</v>
      </c>
      <c r="O31" s="103" t="s">
        <v>892</v>
      </c>
      <c r="P31" s="235" t="s">
        <v>553</v>
      </c>
      <c r="Q31" s="3" t="str">
        <f t="shared" si="4"/>
        <v>Economics and project management</v>
      </c>
      <c r="R31" s="3"/>
    </row>
    <row r="32" spans="1:18" ht="31" thickBot="1" x14ac:dyDescent="0.25">
      <c r="A32" s="79" t="s">
        <v>165</v>
      </c>
      <c r="B32" s="18" t="s">
        <v>67</v>
      </c>
      <c r="C32" s="18" t="s">
        <v>32</v>
      </c>
      <c r="D32" s="18" t="s">
        <v>38</v>
      </c>
      <c r="E32" s="19" t="s">
        <v>251</v>
      </c>
      <c r="F32" s="17" t="s">
        <v>493</v>
      </c>
      <c r="G32" s="17" t="str">
        <f t="shared" si="0"/>
        <v>1</v>
      </c>
      <c r="H32" s="17" t="str">
        <f t="shared" si="1"/>
        <v>c</v>
      </c>
      <c r="I32" s="20" t="str">
        <f t="shared" si="2"/>
        <v>Knowledge base for engineering</v>
      </c>
      <c r="J32" s="21" t="str">
        <f t="shared" si="3"/>
        <v>Demonstrate understanding of engineering fundamentals</v>
      </c>
      <c r="K32" s="3"/>
      <c r="L32" s="3"/>
      <c r="M32" s="3"/>
      <c r="N32" s="85" t="s">
        <v>503</v>
      </c>
      <c r="O32" s="102" t="s">
        <v>893</v>
      </c>
      <c r="P32" s="237"/>
      <c r="Q32" s="3" t="str">
        <f t="shared" si="4"/>
        <v>Economics and project management</v>
      </c>
      <c r="R32" s="3"/>
    </row>
    <row r="33" spans="1:18" x14ac:dyDescent="0.2">
      <c r="A33" s="79" t="s">
        <v>165</v>
      </c>
      <c r="B33" s="18" t="s">
        <v>67</v>
      </c>
      <c r="C33" s="18" t="s">
        <v>32</v>
      </c>
      <c r="D33" s="18" t="s">
        <v>38</v>
      </c>
      <c r="E33" s="19" t="s">
        <v>358</v>
      </c>
      <c r="F33" s="17" t="s">
        <v>510</v>
      </c>
      <c r="G33" s="17" t="str">
        <f t="shared" si="0"/>
        <v>2</v>
      </c>
      <c r="H33" s="17" t="str">
        <f t="shared" si="1"/>
        <v>c</v>
      </c>
      <c r="I33" s="20" t="str">
        <f t="shared" si="2"/>
        <v xml:space="preserve">Problem Analysis </v>
      </c>
      <c r="J33" s="21" t="str">
        <f t="shared" si="3"/>
        <v>Evaluate solutions of complex engineering problems to reach substantiated conclusions</v>
      </c>
      <c r="K33" s="3"/>
      <c r="L33" s="3"/>
      <c r="M33" s="3"/>
      <c r="N33" s="84" t="s">
        <v>505</v>
      </c>
      <c r="O33" s="99" t="s">
        <v>938</v>
      </c>
      <c r="P33" s="235" t="s">
        <v>554</v>
      </c>
      <c r="Q33" s="3" t="str">
        <f>IF(P33&lt;&gt;"",P33,#REF!)</f>
        <v>Life-long learning</v>
      </c>
      <c r="R33" s="3"/>
    </row>
    <row r="34" spans="1:18" x14ac:dyDescent="0.2">
      <c r="A34" s="79" t="s">
        <v>165</v>
      </c>
      <c r="B34" s="18" t="s">
        <v>67</v>
      </c>
      <c r="C34" s="18" t="s">
        <v>32</v>
      </c>
      <c r="D34" s="18" t="s">
        <v>38</v>
      </c>
      <c r="E34" s="19" t="s">
        <v>357</v>
      </c>
      <c r="F34" s="17" t="s">
        <v>510</v>
      </c>
      <c r="G34" s="17" t="str">
        <f t="shared" si="0"/>
        <v>2</v>
      </c>
      <c r="H34" s="17" t="str">
        <f t="shared" si="1"/>
        <v>c</v>
      </c>
      <c r="I34" s="20" t="str">
        <f t="shared" si="2"/>
        <v xml:space="preserve">Problem Analysis </v>
      </c>
      <c r="J34" s="21" t="str">
        <f t="shared" si="3"/>
        <v>Evaluate solutions of complex engineering problems to reach substantiated conclusions</v>
      </c>
      <c r="K34" s="3"/>
      <c r="L34" s="3"/>
      <c r="M34" s="3"/>
      <c r="N34" s="85" t="s">
        <v>506</v>
      </c>
      <c r="O34" s="104" t="s">
        <v>939</v>
      </c>
      <c r="P34" s="236"/>
      <c r="Q34" s="3" t="str">
        <f t="shared" si="4"/>
        <v>Life-long learning</v>
      </c>
      <c r="R34" s="3"/>
    </row>
    <row r="35" spans="1:18" ht="16" thickBot="1" x14ac:dyDescent="0.25">
      <c r="A35" s="79" t="s">
        <v>165</v>
      </c>
      <c r="B35" s="18" t="s">
        <v>67</v>
      </c>
      <c r="C35" s="18" t="s">
        <v>32</v>
      </c>
      <c r="D35" s="18" t="s">
        <v>38</v>
      </c>
      <c r="E35" s="19" t="s">
        <v>359</v>
      </c>
      <c r="F35" s="17" t="s">
        <v>510</v>
      </c>
      <c r="G35" s="17" t="str">
        <f t="shared" si="0"/>
        <v>2</v>
      </c>
      <c r="H35" s="17" t="str">
        <f t="shared" si="1"/>
        <v>c</v>
      </c>
      <c r="I35" s="20" t="str">
        <f t="shared" si="2"/>
        <v xml:space="preserve">Problem Analysis </v>
      </c>
      <c r="J35" s="21" t="str">
        <f t="shared" si="3"/>
        <v>Evaluate solutions of complex engineering problems to reach substantiated conclusions</v>
      </c>
      <c r="K35" s="3"/>
      <c r="L35" s="3"/>
      <c r="M35" s="3"/>
      <c r="N35" s="86" t="s">
        <v>507</v>
      </c>
      <c r="O35" s="105" t="s">
        <v>940</v>
      </c>
      <c r="P35" s="237"/>
      <c r="Q35" s="3" t="str">
        <f t="shared" si="4"/>
        <v>Life-long learning</v>
      </c>
      <c r="R35" s="3"/>
    </row>
    <row r="36" spans="1:18" x14ac:dyDescent="0.2">
      <c r="A36" s="79" t="s">
        <v>165</v>
      </c>
      <c r="B36" s="18" t="s">
        <v>67</v>
      </c>
      <c r="C36" s="18" t="s">
        <v>32</v>
      </c>
      <c r="D36" s="18" t="s">
        <v>38</v>
      </c>
      <c r="E36" s="19" t="s">
        <v>522</v>
      </c>
      <c r="F36" s="17" t="s">
        <v>520</v>
      </c>
      <c r="G36" s="17" t="str">
        <f t="shared" si="0"/>
        <v>5</v>
      </c>
      <c r="H36" s="17" t="str">
        <f t="shared" si="1"/>
        <v>b</v>
      </c>
      <c r="I36" s="20" t="str">
        <f t="shared" si="2"/>
        <v>Use of Engineering Tools</v>
      </c>
      <c r="J36" s="21" t="str">
        <f t="shared" si="3"/>
        <v>Modify and/or create appropriate engineering tools, identifying their limitations</v>
      </c>
      <c r="K36" s="3"/>
      <c r="L36" s="3"/>
      <c r="M36" s="3"/>
      <c r="N36" s="3"/>
      <c r="O36" s="16"/>
      <c r="P36" s="3"/>
      <c r="Q36" s="3"/>
      <c r="R36" s="3"/>
    </row>
    <row r="37" spans="1:18" x14ac:dyDescent="0.2">
      <c r="A37" s="79" t="s">
        <v>165</v>
      </c>
      <c r="B37" s="18" t="s">
        <v>67</v>
      </c>
      <c r="C37" s="18" t="s">
        <v>32</v>
      </c>
      <c r="D37" s="18" t="s">
        <v>38</v>
      </c>
      <c r="E37" s="19" t="s">
        <v>523</v>
      </c>
      <c r="F37" s="17" t="s">
        <v>520</v>
      </c>
      <c r="G37" s="17" t="str">
        <f t="shared" si="0"/>
        <v>5</v>
      </c>
      <c r="H37" s="17" t="str">
        <f t="shared" si="1"/>
        <v>b</v>
      </c>
      <c r="I37" s="20" t="str">
        <f t="shared" si="2"/>
        <v>Use of Engineering Tools</v>
      </c>
      <c r="J37" s="21" t="str">
        <f t="shared" si="3"/>
        <v>Modify and/or create appropriate engineering tools, identifying their limitations</v>
      </c>
      <c r="K37" s="3"/>
      <c r="L37" s="3"/>
      <c r="M37" s="3"/>
      <c r="N37" s="3"/>
      <c r="O37" s="16"/>
      <c r="P37" s="3"/>
      <c r="Q37" s="3"/>
      <c r="R37" s="3"/>
    </row>
    <row r="38" spans="1:18" ht="30" x14ac:dyDescent="0.2">
      <c r="A38" s="79" t="s">
        <v>166</v>
      </c>
      <c r="B38" s="18" t="s">
        <v>67</v>
      </c>
      <c r="C38" s="18" t="s">
        <v>32</v>
      </c>
      <c r="D38" s="18" t="s">
        <v>38</v>
      </c>
      <c r="E38" s="19" t="s">
        <v>253</v>
      </c>
      <c r="F38" s="17" t="s">
        <v>493</v>
      </c>
      <c r="G38" s="17" t="str">
        <f t="shared" si="0"/>
        <v>1</v>
      </c>
      <c r="H38" s="17" t="str">
        <f t="shared" si="1"/>
        <v>c</v>
      </c>
      <c r="I38" s="20" t="str">
        <f t="shared" si="2"/>
        <v>Knowledge base for engineering</v>
      </c>
      <c r="J38" s="21" t="str">
        <f t="shared" si="3"/>
        <v>Demonstrate understanding of engineering fundamentals</v>
      </c>
      <c r="K38" s="3"/>
      <c r="L38" s="3"/>
      <c r="M38" s="3"/>
      <c r="N38" s="3"/>
      <c r="O38" s="16"/>
      <c r="P38" s="3"/>
      <c r="Q38" s="3"/>
      <c r="R38" s="3"/>
    </row>
    <row r="39" spans="1:18" ht="30" x14ac:dyDescent="0.2">
      <c r="A39" s="79" t="s">
        <v>166</v>
      </c>
      <c r="B39" s="18" t="s">
        <v>67</v>
      </c>
      <c r="C39" s="18" t="s">
        <v>32</v>
      </c>
      <c r="D39" s="18" t="s">
        <v>38</v>
      </c>
      <c r="E39" s="19" t="s">
        <v>254</v>
      </c>
      <c r="F39" s="17" t="s">
        <v>493</v>
      </c>
      <c r="G39" s="17" t="str">
        <f t="shared" si="0"/>
        <v>1</v>
      </c>
      <c r="H39" s="17" t="str">
        <f t="shared" si="1"/>
        <v>c</v>
      </c>
      <c r="I39" s="20" t="str">
        <f t="shared" si="2"/>
        <v>Knowledge base for engineering</v>
      </c>
      <c r="J39" s="21" t="str">
        <f t="shared" si="3"/>
        <v>Demonstrate understanding of engineering fundamentals</v>
      </c>
      <c r="K39" s="3"/>
      <c r="L39" s="3"/>
      <c r="M39" s="3"/>
      <c r="N39" s="3"/>
      <c r="O39" s="16"/>
      <c r="P39" s="3"/>
      <c r="Q39" s="3"/>
      <c r="R39" s="3"/>
    </row>
    <row r="40" spans="1:18" x14ac:dyDescent="0.2">
      <c r="A40" s="79" t="s">
        <v>166</v>
      </c>
      <c r="B40" s="18" t="s">
        <v>67</v>
      </c>
      <c r="C40" s="18" t="s">
        <v>32</v>
      </c>
      <c r="D40" s="18" t="s">
        <v>38</v>
      </c>
      <c r="E40" s="19" t="s">
        <v>255</v>
      </c>
      <c r="F40" s="17" t="s">
        <v>493</v>
      </c>
      <c r="G40" s="17" t="str">
        <f t="shared" si="0"/>
        <v>1</v>
      </c>
      <c r="H40" s="17" t="str">
        <f t="shared" si="1"/>
        <v>c</v>
      </c>
      <c r="I40" s="20" t="str">
        <f t="shared" si="2"/>
        <v>Knowledge base for engineering</v>
      </c>
      <c r="J40" s="21" t="str">
        <f t="shared" si="3"/>
        <v>Demonstrate understanding of engineering fundamentals</v>
      </c>
      <c r="K40" s="3"/>
      <c r="L40" s="3"/>
      <c r="M40" s="3"/>
      <c r="N40" s="3"/>
      <c r="O40" s="16"/>
      <c r="P40" s="3"/>
      <c r="Q40" s="3"/>
      <c r="R40" s="3"/>
    </row>
    <row r="41" spans="1:18" ht="30" x14ac:dyDescent="0.2">
      <c r="A41" s="79" t="s">
        <v>166</v>
      </c>
      <c r="B41" s="18" t="s">
        <v>67</v>
      </c>
      <c r="C41" s="18" t="s">
        <v>32</v>
      </c>
      <c r="D41" s="18" t="s">
        <v>38</v>
      </c>
      <c r="E41" s="19" t="s">
        <v>360</v>
      </c>
      <c r="F41" s="17" t="s">
        <v>509</v>
      </c>
      <c r="G41" s="17" t="str">
        <f t="shared" si="0"/>
        <v>2</v>
      </c>
      <c r="H41" s="17" t="str">
        <f t="shared" si="1"/>
        <v>b</v>
      </c>
      <c r="I41" s="20" t="str">
        <f t="shared" si="2"/>
        <v xml:space="preserve">Problem Analysis </v>
      </c>
      <c r="J41" s="21" t="str">
        <f t="shared" si="3"/>
        <v>Develop / solve models of engineering problems including identifying approximations, assumptions, and constraints</v>
      </c>
      <c r="K41" s="3"/>
      <c r="L41" s="3"/>
      <c r="M41" s="3"/>
      <c r="N41" s="3"/>
      <c r="O41" s="16"/>
      <c r="P41" s="3"/>
      <c r="Q41" s="3"/>
      <c r="R41" s="3"/>
    </row>
    <row r="42" spans="1:18" ht="30" x14ac:dyDescent="0.2">
      <c r="A42" s="79" t="s">
        <v>166</v>
      </c>
      <c r="B42" s="18" t="s">
        <v>67</v>
      </c>
      <c r="C42" s="18" t="s">
        <v>32</v>
      </c>
      <c r="D42" s="18" t="s">
        <v>38</v>
      </c>
      <c r="E42" s="19" t="s">
        <v>362</v>
      </c>
      <c r="F42" s="17" t="s">
        <v>510</v>
      </c>
      <c r="G42" s="17" t="str">
        <f t="shared" si="0"/>
        <v>2</v>
      </c>
      <c r="H42" s="17" t="str">
        <f t="shared" si="1"/>
        <v>c</v>
      </c>
      <c r="I42" s="20" t="str">
        <f t="shared" si="2"/>
        <v xml:space="preserve">Problem Analysis </v>
      </c>
      <c r="J42" s="21" t="str">
        <f t="shared" si="3"/>
        <v>Evaluate solutions of complex engineering problems to reach substantiated conclusions</v>
      </c>
      <c r="K42" s="3"/>
      <c r="L42" s="3"/>
      <c r="M42" s="3"/>
      <c r="N42" s="3"/>
      <c r="O42" s="16"/>
      <c r="P42" s="3"/>
      <c r="Q42" s="3"/>
      <c r="R42" s="3"/>
    </row>
    <row r="43" spans="1:18" ht="30" x14ac:dyDescent="0.2">
      <c r="A43" s="79" t="s">
        <v>166</v>
      </c>
      <c r="B43" s="18" t="s">
        <v>67</v>
      </c>
      <c r="C43" s="18" t="s">
        <v>32</v>
      </c>
      <c r="D43" s="18" t="s">
        <v>38</v>
      </c>
      <c r="E43" s="19" t="s">
        <v>361</v>
      </c>
      <c r="F43" s="17" t="s">
        <v>510</v>
      </c>
      <c r="G43" s="17" t="str">
        <f t="shared" si="0"/>
        <v>2</v>
      </c>
      <c r="H43" s="17" t="str">
        <f t="shared" si="1"/>
        <v>c</v>
      </c>
      <c r="I43" s="20" t="str">
        <f t="shared" si="2"/>
        <v xml:space="preserve">Problem Analysis </v>
      </c>
      <c r="J43" s="21" t="str">
        <f t="shared" si="3"/>
        <v>Evaluate solutions of complex engineering problems to reach substantiated conclusions</v>
      </c>
      <c r="K43" s="3"/>
      <c r="L43" s="3"/>
      <c r="M43" s="3"/>
      <c r="N43" s="3"/>
      <c r="O43" s="16"/>
      <c r="P43" s="3"/>
      <c r="Q43" s="3"/>
      <c r="R43" s="3"/>
    </row>
    <row r="44" spans="1:18" ht="30" x14ac:dyDescent="0.2">
      <c r="A44" s="79" t="s">
        <v>166</v>
      </c>
      <c r="B44" s="18" t="s">
        <v>67</v>
      </c>
      <c r="C44" s="18" t="s">
        <v>32</v>
      </c>
      <c r="D44" s="18" t="s">
        <v>38</v>
      </c>
      <c r="E44" s="19" t="s">
        <v>206</v>
      </c>
      <c r="F44" s="17" t="s">
        <v>512</v>
      </c>
      <c r="G44" s="17" t="str">
        <f t="shared" si="0"/>
        <v>3</v>
      </c>
      <c r="H44" s="17" t="str">
        <f t="shared" si="1"/>
        <v>a</v>
      </c>
      <c r="I44" s="20" t="str">
        <f t="shared" si="2"/>
        <v>Investigation</v>
      </c>
      <c r="J44" s="21" t="str">
        <f t="shared" si="3"/>
        <v>Identify critical issues of complex engineering problems to form testable hypotheses and design experiments.</v>
      </c>
      <c r="K44" s="3"/>
      <c r="L44" s="3"/>
      <c r="M44" s="3"/>
      <c r="N44" s="3"/>
      <c r="O44" s="16"/>
      <c r="P44" s="3"/>
      <c r="Q44" s="3"/>
      <c r="R44" s="3"/>
    </row>
    <row r="45" spans="1:18" ht="30" x14ac:dyDescent="0.2">
      <c r="A45" s="79" t="s">
        <v>166</v>
      </c>
      <c r="B45" s="18" t="s">
        <v>67</v>
      </c>
      <c r="C45" s="18" t="s">
        <v>32</v>
      </c>
      <c r="D45" s="18" t="s">
        <v>38</v>
      </c>
      <c r="E45" s="19" t="s">
        <v>207</v>
      </c>
      <c r="F45" s="17" t="s">
        <v>512</v>
      </c>
      <c r="G45" s="17" t="str">
        <f t="shared" si="0"/>
        <v>3</v>
      </c>
      <c r="H45" s="17" t="str">
        <f t="shared" si="1"/>
        <v>a</v>
      </c>
      <c r="I45" s="20" t="str">
        <f t="shared" si="2"/>
        <v>Investigation</v>
      </c>
      <c r="J45" s="21" t="str">
        <f t="shared" si="3"/>
        <v>Identify critical issues of complex engineering problems to form testable hypotheses and design experiments.</v>
      </c>
      <c r="K45" s="3"/>
      <c r="L45" s="3"/>
      <c r="M45" s="3"/>
      <c r="N45" s="3"/>
      <c r="O45" s="16"/>
      <c r="P45" s="3"/>
      <c r="Q45" s="3"/>
      <c r="R45" s="3"/>
    </row>
    <row r="46" spans="1:18" ht="45" x14ac:dyDescent="0.2">
      <c r="A46" s="79" t="s">
        <v>166</v>
      </c>
      <c r="B46" s="18" t="s">
        <v>67</v>
      </c>
      <c r="C46" s="18" t="s">
        <v>32</v>
      </c>
      <c r="D46" s="18" t="s">
        <v>38</v>
      </c>
      <c r="E46" s="19" t="s">
        <v>205</v>
      </c>
      <c r="F46" s="17" t="s">
        <v>513</v>
      </c>
      <c r="G46" s="17" t="str">
        <f t="shared" si="0"/>
        <v>3</v>
      </c>
      <c r="H46" s="17" t="str">
        <f t="shared" si="1"/>
        <v>b</v>
      </c>
      <c r="I46" s="20" t="str">
        <f t="shared" si="2"/>
        <v>Investigation</v>
      </c>
      <c r="J46" s="21" t="str">
        <f t="shared" si="3"/>
        <v>Conduct experiments and gather and process data.</v>
      </c>
      <c r="K46" s="3"/>
      <c r="L46" s="3"/>
      <c r="M46" s="3"/>
      <c r="N46" s="3"/>
      <c r="O46" s="16"/>
      <c r="P46" s="3"/>
      <c r="Q46" s="3"/>
      <c r="R46" s="3"/>
    </row>
    <row r="47" spans="1:18" ht="30" x14ac:dyDescent="0.2">
      <c r="A47" s="79" t="s">
        <v>166</v>
      </c>
      <c r="B47" s="18" t="s">
        <v>67</v>
      </c>
      <c r="C47" s="18" t="s">
        <v>32</v>
      </c>
      <c r="D47" s="18" t="s">
        <v>38</v>
      </c>
      <c r="E47" s="19" t="s">
        <v>519</v>
      </c>
      <c r="F47" s="17" t="s">
        <v>518</v>
      </c>
      <c r="G47" s="17" t="str">
        <f t="shared" si="0"/>
        <v>5</v>
      </c>
      <c r="H47" s="17" t="str">
        <f t="shared" si="1"/>
        <v>a</v>
      </c>
      <c r="I47" s="20" t="str">
        <f t="shared" si="2"/>
        <v>Use of Engineering Tools</v>
      </c>
      <c r="J47" s="21" t="str">
        <f t="shared" si="3"/>
        <v>Select appropriate engineering tools8, considering their limitations</v>
      </c>
      <c r="K47" s="3"/>
      <c r="L47" s="3"/>
      <c r="M47" s="3"/>
      <c r="N47" s="3"/>
      <c r="O47" s="16"/>
      <c r="P47" s="3"/>
      <c r="Q47" s="3"/>
      <c r="R47" s="3"/>
    </row>
    <row r="48" spans="1:18" ht="30" x14ac:dyDescent="0.2">
      <c r="A48" s="79" t="s">
        <v>166</v>
      </c>
      <c r="B48" s="18" t="s">
        <v>67</v>
      </c>
      <c r="C48" s="18" t="s">
        <v>32</v>
      </c>
      <c r="D48" s="18" t="s">
        <v>38</v>
      </c>
      <c r="E48" s="19" t="s">
        <v>167</v>
      </c>
      <c r="F48" s="17" t="s">
        <v>518</v>
      </c>
      <c r="G48" s="17" t="str">
        <f t="shared" si="0"/>
        <v>5</v>
      </c>
      <c r="H48" s="17" t="str">
        <f t="shared" si="1"/>
        <v>a</v>
      </c>
      <c r="I48" s="20" t="str">
        <f t="shared" si="2"/>
        <v>Use of Engineering Tools</v>
      </c>
      <c r="J48" s="21" t="str">
        <f t="shared" si="3"/>
        <v>Select appropriate engineering tools8, considering their limitations</v>
      </c>
      <c r="K48" s="3"/>
      <c r="L48" s="3"/>
      <c r="M48" s="3"/>
      <c r="N48" s="3"/>
      <c r="O48" s="16"/>
      <c r="P48" s="3"/>
      <c r="Q48" s="3"/>
      <c r="R48" s="3"/>
    </row>
    <row r="49" spans="1:18" x14ac:dyDescent="0.2">
      <c r="A49" s="79" t="s">
        <v>166</v>
      </c>
      <c r="B49" s="18" t="s">
        <v>67</v>
      </c>
      <c r="C49" s="18" t="s">
        <v>32</v>
      </c>
      <c r="D49" s="18" t="s">
        <v>38</v>
      </c>
      <c r="E49" s="19" t="s">
        <v>521</v>
      </c>
      <c r="F49" s="81" t="s">
        <v>520</v>
      </c>
      <c r="G49" s="17" t="str">
        <f t="shared" si="0"/>
        <v>5</v>
      </c>
      <c r="H49" s="17" t="str">
        <f t="shared" si="1"/>
        <v>b</v>
      </c>
      <c r="I49" s="20" t="str">
        <f t="shared" si="2"/>
        <v>Use of Engineering Tools</v>
      </c>
      <c r="J49" s="21" t="str">
        <f t="shared" si="3"/>
        <v>Modify and/or create appropriate engineering tools, identifying their limitations</v>
      </c>
      <c r="K49" s="3"/>
      <c r="L49" s="3"/>
      <c r="M49" s="3"/>
      <c r="N49" s="3"/>
      <c r="O49" s="16"/>
      <c r="P49" s="3"/>
      <c r="Q49" s="3"/>
      <c r="R49" s="3"/>
    </row>
    <row r="50" spans="1:18" x14ac:dyDescent="0.2">
      <c r="A50" s="79" t="s">
        <v>66</v>
      </c>
      <c r="B50" s="18" t="s">
        <v>67</v>
      </c>
      <c r="C50" s="18" t="s">
        <v>32</v>
      </c>
      <c r="D50" s="18" t="s">
        <v>68</v>
      </c>
      <c r="E50" s="19" t="s">
        <v>258</v>
      </c>
      <c r="F50" s="17" t="s">
        <v>494</v>
      </c>
      <c r="G50" s="17" t="str">
        <f t="shared" si="0"/>
        <v>1</v>
      </c>
      <c r="H50" s="17" t="str">
        <f t="shared" si="1"/>
        <v>d</v>
      </c>
      <c r="I50" s="20" t="str">
        <f t="shared" si="2"/>
        <v>Knowledge base for engineering</v>
      </c>
      <c r="J50" s="21" t="str">
        <f t="shared" si="3"/>
        <v>Demonstrate understanding of specialized engineering knowledge</v>
      </c>
      <c r="K50" s="3"/>
      <c r="L50" s="3"/>
      <c r="M50" s="3"/>
      <c r="N50" s="3"/>
      <c r="O50" s="16"/>
      <c r="P50" s="3"/>
      <c r="Q50" s="3"/>
      <c r="R50" s="3"/>
    </row>
    <row r="51" spans="1:18" x14ac:dyDescent="0.2">
      <c r="A51" s="79" t="s">
        <v>66</v>
      </c>
      <c r="B51" s="18" t="s">
        <v>67</v>
      </c>
      <c r="C51" s="18" t="s">
        <v>32</v>
      </c>
      <c r="D51" s="18" t="s">
        <v>68</v>
      </c>
      <c r="E51" s="19" t="s">
        <v>256</v>
      </c>
      <c r="F51" s="17" t="s">
        <v>494</v>
      </c>
      <c r="G51" s="17" t="str">
        <f t="shared" si="0"/>
        <v>1</v>
      </c>
      <c r="H51" s="17" t="str">
        <f t="shared" si="1"/>
        <v>d</v>
      </c>
      <c r="I51" s="20" t="str">
        <f t="shared" si="2"/>
        <v>Knowledge base for engineering</v>
      </c>
      <c r="J51" s="21" t="str">
        <f t="shared" si="3"/>
        <v>Demonstrate understanding of specialized engineering knowledge</v>
      </c>
      <c r="K51" s="3"/>
      <c r="L51" s="3"/>
      <c r="M51" s="3"/>
      <c r="N51" s="3"/>
      <c r="O51" s="16"/>
      <c r="P51" s="3"/>
      <c r="Q51" s="3"/>
      <c r="R51" s="3"/>
    </row>
    <row r="52" spans="1:18" x14ac:dyDescent="0.2">
      <c r="A52" s="79" t="s">
        <v>66</v>
      </c>
      <c r="B52" s="18" t="s">
        <v>67</v>
      </c>
      <c r="C52" s="18" t="s">
        <v>32</v>
      </c>
      <c r="D52" s="18" t="s">
        <v>68</v>
      </c>
      <c r="E52" s="19" t="s">
        <v>257</v>
      </c>
      <c r="F52" s="17" t="s">
        <v>494</v>
      </c>
      <c r="G52" s="17" t="str">
        <f t="shared" si="0"/>
        <v>1</v>
      </c>
      <c r="H52" s="17" t="str">
        <f t="shared" si="1"/>
        <v>d</v>
      </c>
      <c r="I52" s="20" t="str">
        <f t="shared" si="2"/>
        <v>Knowledge base for engineering</v>
      </c>
      <c r="J52" s="21" t="str">
        <f t="shared" si="3"/>
        <v>Demonstrate understanding of specialized engineering knowledge</v>
      </c>
      <c r="K52" s="3"/>
      <c r="L52" s="3"/>
      <c r="M52" s="3"/>
      <c r="N52" s="3"/>
      <c r="O52" s="16"/>
      <c r="P52" s="3"/>
      <c r="Q52" s="3"/>
      <c r="R52" s="3"/>
    </row>
    <row r="53" spans="1:18" x14ac:dyDescent="0.2">
      <c r="A53" s="79" t="s">
        <v>66</v>
      </c>
      <c r="B53" s="18" t="s">
        <v>67</v>
      </c>
      <c r="C53" s="18" t="s">
        <v>32</v>
      </c>
      <c r="D53" s="18" t="s">
        <v>68</v>
      </c>
      <c r="E53" s="19" t="s">
        <v>196</v>
      </c>
      <c r="F53" s="81" t="s">
        <v>496</v>
      </c>
      <c r="G53" s="17" t="str">
        <f t="shared" si="0"/>
        <v>10</v>
      </c>
      <c r="H53" s="17" t="str">
        <f t="shared" si="1"/>
        <v>c</v>
      </c>
      <c r="I53" s="20" t="str">
        <f t="shared" si="2"/>
        <v>Ethics and equity</v>
      </c>
      <c r="J53" s="21" t="str">
        <f t="shared" si="3"/>
        <v>Identify equitable and inequitable situations or behaviours</v>
      </c>
      <c r="K53" s="3"/>
      <c r="L53" s="3"/>
      <c r="M53" s="3"/>
      <c r="N53" s="3"/>
      <c r="O53" s="16"/>
      <c r="P53" s="3"/>
      <c r="Q53" s="3"/>
      <c r="R53" s="3"/>
    </row>
    <row r="54" spans="1:18" x14ac:dyDescent="0.2">
      <c r="A54" s="79" t="s">
        <v>66</v>
      </c>
      <c r="B54" s="18" t="s">
        <v>67</v>
      </c>
      <c r="C54" s="18" t="s">
        <v>32</v>
      </c>
      <c r="D54" s="18" t="s">
        <v>68</v>
      </c>
      <c r="E54" s="19" t="s">
        <v>501</v>
      </c>
      <c r="F54" s="17" t="s">
        <v>498</v>
      </c>
      <c r="G54" s="17" t="str">
        <f t="shared" si="0"/>
        <v>11</v>
      </c>
      <c r="H54" s="17" t="str">
        <f t="shared" si="1"/>
        <v>a</v>
      </c>
      <c r="I54" s="20" t="str">
        <f t="shared" si="2"/>
        <v>Economics and project management</v>
      </c>
      <c r="J54" s="21" t="str">
        <f t="shared" si="3"/>
        <v>Apply project management techniques in engineering projects, with attention to risk, and change</v>
      </c>
      <c r="K54" s="3"/>
      <c r="L54" s="3"/>
      <c r="M54" s="3"/>
      <c r="N54" s="3"/>
      <c r="O54" s="16"/>
      <c r="P54" s="3"/>
      <c r="Q54" s="3"/>
      <c r="R54" s="3"/>
    </row>
    <row r="55" spans="1:18" x14ac:dyDescent="0.2">
      <c r="A55" s="79" t="s">
        <v>66</v>
      </c>
      <c r="B55" s="18" t="s">
        <v>67</v>
      </c>
      <c r="C55" s="18" t="s">
        <v>32</v>
      </c>
      <c r="D55" s="18" t="s">
        <v>68</v>
      </c>
      <c r="E55" s="19" t="s">
        <v>342</v>
      </c>
      <c r="F55" s="81" t="s">
        <v>506</v>
      </c>
      <c r="G55" s="17" t="str">
        <f t="shared" si="0"/>
        <v>12</v>
      </c>
      <c r="H55" s="17" t="str">
        <f t="shared" si="1"/>
        <v>b</v>
      </c>
      <c r="I55" s="20" t="str">
        <f t="shared" si="2"/>
        <v>Life-long learning</v>
      </c>
      <c r="J55" s="21" t="str">
        <f t="shared" si="3"/>
        <v>Obtain and evaluate information or training from appropriate sources</v>
      </c>
      <c r="K55" s="3"/>
      <c r="L55" s="3"/>
      <c r="M55" s="3"/>
      <c r="N55" s="3"/>
      <c r="O55" s="16"/>
      <c r="P55" s="3"/>
      <c r="Q55" s="3"/>
      <c r="R55" s="3"/>
    </row>
    <row r="56" spans="1:18" x14ac:dyDescent="0.2">
      <c r="A56" s="79" t="s">
        <v>66</v>
      </c>
      <c r="B56" s="18" t="s">
        <v>67</v>
      </c>
      <c r="C56" s="18" t="s">
        <v>32</v>
      </c>
      <c r="D56" s="18" t="s">
        <v>68</v>
      </c>
      <c r="E56" s="19" t="s">
        <v>363</v>
      </c>
      <c r="F56" s="17" t="s">
        <v>510</v>
      </c>
      <c r="G56" s="17" t="str">
        <f t="shared" si="0"/>
        <v>2</v>
      </c>
      <c r="H56" s="17" t="str">
        <f t="shared" si="1"/>
        <v>c</v>
      </c>
      <c r="I56" s="20" t="str">
        <f t="shared" si="2"/>
        <v xml:space="preserve">Problem Analysis </v>
      </c>
      <c r="J56" s="21" t="str">
        <f t="shared" si="3"/>
        <v>Evaluate solutions of complex engineering problems to reach substantiated conclusions</v>
      </c>
      <c r="K56" s="3"/>
      <c r="L56" s="3"/>
      <c r="M56" s="3"/>
      <c r="N56" s="3"/>
      <c r="O56" s="16"/>
      <c r="P56" s="3"/>
      <c r="Q56" s="3"/>
      <c r="R56" s="3"/>
    </row>
    <row r="57" spans="1:18" x14ac:dyDescent="0.2">
      <c r="A57" s="79" t="s">
        <v>66</v>
      </c>
      <c r="B57" s="18" t="s">
        <v>67</v>
      </c>
      <c r="C57" s="18" t="s">
        <v>32</v>
      </c>
      <c r="D57" s="18" t="s">
        <v>68</v>
      </c>
      <c r="E57" s="19" t="s">
        <v>364</v>
      </c>
      <c r="F57" s="17" t="s">
        <v>510</v>
      </c>
      <c r="G57" s="17" t="str">
        <f t="shared" si="0"/>
        <v>2</v>
      </c>
      <c r="H57" s="17" t="str">
        <f t="shared" si="1"/>
        <v>c</v>
      </c>
      <c r="I57" s="20" t="str">
        <f t="shared" si="2"/>
        <v xml:space="preserve">Problem Analysis </v>
      </c>
      <c r="J57" s="21" t="str">
        <f t="shared" si="3"/>
        <v>Evaluate solutions of complex engineering problems to reach substantiated conclusions</v>
      </c>
      <c r="K57" s="3"/>
      <c r="L57" s="3"/>
      <c r="M57" s="3"/>
      <c r="N57" s="3"/>
      <c r="O57" s="16"/>
      <c r="P57" s="3"/>
      <c r="Q57" s="3"/>
      <c r="R57" s="3"/>
    </row>
    <row r="58" spans="1:18" x14ac:dyDescent="0.2">
      <c r="A58" s="79" t="s">
        <v>66</v>
      </c>
      <c r="B58" s="18" t="s">
        <v>67</v>
      </c>
      <c r="C58" s="18" t="s">
        <v>32</v>
      </c>
      <c r="D58" s="18" t="s">
        <v>68</v>
      </c>
      <c r="E58" s="19" t="s">
        <v>208</v>
      </c>
      <c r="F58" s="81" t="s">
        <v>514</v>
      </c>
      <c r="G58" s="17" t="str">
        <f t="shared" si="0"/>
        <v>3</v>
      </c>
      <c r="H58" s="17" t="str">
        <f t="shared" si="1"/>
        <v>c</v>
      </c>
      <c r="I58" s="20" t="str">
        <f t="shared" si="2"/>
        <v>Investigation</v>
      </c>
      <c r="J58" s="21" t="str">
        <f t="shared" si="3"/>
        <v>Analyze, synthesize, and interpret experimental and other data to reach valid conclusions.</v>
      </c>
      <c r="K58" s="3"/>
      <c r="L58" s="3"/>
      <c r="M58" s="3"/>
      <c r="N58" s="3"/>
      <c r="O58" s="16"/>
      <c r="P58" s="3"/>
      <c r="Q58" s="3"/>
      <c r="R58" s="3"/>
    </row>
    <row r="59" spans="1:18" x14ac:dyDescent="0.2">
      <c r="A59" s="79" t="s">
        <v>66</v>
      </c>
      <c r="B59" s="18" t="s">
        <v>67</v>
      </c>
      <c r="C59" s="18" t="s">
        <v>32</v>
      </c>
      <c r="D59" s="18" t="s">
        <v>68</v>
      </c>
      <c r="E59" s="19" t="s">
        <v>968</v>
      </c>
      <c r="F59" s="17" t="s">
        <v>515</v>
      </c>
      <c r="G59" s="17" t="str">
        <f t="shared" si="0"/>
        <v>4</v>
      </c>
      <c r="H59" s="17" t="str">
        <f t="shared" si="1"/>
        <v>a</v>
      </c>
      <c r="I59" s="20" t="str">
        <f t="shared" si="2"/>
        <v>Design</v>
      </c>
      <c r="J59" s="21" t="str">
        <f t="shared" si="3"/>
        <v>Follow an engineering design methodology</v>
      </c>
      <c r="K59" s="3"/>
      <c r="L59" s="3"/>
      <c r="M59" s="3"/>
      <c r="N59" s="3"/>
      <c r="O59" s="16"/>
      <c r="P59" s="3"/>
      <c r="Q59" s="3"/>
      <c r="R59" s="3"/>
    </row>
    <row r="60" spans="1:18" x14ac:dyDescent="0.2">
      <c r="A60" s="79" t="s">
        <v>66</v>
      </c>
      <c r="B60" s="18" t="s">
        <v>67</v>
      </c>
      <c r="C60" s="18" t="s">
        <v>32</v>
      </c>
      <c r="D60" s="18" t="s">
        <v>68</v>
      </c>
      <c r="E60" s="19" t="s">
        <v>131</v>
      </c>
      <c r="F60" s="17" t="s">
        <v>516</v>
      </c>
      <c r="G60" s="17" t="str">
        <f t="shared" si="0"/>
        <v>4</v>
      </c>
      <c r="H60" s="17" t="str">
        <f t="shared" si="1"/>
        <v>b</v>
      </c>
      <c r="I60" s="20" t="str">
        <f t="shared" si="2"/>
        <v>Design</v>
      </c>
      <c r="J60" s="21" t="str">
        <f t="shared" si="3"/>
        <v>Generate and implement solutions to complex open-ended problems</v>
      </c>
      <c r="K60" s="3"/>
      <c r="L60" s="3"/>
      <c r="M60" s="3"/>
      <c r="N60" s="3"/>
      <c r="O60" s="16"/>
      <c r="P60" s="3"/>
      <c r="Q60" s="3"/>
      <c r="R60" s="3"/>
    </row>
    <row r="61" spans="1:18" x14ac:dyDescent="0.2">
      <c r="A61" s="79" t="s">
        <v>66</v>
      </c>
      <c r="B61" s="18" t="s">
        <v>67</v>
      </c>
      <c r="C61" s="18" t="s">
        <v>32</v>
      </c>
      <c r="D61" s="18" t="s">
        <v>68</v>
      </c>
      <c r="E61" s="19" t="s">
        <v>169</v>
      </c>
      <c r="F61" s="17" t="s">
        <v>520</v>
      </c>
      <c r="G61" s="17" t="str">
        <f t="shared" si="0"/>
        <v>5</v>
      </c>
      <c r="H61" s="17" t="str">
        <f t="shared" si="1"/>
        <v>b</v>
      </c>
      <c r="I61" s="20" t="str">
        <f t="shared" si="2"/>
        <v>Use of Engineering Tools</v>
      </c>
      <c r="J61" s="21" t="str">
        <f t="shared" si="3"/>
        <v>Modify and/or create appropriate engineering tools, identifying their limitations</v>
      </c>
      <c r="K61" s="3"/>
      <c r="L61" s="3"/>
      <c r="M61" s="3"/>
      <c r="N61" s="3"/>
      <c r="O61" s="16"/>
      <c r="P61" s="3"/>
      <c r="Q61" s="3"/>
      <c r="R61" s="3"/>
    </row>
    <row r="62" spans="1:18" ht="30" x14ac:dyDescent="0.2">
      <c r="A62" s="79" t="s">
        <v>66</v>
      </c>
      <c r="B62" s="18" t="s">
        <v>67</v>
      </c>
      <c r="C62" s="18" t="s">
        <v>32</v>
      </c>
      <c r="D62" s="18" t="s">
        <v>68</v>
      </c>
      <c r="E62" s="19" t="s">
        <v>168</v>
      </c>
      <c r="F62" s="81" t="s">
        <v>524</v>
      </c>
      <c r="G62" s="17" t="str">
        <f t="shared" si="0"/>
        <v>5</v>
      </c>
      <c r="H62" s="17" t="str">
        <f t="shared" si="1"/>
        <v>c</v>
      </c>
      <c r="I62" s="20" t="str">
        <f t="shared" si="2"/>
        <v>Use of Engineering Tools</v>
      </c>
      <c r="J62" s="21" t="str">
        <f t="shared" si="3"/>
        <v>Use appropriate engineering tools</v>
      </c>
      <c r="K62" s="3"/>
      <c r="L62" s="3"/>
      <c r="M62" s="3"/>
      <c r="N62" s="3"/>
      <c r="O62" s="16"/>
      <c r="P62" s="3"/>
      <c r="Q62" s="3"/>
      <c r="R62" s="3"/>
    </row>
    <row r="63" spans="1:18" ht="30" x14ac:dyDescent="0.2">
      <c r="A63" s="79" t="s">
        <v>66</v>
      </c>
      <c r="B63" s="18" t="s">
        <v>67</v>
      </c>
      <c r="C63" s="18" t="s">
        <v>32</v>
      </c>
      <c r="D63" s="18" t="s">
        <v>68</v>
      </c>
      <c r="E63" s="19" t="s">
        <v>441</v>
      </c>
      <c r="F63" s="17" t="s">
        <v>526</v>
      </c>
      <c r="G63" s="17" t="str">
        <f t="shared" si="0"/>
        <v>6</v>
      </c>
      <c r="H63" s="17" t="str">
        <f t="shared" si="1"/>
        <v>a</v>
      </c>
      <c r="I63" s="20" t="str">
        <f t="shared" si="2"/>
        <v>Individual and team work</v>
      </c>
      <c r="J63" s="21" t="str">
        <f t="shared" si="3"/>
        <v>Contribute as an active team member or leader to complete individual tasks</v>
      </c>
      <c r="K63" s="3"/>
      <c r="L63" s="3"/>
      <c r="M63" s="3"/>
      <c r="N63" s="3"/>
      <c r="O63" s="16"/>
      <c r="P63" s="3"/>
      <c r="Q63" s="3"/>
      <c r="R63" s="3"/>
    </row>
    <row r="64" spans="1:18" x14ac:dyDescent="0.2">
      <c r="A64" s="79" t="s">
        <v>66</v>
      </c>
      <c r="B64" s="18" t="s">
        <v>67</v>
      </c>
      <c r="C64" s="18" t="s">
        <v>32</v>
      </c>
      <c r="D64" s="18" t="s">
        <v>68</v>
      </c>
      <c r="E64" s="19" t="s">
        <v>440</v>
      </c>
      <c r="F64" s="17" t="s">
        <v>527</v>
      </c>
      <c r="G64" s="17" t="str">
        <f t="shared" si="0"/>
        <v>6</v>
      </c>
      <c r="H64" s="17" t="str">
        <f t="shared" si="1"/>
        <v>b</v>
      </c>
      <c r="I64" s="20" t="str">
        <f t="shared" si="2"/>
        <v>Individual and team work</v>
      </c>
      <c r="J64" s="21" t="str">
        <f t="shared" si="3"/>
        <v>Collaborate with others to complete tasks effectively as a team</v>
      </c>
      <c r="K64" s="3"/>
      <c r="L64" s="3"/>
      <c r="M64" s="3"/>
      <c r="N64" s="3"/>
      <c r="O64" s="16"/>
      <c r="P64" s="3"/>
      <c r="Q64" s="3"/>
      <c r="R64" s="3"/>
    </row>
    <row r="65" spans="1:18" x14ac:dyDescent="0.2">
      <c r="A65" s="79" t="s">
        <v>66</v>
      </c>
      <c r="B65" s="18" t="s">
        <v>67</v>
      </c>
      <c r="C65" s="18" t="s">
        <v>32</v>
      </c>
      <c r="D65" s="18" t="s">
        <v>68</v>
      </c>
      <c r="E65" s="19" t="s">
        <v>534</v>
      </c>
      <c r="F65" s="17" t="s">
        <v>528</v>
      </c>
      <c r="G65" s="17" t="str">
        <f t="shared" si="0"/>
        <v>7</v>
      </c>
      <c r="H65" s="17" t="str">
        <f t="shared" si="1"/>
        <v>b</v>
      </c>
      <c r="I65" s="20" t="str">
        <f t="shared" si="2"/>
        <v>Communication Skills</v>
      </c>
      <c r="J65" s="21" t="str">
        <f t="shared" si="3"/>
        <v>Orally present information within the profession and to society at large</v>
      </c>
      <c r="K65" s="3"/>
      <c r="L65" s="3"/>
      <c r="M65" s="3"/>
      <c r="N65" s="3"/>
      <c r="O65" s="16"/>
      <c r="P65" s="3"/>
      <c r="Q65" s="3"/>
      <c r="R65" s="3"/>
    </row>
    <row r="66" spans="1:18" ht="30" x14ac:dyDescent="0.2">
      <c r="A66" s="79" t="s">
        <v>66</v>
      </c>
      <c r="B66" s="18" t="s">
        <v>67</v>
      </c>
      <c r="C66" s="18" t="s">
        <v>32</v>
      </c>
      <c r="D66" s="18" t="s">
        <v>68</v>
      </c>
      <c r="E66" s="19" t="s">
        <v>538</v>
      </c>
      <c r="F66" s="17" t="s">
        <v>530</v>
      </c>
      <c r="G66" s="17" t="str">
        <f t="shared" ref="G66:G129" si="5">IF(LEN(F66)=2,LEFT(F66,1),LEFT(F66,2))</f>
        <v>7</v>
      </c>
      <c r="H66" s="17" t="str">
        <f t="shared" ref="H66:H129" si="6">RIGHT(F66,1)</f>
        <v>a</v>
      </c>
      <c r="I66" s="20" t="str">
        <f t="shared" ref="I66:I129" si="7">IFERROR(VLOOKUP(F66,$N$2:$Q$39,4,FALSE),0)</f>
        <v>Communication Skills</v>
      </c>
      <c r="J66" s="21" t="str">
        <f t="shared" ref="J66:J129" si="8">IFERROR(VLOOKUP(F66,$N$2:$O$39,2,FALSE),0)</f>
        <v>Generate appropriate documentation to communicate within the profession and to society at large</v>
      </c>
      <c r="K66" s="3"/>
      <c r="L66" s="3"/>
      <c r="M66" s="3"/>
      <c r="N66" s="3"/>
      <c r="O66" s="16"/>
      <c r="P66" s="3"/>
      <c r="Q66" s="3"/>
      <c r="R66" s="3"/>
    </row>
    <row r="67" spans="1:18" x14ac:dyDescent="0.2">
      <c r="A67" s="79" t="s">
        <v>66</v>
      </c>
      <c r="B67" s="18" t="s">
        <v>67</v>
      </c>
      <c r="C67" s="18" t="s">
        <v>32</v>
      </c>
      <c r="D67" s="18" t="s">
        <v>68</v>
      </c>
      <c r="E67" s="19" t="s">
        <v>543</v>
      </c>
      <c r="F67" s="17" t="s">
        <v>542</v>
      </c>
      <c r="G67" s="17" t="str">
        <f t="shared" si="5"/>
        <v>7</v>
      </c>
      <c r="H67" s="17" t="str">
        <f t="shared" si="6"/>
        <v>c</v>
      </c>
      <c r="I67" s="20" t="str">
        <f t="shared" si="7"/>
        <v>Communication Skills</v>
      </c>
      <c r="J67" s="21" t="str">
        <f t="shared" si="8"/>
        <v>Comprehend and Interpret information, including solutions, results and instructions</v>
      </c>
      <c r="K67" s="3"/>
      <c r="L67" s="3"/>
      <c r="M67" s="3"/>
      <c r="N67" s="3"/>
      <c r="O67" s="16"/>
      <c r="P67" s="3"/>
      <c r="Q67" s="3"/>
      <c r="R67" s="3"/>
    </row>
    <row r="68" spans="1:18" x14ac:dyDescent="0.2">
      <c r="A68" s="79" t="s">
        <v>70</v>
      </c>
      <c r="B68" s="18" t="s">
        <v>71</v>
      </c>
      <c r="C68" s="18" t="s">
        <v>32</v>
      </c>
      <c r="D68" s="18" t="s">
        <v>72</v>
      </c>
      <c r="E68" s="19" t="s">
        <v>263</v>
      </c>
      <c r="F68" s="17" t="s">
        <v>494</v>
      </c>
      <c r="G68" s="17" t="str">
        <f t="shared" si="5"/>
        <v>1</v>
      </c>
      <c r="H68" s="17" t="str">
        <f t="shared" si="6"/>
        <v>d</v>
      </c>
      <c r="I68" s="20" t="str">
        <f t="shared" si="7"/>
        <v>Knowledge base for engineering</v>
      </c>
      <c r="J68" s="21" t="str">
        <f t="shared" si="8"/>
        <v>Demonstrate understanding of specialized engineering knowledge</v>
      </c>
      <c r="K68" s="3"/>
      <c r="L68" s="3"/>
      <c r="M68" s="3"/>
      <c r="N68" s="3"/>
      <c r="O68" s="16"/>
      <c r="P68" s="3"/>
      <c r="Q68" s="3"/>
      <c r="R68" s="3"/>
    </row>
    <row r="69" spans="1:18" x14ac:dyDescent="0.2">
      <c r="A69" s="79" t="s">
        <v>70</v>
      </c>
      <c r="B69" s="18" t="s">
        <v>71</v>
      </c>
      <c r="C69" s="18" t="s">
        <v>32</v>
      </c>
      <c r="D69" s="18" t="s">
        <v>72</v>
      </c>
      <c r="E69" s="19" t="s">
        <v>260</v>
      </c>
      <c r="F69" s="17" t="s">
        <v>494</v>
      </c>
      <c r="G69" s="17" t="str">
        <f t="shared" si="5"/>
        <v>1</v>
      </c>
      <c r="H69" s="17" t="str">
        <f t="shared" si="6"/>
        <v>d</v>
      </c>
      <c r="I69" s="20" t="str">
        <f t="shared" si="7"/>
        <v>Knowledge base for engineering</v>
      </c>
      <c r="J69" s="21" t="str">
        <f t="shared" si="8"/>
        <v>Demonstrate understanding of specialized engineering knowledge</v>
      </c>
      <c r="K69" s="3"/>
      <c r="L69" s="3"/>
      <c r="M69" s="3"/>
      <c r="N69" s="3"/>
      <c r="O69" s="16"/>
      <c r="P69" s="3"/>
      <c r="Q69" s="3"/>
      <c r="R69" s="3"/>
    </row>
    <row r="70" spans="1:18" x14ac:dyDescent="0.2">
      <c r="A70" s="79" t="s">
        <v>70</v>
      </c>
      <c r="B70" s="18" t="s">
        <v>71</v>
      </c>
      <c r="C70" s="18" t="s">
        <v>32</v>
      </c>
      <c r="D70" s="18" t="s">
        <v>72</v>
      </c>
      <c r="E70" s="19" t="s">
        <v>261</v>
      </c>
      <c r="F70" s="17" t="s">
        <v>494</v>
      </c>
      <c r="G70" s="17" t="str">
        <f t="shared" si="5"/>
        <v>1</v>
      </c>
      <c r="H70" s="17" t="str">
        <f t="shared" si="6"/>
        <v>d</v>
      </c>
      <c r="I70" s="20" t="str">
        <f t="shared" si="7"/>
        <v>Knowledge base for engineering</v>
      </c>
      <c r="J70" s="21" t="str">
        <f t="shared" si="8"/>
        <v>Demonstrate understanding of specialized engineering knowledge</v>
      </c>
      <c r="K70" s="3"/>
      <c r="L70" s="3"/>
      <c r="M70" s="3"/>
      <c r="N70" s="3"/>
      <c r="O70" s="16"/>
      <c r="P70" s="3"/>
      <c r="Q70" s="3"/>
      <c r="R70" s="3"/>
    </row>
    <row r="71" spans="1:18" x14ac:dyDescent="0.2">
      <c r="A71" s="79" t="s">
        <v>70</v>
      </c>
      <c r="B71" s="18" t="s">
        <v>71</v>
      </c>
      <c r="C71" s="18" t="s">
        <v>32</v>
      </c>
      <c r="D71" s="18" t="s">
        <v>72</v>
      </c>
      <c r="E71" s="19" t="s">
        <v>262</v>
      </c>
      <c r="F71" s="17" t="s">
        <v>494</v>
      </c>
      <c r="G71" s="17" t="str">
        <f t="shared" si="5"/>
        <v>1</v>
      </c>
      <c r="H71" s="17" t="str">
        <f t="shared" si="6"/>
        <v>d</v>
      </c>
      <c r="I71" s="20" t="str">
        <f t="shared" si="7"/>
        <v>Knowledge base for engineering</v>
      </c>
      <c r="J71" s="21" t="str">
        <f t="shared" si="8"/>
        <v>Demonstrate understanding of specialized engineering knowledge</v>
      </c>
      <c r="K71" s="3"/>
      <c r="L71" s="3"/>
      <c r="M71" s="3"/>
      <c r="N71" s="3"/>
      <c r="O71" s="16"/>
      <c r="P71" s="3"/>
      <c r="Q71" s="3"/>
      <c r="R71" s="3"/>
    </row>
    <row r="72" spans="1:18" x14ac:dyDescent="0.2">
      <c r="A72" s="79" t="s">
        <v>70</v>
      </c>
      <c r="B72" s="18" t="s">
        <v>71</v>
      </c>
      <c r="C72" s="18" t="s">
        <v>32</v>
      </c>
      <c r="D72" s="18" t="s">
        <v>72</v>
      </c>
      <c r="E72" s="19" t="s">
        <v>259</v>
      </c>
      <c r="F72" s="17" t="s">
        <v>494</v>
      </c>
      <c r="G72" s="17" t="str">
        <f t="shared" si="5"/>
        <v>1</v>
      </c>
      <c r="H72" s="17" t="str">
        <f t="shared" si="6"/>
        <v>d</v>
      </c>
      <c r="I72" s="20" t="str">
        <f t="shared" si="7"/>
        <v>Knowledge base for engineering</v>
      </c>
      <c r="J72" s="21" t="str">
        <f t="shared" si="8"/>
        <v>Demonstrate understanding of specialized engineering knowledge</v>
      </c>
      <c r="K72" s="3"/>
      <c r="L72" s="3"/>
      <c r="M72" s="3"/>
      <c r="N72" s="3"/>
      <c r="O72" s="16"/>
      <c r="P72" s="3"/>
      <c r="Q72" s="3"/>
      <c r="R72" s="3"/>
    </row>
    <row r="73" spans="1:18" x14ac:dyDescent="0.2">
      <c r="A73" s="79" t="s">
        <v>70</v>
      </c>
      <c r="B73" s="18" t="s">
        <v>71</v>
      </c>
      <c r="C73" s="18" t="s">
        <v>32</v>
      </c>
      <c r="D73" s="18" t="s">
        <v>72</v>
      </c>
      <c r="E73" s="19" t="s">
        <v>265</v>
      </c>
      <c r="F73" s="17" t="s">
        <v>494</v>
      </c>
      <c r="G73" s="17" t="str">
        <f t="shared" si="5"/>
        <v>1</v>
      </c>
      <c r="H73" s="17" t="str">
        <f t="shared" si="6"/>
        <v>d</v>
      </c>
      <c r="I73" s="20" t="str">
        <f t="shared" si="7"/>
        <v>Knowledge base for engineering</v>
      </c>
      <c r="J73" s="21" t="str">
        <f t="shared" si="8"/>
        <v>Demonstrate understanding of specialized engineering knowledge</v>
      </c>
      <c r="K73" s="3"/>
      <c r="L73" s="3"/>
      <c r="M73" s="3"/>
      <c r="N73" s="3"/>
      <c r="O73" s="16"/>
      <c r="P73" s="3"/>
      <c r="Q73" s="3"/>
      <c r="R73" s="3"/>
    </row>
    <row r="74" spans="1:18" x14ac:dyDescent="0.2">
      <c r="A74" s="79" t="s">
        <v>70</v>
      </c>
      <c r="B74" s="18" t="s">
        <v>71</v>
      </c>
      <c r="C74" s="18" t="s">
        <v>32</v>
      </c>
      <c r="D74" s="18" t="s">
        <v>72</v>
      </c>
      <c r="E74" s="19" t="s">
        <v>264</v>
      </c>
      <c r="F74" s="17" t="s">
        <v>494</v>
      </c>
      <c r="G74" s="17" t="str">
        <f t="shared" si="5"/>
        <v>1</v>
      </c>
      <c r="H74" s="17" t="str">
        <f t="shared" si="6"/>
        <v>d</v>
      </c>
      <c r="I74" s="20" t="str">
        <f t="shared" si="7"/>
        <v>Knowledge base for engineering</v>
      </c>
      <c r="J74" s="21" t="str">
        <f t="shared" si="8"/>
        <v>Demonstrate understanding of specialized engineering knowledge</v>
      </c>
      <c r="K74" s="3"/>
      <c r="L74" s="3"/>
      <c r="M74" s="3"/>
      <c r="N74" s="3"/>
      <c r="O74" s="16"/>
      <c r="P74" s="3"/>
      <c r="Q74" s="3"/>
      <c r="R74" s="3"/>
    </row>
    <row r="75" spans="1:18" x14ac:dyDescent="0.2">
      <c r="A75" s="79" t="s">
        <v>70</v>
      </c>
      <c r="B75" s="18" t="s">
        <v>71</v>
      </c>
      <c r="C75" s="18" t="s">
        <v>32</v>
      </c>
      <c r="D75" s="18" t="s">
        <v>72</v>
      </c>
      <c r="E75" s="19" t="s">
        <v>367</v>
      </c>
      <c r="F75" s="17" t="s">
        <v>508</v>
      </c>
      <c r="G75" s="17" t="str">
        <f t="shared" si="5"/>
        <v>2</v>
      </c>
      <c r="H75" s="17" t="str">
        <f t="shared" si="6"/>
        <v>a</v>
      </c>
      <c r="I75" s="20" t="str">
        <f t="shared" si="7"/>
        <v xml:space="preserve">Problem Analysis </v>
      </c>
      <c r="J75" s="21" t="str">
        <f t="shared" si="8"/>
        <v>Identify / define a problem</v>
      </c>
      <c r="K75" s="3"/>
      <c r="L75" s="3"/>
      <c r="M75" s="3"/>
      <c r="N75" s="3"/>
      <c r="O75" s="16"/>
      <c r="P75" s="3"/>
      <c r="Q75" s="3"/>
      <c r="R75" s="3"/>
    </row>
    <row r="76" spans="1:18" ht="30" x14ac:dyDescent="0.2">
      <c r="A76" s="79" t="s">
        <v>70</v>
      </c>
      <c r="B76" s="18" t="s">
        <v>71</v>
      </c>
      <c r="C76" s="18" t="s">
        <v>32</v>
      </c>
      <c r="D76" s="18" t="s">
        <v>72</v>
      </c>
      <c r="E76" s="19" t="s">
        <v>366</v>
      </c>
      <c r="F76" s="17" t="s">
        <v>510</v>
      </c>
      <c r="G76" s="17" t="str">
        <f t="shared" si="5"/>
        <v>2</v>
      </c>
      <c r="H76" s="17" t="str">
        <f t="shared" si="6"/>
        <v>c</v>
      </c>
      <c r="I76" s="20" t="str">
        <f t="shared" si="7"/>
        <v xml:space="preserve">Problem Analysis </v>
      </c>
      <c r="J76" s="21" t="str">
        <f t="shared" si="8"/>
        <v>Evaluate solutions of complex engineering problems to reach substantiated conclusions</v>
      </c>
      <c r="K76" s="3"/>
      <c r="L76" s="3"/>
      <c r="M76" s="3"/>
      <c r="N76" s="3"/>
      <c r="O76" s="16"/>
      <c r="P76" s="3"/>
      <c r="Q76" s="3"/>
      <c r="R76" s="3"/>
    </row>
    <row r="77" spans="1:18" ht="30" x14ac:dyDescent="0.2">
      <c r="A77" s="79" t="s">
        <v>70</v>
      </c>
      <c r="B77" s="18" t="s">
        <v>71</v>
      </c>
      <c r="C77" s="18" t="s">
        <v>32</v>
      </c>
      <c r="D77" s="18" t="s">
        <v>72</v>
      </c>
      <c r="E77" s="19" t="s">
        <v>365</v>
      </c>
      <c r="F77" s="17" t="s">
        <v>510</v>
      </c>
      <c r="G77" s="17" t="str">
        <f t="shared" si="5"/>
        <v>2</v>
      </c>
      <c r="H77" s="17" t="str">
        <f t="shared" si="6"/>
        <v>c</v>
      </c>
      <c r="I77" s="20" t="str">
        <f t="shared" si="7"/>
        <v xml:space="preserve">Problem Analysis </v>
      </c>
      <c r="J77" s="21" t="str">
        <f t="shared" si="8"/>
        <v>Evaluate solutions of complex engineering problems to reach substantiated conclusions</v>
      </c>
      <c r="K77" s="3"/>
      <c r="L77" s="3"/>
      <c r="M77" s="3"/>
      <c r="N77" s="3"/>
      <c r="O77" s="16"/>
      <c r="P77" s="3"/>
      <c r="Q77" s="3"/>
      <c r="R77" s="3"/>
    </row>
    <row r="78" spans="1:18" x14ac:dyDescent="0.2">
      <c r="A78" s="79" t="s">
        <v>70</v>
      </c>
      <c r="B78" s="18" t="s">
        <v>71</v>
      </c>
      <c r="C78" s="18" t="s">
        <v>32</v>
      </c>
      <c r="D78" s="18" t="s">
        <v>72</v>
      </c>
      <c r="E78" s="19" t="s">
        <v>209</v>
      </c>
      <c r="F78" s="17" t="s">
        <v>514</v>
      </c>
      <c r="G78" s="17" t="str">
        <f t="shared" si="5"/>
        <v>3</v>
      </c>
      <c r="H78" s="17" t="str">
        <f t="shared" si="6"/>
        <v>c</v>
      </c>
      <c r="I78" s="20" t="str">
        <f t="shared" si="7"/>
        <v>Investigation</v>
      </c>
      <c r="J78" s="21" t="str">
        <f t="shared" si="8"/>
        <v>Analyze, synthesize, and interpret experimental and other data to reach valid conclusions.</v>
      </c>
      <c r="K78" s="3"/>
      <c r="L78" s="3"/>
      <c r="M78" s="3"/>
      <c r="N78" s="3"/>
      <c r="O78" s="16"/>
      <c r="P78" s="3"/>
      <c r="Q78" s="3"/>
      <c r="R78" s="3"/>
    </row>
    <row r="79" spans="1:18" ht="30" x14ac:dyDescent="0.2">
      <c r="A79" s="79" t="s">
        <v>70</v>
      </c>
      <c r="B79" s="18" t="s">
        <v>71</v>
      </c>
      <c r="C79" s="18" t="s">
        <v>32</v>
      </c>
      <c r="D79" s="18" t="s">
        <v>72</v>
      </c>
      <c r="E79" s="19" t="s">
        <v>132</v>
      </c>
      <c r="F79" s="17" t="s">
        <v>516</v>
      </c>
      <c r="G79" s="17" t="str">
        <f t="shared" si="5"/>
        <v>4</v>
      </c>
      <c r="H79" s="17" t="str">
        <f t="shared" si="6"/>
        <v>b</v>
      </c>
      <c r="I79" s="20" t="str">
        <f t="shared" si="7"/>
        <v>Design</v>
      </c>
      <c r="J79" s="21" t="str">
        <f t="shared" si="8"/>
        <v>Generate and implement solutions to complex open-ended problems</v>
      </c>
      <c r="K79" s="3"/>
      <c r="L79" s="3"/>
      <c r="M79" s="3"/>
      <c r="N79" s="3"/>
      <c r="O79" s="16"/>
      <c r="P79" s="3"/>
      <c r="Q79" s="3"/>
      <c r="R79" s="3"/>
    </row>
    <row r="80" spans="1:18" x14ac:dyDescent="0.2">
      <c r="A80" s="79" t="s">
        <v>70</v>
      </c>
      <c r="B80" s="18" t="s">
        <v>71</v>
      </c>
      <c r="C80" s="18" t="s">
        <v>32</v>
      </c>
      <c r="D80" s="18" t="s">
        <v>72</v>
      </c>
      <c r="E80" s="19" t="s">
        <v>171</v>
      </c>
      <c r="F80" s="81" t="s">
        <v>524</v>
      </c>
      <c r="G80" s="17" t="str">
        <f t="shared" si="5"/>
        <v>5</v>
      </c>
      <c r="H80" s="17" t="str">
        <f t="shared" si="6"/>
        <v>c</v>
      </c>
      <c r="I80" s="20" t="str">
        <f t="shared" si="7"/>
        <v>Use of Engineering Tools</v>
      </c>
      <c r="J80" s="21" t="str">
        <f t="shared" si="8"/>
        <v>Use appropriate engineering tools</v>
      </c>
      <c r="K80" s="3"/>
      <c r="L80" s="3"/>
      <c r="M80" s="3"/>
      <c r="N80" s="3"/>
      <c r="O80" s="16"/>
      <c r="P80" s="3"/>
      <c r="Q80" s="3"/>
      <c r="R80" s="3"/>
    </row>
    <row r="81" spans="1:18" x14ac:dyDescent="0.2">
      <c r="A81" s="79" t="s">
        <v>70</v>
      </c>
      <c r="B81" s="18" t="s">
        <v>71</v>
      </c>
      <c r="C81" s="18" t="s">
        <v>32</v>
      </c>
      <c r="D81" s="18" t="s">
        <v>72</v>
      </c>
      <c r="E81" s="19" t="s">
        <v>170</v>
      </c>
      <c r="F81" s="81" t="s">
        <v>524</v>
      </c>
      <c r="G81" s="17" t="str">
        <f t="shared" si="5"/>
        <v>5</v>
      </c>
      <c r="H81" s="17" t="str">
        <f t="shared" si="6"/>
        <v>c</v>
      </c>
      <c r="I81" s="20" t="str">
        <f t="shared" si="7"/>
        <v>Use of Engineering Tools</v>
      </c>
      <c r="J81" s="21" t="str">
        <f t="shared" si="8"/>
        <v>Use appropriate engineering tools</v>
      </c>
      <c r="K81" s="3"/>
      <c r="L81" s="3"/>
      <c r="M81" s="3"/>
      <c r="N81" s="3"/>
      <c r="O81" s="16"/>
      <c r="P81" s="3"/>
      <c r="Q81" s="3"/>
      <c r="R81" s="3"/>
    </row>
    <row r="82" spans="1:18" x14ac:dyDescent="0.2">
      <c r="A82" s="79" t="s">
        <v>70</v>
      </c>
      <c r="B82" s="18" t="s">
        <v>71</v>
      </c>
      <c r="C82" s="18" t="s">
        <v>32</v>
      </c>
      <c r="D82" s="18" t="s">
        <v>72</v>
      </c>
      <c r="E82" s="19" t="s">
        <v>536</v>
      </c>
      <c r="F82" s="17" t="s">
        <v>530</v>
      </c>
      <c r="G82" s="17" t="str">
        <f t="shared" si="5"/>
        <v>7</v>
      </c>
      <c r="H82" s="17" t="str">
        <f t="shared" si="6"/>
        <v>a</v>
      </c>
      <c r="I82" s="20" t="str">
        <f t="shared" si="7"/>
        <v>Communication Skills</v>
      </c>
      <c r="J82" s="21" t="str">
        <f t="shared" si="8"/>
        <v>Generate appropriate documentation to communicate within the profession and to society at large</v>
      </c>
      <c r="K82" s="3"/>
      <c r="L82" s="3"/>
      <c r="M82" s="3"/>
      <c r="N82" s="3"/>
      <c r="O82" s="16"/>
      <c r="P82" s="3"/>
      <c r="Q82" s="3"/>
      <c r="R82" s="3"/>
    </row>
    <row r="83" spans="1:18" x14ac:dyDescent="0.2">
      <c r="A83" s="79" t="s">
        <v>70</v>
      </c>
      <c r="B83" s="18" t="s">
        <v>71</v>
      </c>
      <c r="C83" s="18" t="s">
        <v>32</v>
      </c>
      <c r="D83" s="18" t="s">
        <v>72</v>
      </c>
      <c r="E83" s="19" t="s">
        <v>537</v>
      </c>
      <c r="F83" s="17" t="s">
        <v>530</v>
      </c>
      <c r="G83" s="17" t="str">
        <f t="shared" si="5"/>
        <v>7</v>
      </c>
      <c r="H83" s="17" t="str">
        <f t="shared" si="6"/>
        <v>a</v>
      </c>
      <c r="I83" s="20" t="str">
        <f t="shared" si="7"/>
        <v>Communication Skills</v>
      </c>
      <c r="J83" s="21" t="str">
        <f t="shared" si="8"/>
        <v>Generate appropriate documentation to communicate within the profession and to society at large</v>
      </c>
      <c r="K83" s="3"/>
      <c r="L83" s="3"/>
      <c r="M83" s="3"/>
      <c r="N83" s="3"/>
      <c r="O83" s="16"/>
      <c r="P83" s="3"/>
      <c r="Q83" s="3"/>
      <c r="R83" s="3"/>
    </row>
    <row r="84" spans="1:18" x14ac:dyDescent="0.2">
      <c r="A84" s="79" t="s">
        <v>133</v>
      </c>
      <c r="B84" s="18" t="s">
        <v>71</v>
      </c>
      <c r="C84" s="18" t="s">
        <v>32</v>
      </c>
      <c r="D84" s="18" t="s">
        <v>72</v>
      </c>
      <c r="E84" s="19" t="s">
        <v>268</v>
      </c>
      <c r="F84" s="17" t="s">
        <v>494</v>
      </c>
      <c r="G84" s="17" t="str">
        <f t="shared" si="5"/>
        <v>1</v>
      </c>
      <c r="H84" s="17" t="str">
        <f t="shared" si="6"/>
        <v>d</v>
      </c>
      <c r="I84" s="20" t="str">
        <f t="shared" si="7"/>
        <v>Knowledge base for engineering</v>
      </c>
      <c r="J84" s="21" t="str">
        <f t="shared" si="8"/>
        <v>Demonstrate understanding of specialized engineering knowledge</v>
      </c>
      <c r="K84" s="3"/>
      <c r="L84" s="3"/>
      <c r="M84" s="3"/>
      <c r="N84" s="3"/>
      <c r="O84" s="16"/>
      <c r="P84" s="3"/>
      <c r="Q84" s="3"/>
      <c r="R84" s="3"/>
    </row>
    <row r="85" spans="1:18" x14ac:dyDescent="0.2">
      <c r="A85" s="79" t="s">
        <v>133</v>
      </c>
      <c r="B85" s="18" t="s">
        <v>71</v>
      </c>
      <c r="C85" s="18" t="s">
        <v>32</v>
      </c>
      <c r="D85" s="18" t="s">
        <v>72</v>
      </c>
      <c r="E85" s="19" t="s">
        <v>267</v>
      </c>
      <c r="F85" s="17" t="s">
        <v>494</v>
      </c>
      <c r="G85" s="17" t="str">
        <f t="shared" si="5"/>
        <v>1</v>
      </c>
      <c r="H85" s="17" t="str">
        <f t="shared" si="6"/>
        <v>d</v>
      </c>
      <c r="I85" s="20" t="str">
        <f t="shared" si="7"/>
        <v>Knowledge base for engineering</v>
      </c>
      <c r="J85" s="21" t="str">
        <f t="shared" si="8"/>
        <v>Demonstrate understanding of specialized engineering knowledge</v>
      </c>
      <c r="K85" s="3"/>
      <c r="L85" s="3"/>
      <c r="M85" s="3"/>
      <c r="N85" s="3"/>
      <c r="O85" s="16"/>
      <c r="P85" s="3"/>
      <c r="Q85" s="3"/>
      <c r="R85" s="3"/>
    </row>
    <row r="86" spans="1:18" x14ac:dyDescent="0.2">
      <c r="A86" s="79" t="s">
        <v>133</v>
      </c>
      <c r="B86" s="18" t="s">
        <v>71</v>
      </c>
      <c r="C86" s="18" t="s">
        <v>32</v>
      </c>
      <c r="D86" s="18" t="s">
        <v>72</v>
      </c>
      <c r="E86" s="19" t="s">
        <v>266</v>
      </c>
      <c r="F86" s="17" t="s">
        <v>494</v>
      </c>
      <c r="G86" s="17" t="str">
        <f t="shared" si="5"/>
        <v>1</v>
      </c>
      <c r="H86" s="17" t="str">
        <f t="shared" si="6"/>
        <v>d</v>
      </c>
      <c r="I86" s="20" t="str">
        <f t="shared" si="7"/>
        <v>Knowledge base for engineering</v>
      </c>
      <c r="J86" s="21" t="str">
        <f t="shared" si="8"/>
        <v>Demonstrate understanding of specialized engineering knowledge</v>
      </c>
      <c r="K86" s="3"/>
      <c r="L86" s="3"/>
      <c r="M86" s="3"/>
      <c r="N86" s="3"/>
      <c r="O86" s="16"/>
      <c r="P86" s="3"/>
      <c r="Q86" s="3"/>
      <c r="R86" s="3"/>
    </row>
    <row r="87" spans="1:18" x14ac:dyDescent="0.2">
      <c r="A87" s="79" t="s">
        <v>133</v>
      </c>
      <c r="B87" s="18" t="s">
        <v>71</v>
      </c>
      <c r="C87" s="18" t="s">
        <v>32</v>
      </c>
      <c r="D87" s="18" t="s">
        <v>72</v>
      </c>
      <c r="E87" s="19" t="s">
        <v>368</v>
      </c>
      <c r="F87" s="17" t="s">
        <v>510</v>
      </c>
      <c r="G87" s="17" t="str">
        <f t="shared" si="5"/>
        <v>2</v>
      </c>
      <c r="H87" s="17" t="str">
        <f t="shared" si="6"/>
        <v>c</v>
      </c>
      <c r="I87" s="20" t="str">
        <f t="shared" si="7"/>
        <v xml:space="preserve">Problem Analysis </v>
      </c>
      <c r="J87" s="21" t="str">
        <f t="shared" si="8"/>
        <v>Evaluate solutions of complex engineering problems to reach substantiated conclusions</v>
      </c>
      <c r="K87" s="3"/>
      <c r="L87" s="3"/>
      <c r="M87" s="3"/>
      <c r="N87" s="3"/>
      <c r="O87" s="16"/>
      <c r="P87" s="3"/>
      <c r="Q87" s="3"/>
      <c r="R87" s="3"/>
    </row>
    <row r="88" spans="1:18" x14ac:dyDescent="0.2">
      <c r="A88" s="79" t="s">
        <v>133</v>
      </c>
      <c r="B88" s="18" t="s">
        <v>71</v>
      </c>
      <c r="C88" s="18" t="s">
        <v>32</v>
      </c>
      <c r="D88" s="18" t="s">
        <v>72</v>
      </c>
      <c r="E88" s="19" t="s">
        <v>369</v>
      </c>
      <c r="F88" s="17" t="s">
        <v>510</v>
      </c>
      <c r="G88" s="17" t="str">
        <f t="shared" si="5"/>
        <v>2</v>
      </c>
      <c r="H88" s="17" t="str">
        <f t="shared" si="6"/>
        <v>c</v>
      </c>
      <c r="I88" s="20" t="str">
        <f t="shared" si="7"/>
        <v xml:space="preserve">Problem Analysis </v>
      </c>
      <c r="J88" s="21" t="str">
        <f t="shared" si="8"/>
        <v>Evaluate solutions of complex engineering problems to reach substantiated conclusions</v>
      </c>
      <c r="K88" s="3"/>
      <c r="L88" s="3"/>
      <c r="M88" s="3"/>
      <c r="N88" s="3"/>
      <c r="O88" s="16"/>
      <c r="P88" s="3"/>
      <c r="Q88" s="3"/>
      <c r="R88" s="3"/>
    </row>
    <row r="89" spans="1:18" x14ac:dyDescent="0.2">
      <c r="A89" s="79" t="s">
        <v>133</v>
      </c>
      <c r="B89" s="18" t="s">
        <v>71</v>
      </c>
      <c r="C89" s="18" t="s">
        <v>32</v>
      </c>
      <c r="D89" s="18" t="s">
        <v>72</v>
      </c>
      <c r="E89" s="19" t="s">
        <v>370</v>
      </c>
      <c r="F89" s="17" t="s">
        <v>510</v>
      </c>
      <c r="G89" s="17" t="str">
        <f t="shared" si="5"/>
        <v>2</v>
      </c>
      <c r="H89" s="17" t="str">
        <f t="shared" si="6"/>
        <v>c</v>
      </c>
      <c r="I89" s="20" t="str">
        <f t="shared" si="7"/>
        <v xml:space="preserve">Problem Analysis </v>
      </c>
      <c r="J89" s="21" t="str">
        <f t="shared" si="8"/>
        <v>Evaluate solutions of complex engineering problems to reach substantiated conclusions</v>
      </c>
      <c r="K89" s="3"/>
      <c r="L89" s="3"/>
      <c r="M89" s="3"/>
      <c r="N89" s="3"/>
      <c r="O89" s="16"/>
      <c r="P89" s="3"/>
      <c r="Q89" s="3"/>
      <c r="R89" s="3"/>
    </row>
    <row r="90" spans="1:18" x14ac:dyDescent="0.2">
      <c r="A90" s="79" t="s">
        <v>133</v>
      </c>
      <c r="B90" s="18" t="s">
        <v>71</v>
      </c>
      <c r="C90" s="18" t="s">
        <v>32</v>
      </c>
      <c r="D90" s="18" t="s">
        <v>72</v>
      </c>
      <c r="E90" s="19" t="s">
        <v>210</v>
      </c>
      <c r="F90" s="17" t="s">
        <v>513</v>
      </c>
      <c r="G90" s="17" t="str">
        <f t="shared" si="5"/>
        <v>3</v>
      </c>
      <c r="H90" s="17" t="str">
        <f t="shared" si="6"/>
        <v>b</v>
      </c>
      <c r="I90" s="20" t="str">
        <f t="shared" si="7"/>
        <v>Investigation</v>
      </c>
      <c r="J90" s="21" t="str">
        <f t="shared" si="8"/>
        <v>Conduct experiments and gather and process data.</v>
      </c>
      <c r="K90" s="3"/>
      <c r="L90" s="3"/>
      <c r="M90" s="3"/>
      <c r="N90" s="3"/>
      <c r="O90" s="16"/>
      <c r="P90" s="3"/>
      <c r="Q90" s="3"/>
      <c r="R90" s="3"/>
    </row>
    <row r="91" spans="1:18" ht="30" x14ac:dyDescent="0.2">
      <c r="A91" s="79" t="s">
        <v>133</v>
      </c>
      <c r="B91" s="18" t="s">
        <v>71</v>
      </c>
      <c r="C91" s="18" t="s">
        <v>32</v>
      </c>
      <c r="D91" s="18" t="s">
        <v>72</v>
      </c>
      <c r="E91" s="19" t="s">
        <v>135</v>
      </c>
      <c r="F91" s="17" t="s">
        <v>516</v>
      </c>
      <c r="G91" s="17" t="str">
        <f t="shared" si="5"/>
        <v>4</v>
      </c>
      <c r="H91" s="17" t="str">
        <f t="shared" si="6"/>
        <v>b</v>
      </c>
      <c r="I91" s="20" t="str">
        <f t="shared" si="7"/>
        <v>Design</v>
      </c>
      <c r="J91" s="21" t="str">
        <f t="shared" si="8"/>
        <v>Generate and implement solutions to complex open-ended problems</v>
      </c>
      <c r="K91" s="3"/>
      <c r="L91" s="3"/>
      <c r="M91" s="3"/>
      <c r="N91" s="3"/>
      <c r="O91" s="16"/>
      <c r="P91" s="3"/>
      <c r="Q91" s="3"/>
      <c r="R91" s="3"/>
    </row>
    <row r="92" spans="1:18" x14ac:dyDescent="0.2">
      <c r="A92" s="79" t="s">
        <v>133</v>
      </c>
      <c r="B92" s="18" t="s">
        <v>71</v>
      </c>
      <c r="C92" s="18" t="s">
        <v>32</v>
      </c>
      <c r="D92" s="18" t="s">
        <v>72</v>
      </c>
      <c r="E92" s="19" t="s">
        <v>134</v>
      </c>
      <c r="F92" s="17" t="s">
        <v>516</v>
      </c>
      <c r="G92" s="17" t="str">
        <f t="shared" si="5"/>
        <v>4</v>
      </c>
      <c r="H92" s="17" t="str">
        <f t="shared" si="6"/>
        <v>b</v>
      </c>
      <c r="I92" s="20" t="str">
        <f t="shared" si="7"/>
        <v>Design</v>
      </c>
      <c r="J92" s="21" t="str">
        <f t="shared" si="8"/>
        <v>Generate and implement solutions to complex open-ended problems</v>
      </c>
      <c r="K92" s="3"/>
      <c r="L92" s="3"/>
      <c r="M92" s="3"/>
      <c r="N92" s="3"/>
      <c r="O92" s="16"/>
      <c r="P92" s="3"/>
      <c r="Q92" s="3"/>
      <c r="R92" s="3"/>
    </row>
    <row r="93" spans="1:18" ht="45" x14ac:dyDescent="0.2">
      <c r="A93" s="79" t="s">
        <v>73</v>
      </c>
      <c r="B93" s="18" t="s">
        <v>74</v>
      </c>
      <c r="C93" s="18" t="s">
        <v>32</v>
      </c>
      <c r="D93" s="18" t="s">
        <v>75</v>
      </c>
      <c r="E93" s="19" t="s">
        <v>269</v>
      </c>
      <c r="F93" s="17" t="s">
        <v>494</v>
      </c>
      <c r="G93" s="17" t="str">
        <f t="shared" si="5"/>
        <v>1</v>
      </c>
      <c r="H93" s="17" t="str">
        <f t="shared" si="6"/>
        <v>d</v>
      </c>
      <c r="I93" s="20" t="str">
        <f t="shared" si="7"/>
        <v>Knowledge base for engineering</v>
      </c>
      <c r="J93" s="21" t="str">
        <f t="shared" si="8"/>
        <v>Demonstrate understanding of specialized engineering knowledge</v>
      </c>
      <c r="K93" s="3"/>
      <c r="L93" s="3"/>
      <c r="M93" s="3"/>
      <c r="N93" s="3"/>
      <c r="O93" s="16"/>
      <c r="P93" s="3"/>
      <c r="Q93" s="3"/>
      <c r="R93" s="3"/>
    </row>
    <row r="94" spans="1:18" ht="30" x14ac:dyDescent="0.2">
      <c r="A94" s="79" t="s">
        <v>73</v>
      </c>
      <c r="B94" s="18" t="s">
        <v>74</v>
      </c>
      <c r="C94" s="18" t="s">
        <v>32</v>
      </c>
      <c r="D94" s="18" t="s">
        <v>75</v>
      </c>
      <c r="E94" s="19" t="s">
        <v>270</v>
      </c>
      <c r="F94" s="17" t="s">
        <v>494</v>
      </c>
      <c r="G94" s="17" t="str">
        <f t="shared" si="5"/>
        <v>1</v>
      </c>
      <c r="H94" s="17" t="str">
        <f t="shared" si="6"/>
        <v>d</v>
      </c>
      <c r="I94" s="20" t="str">
        <f t="shared" si="7"/>
        <v>Knowledge base for engineering</v>
      </c>
      <c r="J94" s="21" t="str">
        <f t="shared" si="8"/>
        <v>Demonstrate understanding of specialized engineering knowledge</v>
      </c>
      <c r="K94" s="3"/>
      <c r="L94" s="3"/>
      <c r="M94" s="3"/>
      <c r="N94" s="3"/>
      <c r="O94" s="16"/>
      <c r="P94" s="3"/>
      <c r="Q94" s="3"/>
      <c r="R94" s="3"/>
    </row>
    <row r="95" spans="1:18" ht="30" x14ac:dyDescent="0.2">
      <c r="A95" s="79" t="s">
        <v>73</v>
      </c>
      <c r="B95" s="18" t="s">
        <v>74</v>
      </c>
      <c r="C95" s="18" t="s">
        <v>32</v>
      </c>
      <c r="D95" s="18" t="s">
        <v>75</v>
      </c>
      <c r="E95" s="19" t="s">
        <v>371</v>
      </c>
      <c r="F95" s="17" t="s">
        <v>509</v>
      </c>
      <c r="G95" s="17" t="str">
        <f t="shared" si="5"/>
        <v>2</v>
      </c>
      <c r="H95" s="17" t="str">
        <f t="shared" si="6"/>
        <v>b</v>
      </c>
      <c r="I95" s="20" t="str">
        <f t="shared" si="7"/>
        <v xml:space="preserve">Problem Analysis </v>
      </c>
      <c r="J95" s="21" t="str">
        <f t="shared" si="8"/>
        <v>Develop / solve models of engineering problems including identifying approximations, assumptions, and constraints</v>
      </c>
      <c r="K95" s="3"/>
      <c r="L95" s="3"/>
      <c r="M95" s="3"/>
      <c r="N95" s="3"/>
      <c r="O95" s="16"/>
      <c r="P95" s="3"/>
      <c r="Q95" s="3"/>
      <c r="R95" s="3"/>
    </row>
    <row r="96" spans="1:18" ht="30" x14ac:dyDescent="0.2">
      <c r="A96" s="79" t="s">
        <v>73</v>
      </c>
      <c r="B96" s="18" t="s">
        <v>74</v>
      </c>
      <c r="C96" s="18" t="s">
        <v>32</v>
      </c>
      <c r="D96" s="18" t="s">
        <v>75</v>
      </c>
      <c r="E96" s="19" t="s">
        <v>442</v>
      </c>
      <c r="F96" s="17" t="s">
        <v>527</v>
      </c>
      <c r="G96" s="17" t="str">
        <f t="shared" si="5"/>
        <v>6</v>
      </c>
      <c r="H96" s="17" t="str">
        <f t="shared" si="6"/>
        <v>b</v>
      </c>
      <c r="I96" s="20" t="str">
        <f t="shared" si="7"/>
        <v>Individual and team work</v>
      </c>
      <c r="J96" s="21" t="str">
        <f t="shared" si="8"/>
        <v>Collaborate with others to complete tasks effectively as a team</v>
      </c>
      <c r="K96" s="3"/>
      <c r="L96" s="3"/>
      <c r="M96" s="3"/>
      <c r="N96" s="3"/>
      <c r="O96" s="16"/>
      <c r="P96" s="3"/>
      <c r="Q96" s="3"/>
      <c r="R96" s="3"/>
    </row>
    <row r="97" spans="1:18" ht="30" x14ac:dyDescent="0.2">
      <c r="A97" s="79" t="s">
        <v>73</v>
      </c>
      <c r="B97" s="18" t="s">
        <v>74</v>
      </c>
      <c r="C97" s="18" t="s">
        <v>32</v>
      </c>
      <c r="D97" s="18" t="s">
        <v>75</v>
      </c>
      <c r="E97" s="19" t="s">
        <v>533</v>
      </c>
      <c r="F97" s="17" t="s">
        <v>528</v>
      </c>
      <c r="G97" s="17" t="str">
        <f t="shared" si="5"/>
        <v>7</v>
      </c>
      <c r="H97" s="17" t="str">
        <f t="shared" si="6"/>
        <v>b</v>
      </c>
      <c r="I97" s="20" t="str">
        <f t="shared" si="7"/>
        <v>Communication Skills</v>
      </c>
      <c r="J97" s="21" t="str">
        <f t="shared" si="8"/>
        <v>Orally present information within the profession and to society at large</v>
      </c>
      <c r="K97" s="3"/>
      <c r="L97" s="3"/>
      <c r="M97" s="3"/>
      <c r="N97" s="3"/>
      <c r="O97" s="16"/>
      <c r="P97" s="3"/>
      <c r="Q97" s="3"/>
      <c r="R97" s="3"/>
    </row>
    <row r="98" spans="1:18" ht="30" x14ac:dyDescent="0.2">
      <c r="A98" s="79" t="s">
        <v>73</v>
      </c>
      <c r="B98" s="18" t="s">
        <v>74</v>
      </c>
      <c r="C98" s="18" t="s">
        <v>32</v>
      </c>
      <c r="D98" s="18" t="s">
        <v>75</v>
      </c>
      <c r="E98" s="19" t="s">
        <v>541</v>
      </c>
      <c r="F98" s="17" t="s">
        <v>530</v>
      </c>
      <c r="G98" s="17" t="str">
        <f t="shared" si="5"/>
        <v>7</v>
      </c>
      <c r="H98" s="17" t="str">
        <f t="shared" si="6"/>
        <v>a</v>
      </c>
      <c r="I98" s="20" t="str">
        <f t="shared" si="7"/>
        <v>Communication Skills</v>
      </c>
      <c r="J98" s="21" t="str">
        <f t="shared" si="8"/>
        <v>Generate appropriate documentation to communicate within the profession and to society at large</v>
      </c>
      <c r="K98" s="3"/>
      <c r="L98" s="3"/>
      <c r="M98" s="3"/>
      <c r="N98" s="3"/>
      <c r="O98" s="16"/>
      <c r="P98" s="3"/>
      <c r="Q98" s="3"/>
      <c r="R98" s="3"/>
    </row>
    <row r="99" spans="1:18" ht="30" x14ac:dyDescent="0.2">
      <c r="A99" s="79" t="s">
        <v>211</v>
      </c>
      <c r="B99" s="18" t="s">
        <v>67</v>
      </c>
      <c r="C99" s="18" t="s">
        <v>32</v>
      </c>
      <c r="D99" s="18" t="s">
        <v>38</v>
      </c>
      <c r="E99" s="19" t="s">
        <v>272</v>
      </c>
      <c r="F99" s="17" t="s">
        <v>494</v>
      </c>
      <c r="G99" s="17" t="str">
        <f t="shared" si="5"/>
        <v>1</v>
      </c>
      <c r="H99" s="17" t="str">
        <f t="shared" si="6"/>
        <v>d</v>
      </c>
      <c r="I99" s="20" t="str">
        <f t="shared" si="7"/>
        <v>Knowledge base for engineering</v>
      </c>
      <c r="J99" s="21" t="str">
        <f t="shared" si="8"/>
        <v>Demonstrate understanding of specialized engineering knowledge</v>
      </c>
      <c r="K99" s="3"/>
      <c r="L99" s="3"/>
      <c r="M99" s="3"/>
      <c r="N99" s="3"/>
      <c r="O99" s="16"/>
      <c r="P99" s="3"/>
      <c r="Q99" s="3"/>
      <c r="R99" s="3"/>
    </row>
    <row r="100" spans="1:18" ht="30" x14ac:dyDescent="0.2">
      <c r="A100" s="79" t="s">
        <v>211</v>
      </c>
      <c r="B100" s="18" t="s">
        <v>67</v>
      </c>
      <c r="C100" s="18" t="s">
        <v>32</v>
      </c>
      <c r="D100" s="18" t="s">
        <v>38</v>
      </c>
      <c r="E100" s="19" t="s">
        <v>271</v>
      </c>
      <c r="F100" s="17" t="s">
        <v>494</v>
      </c>
      <c r="G100" s="17" t="str">
        <f t="shared" si="5"/>
        <v>1</v>
      </c>
      <c r="H100" s="17" t="str">
        <f t="shared" si="6"/>
        <v>d</v>
      </c>
      <c r="I100" s="20" t="str">
        <f t="shared" si="7"/>
        <v>Knowledge base for engineering</v>
      </c>
      <c r="J100" s="21" t="str">
        <f t="shared" si="8"/>
        <v>Demonstrate understanding of specialized engineering knowledge</v>
      </c>
      <c r="K100" s="3"/>
      <c r="L100" s="3"/>
      <c r="M100" s="3"/>
      <c r="N100" s="3"/>
      <c r="O100" s="16"/>
      <c r="P100" s="3"/>
      <c r="Q100" s="3"/>
      <c r="R100" s="3"/>
    </row>
    <row r="101" spans="1:18" x14ac:dyDescent="0.2">
      <c r="A101" s="79" t="s">
        <v>211</v>
      </c>
      <c r="B101" s="18" t="s">
        <v>67</v>
      </c>
      <c r="C101" s="18" t="s">
        <v>32</v>
      </c>
      <c r="D101" s="18" t="s">
        <v>38</v>
      </c>
      <c r="E101" s="19" t="s">
        <v>373</v>
      </c>
      <c r="F101" s="17" t="s">
        <v>509</v>
      </c>
      <c r="G101" s="17" t="str">
        <f t="shared" si="5"/>
        <v>2</v>
      </c>
      <c r="H101" s="17" t="str">
        <f t="shared" si="6"/>
        <v>b</v>
      </c>
      <c r="I101" s="20" t="str">
        <f t="shared" si="7"/>
        <v xml:space="preserve">Problem Analysis </v>
      </c>
      <c r="J101" s="21" t="str">
        <f t="shared" si="8"/>
        <v>Develop / solve models of engineering problems including identifying approximations, assumptions, and constraints</v>
      </c>
      <c r="K101" s="3"/>
      <c r="L101" s="3"/>
      <c r="M101" s="3"/>
      <c r="N101" s="3"/>
      <c r="O101" s="16"/>
      <c r="P101" s="3"/>
      <c r="Q101" s="3"/>
      <c r="R101" s="3"/>
    </row>
    <row r="102" spans="1:18" x14ac:dyDescent="0.2">
      <c r="A102" s="79" t="s">
        <v>211</v>
      </c>
      <c r="B102" s="18" t="s">
        <v>67</v>
      </c>
      <c r="C102" s="18" t="s">
        <v>32</v>
      </c>
      <c r="D102" s="18" t="s">
        <v>38</v>
      </c>
      <c r="E102" s="19" t="s">
        <v>372</v>
      </c>
      <c r="F102" s="17" t="s">
        <v>510</v>
      </c>
      <c r="G102" s="17" t="str">
        <f t="shared" si="5"/>
        <v>2</v>
      </c>
      <c r="H102" s="17" t="str">
        <f t="shared" si="6"/>
        <v>c</v>
      </c>
      <c r="I102" s="20" t="str">
        <f t="shared" si="7"/>
        <v xml:space="preserve">Problem Analysis </v>
      </c>
      <c r="J102" s="21" t="str">
        <f t="shared" si="8"/>
        <v>Evaluate solutions of complex engineering problems to reach substantiated conclusions</v>
      </c>
      <c r="K102" s="3"/>
      <c r="L102" s="3"/>
      <c r="M102" s="3"/>
      <c r="N102" s="3"/>
      <c r="O102" s="16"/>
      <c r="P102" s="3"/>
      <c r="Q102" s="3"/>
      <c r="R102" s="3"/>
    </row>
    <row r="103" spans="1:18" ht="30" x14ac:dyDescent="0.2">
      <c r="A103" s="79" t="s">
        <v>211</v>
      </c>
      <c r="B103" s="18" t="s">
        <v>67</v>
      </c>
      <c r="C103" s="18" t="s">
        <v>32</v>
      </c>
      <c r="D103" s="18" t="s">
        <v>38</v>
      </c>
      <c r="E103" s="19" t="s">
        <v>212</v>
      </c>
      <c r="F103" s="17" t="s">
        <v>512</v>
      </c>
      <c r="G103" s="17" t="str">
        <f t="shared" si="5"/>
        <v>3</v>
      </c>
      <c r="H103" s="17" t="str">
        <f t="shared" si="6"/>
        <v>a</v>
      </c>
      <c r="I103" s="20" t="str">
        <f t="shared" si="7"/>
        <v>Investigation</v>
      </c>
      <c r="J103" s="21" t="str">
        <f t="shared" si="8"/>
        <v>Identify critical issues of complex engineering problems to form testable hypotheses and design experiments.</v>
      </c>
      <c r="K103" s="3"/>
      <c r="L103" s="3"/>
      <c r="M103" s="3"/>
      <c r="N103" s="3"/>
      <c r="O103" s="16"/>
      <c r="P103" s="3"/>
      <c r="Q103" s="3"/>
      <c r="R103" s="3"/>
    </row>
    <row r="104" spans="1:18" x14ac:dyDescent="0.2">
      <c r="A104" s="79" t="s">
        <v>273</v>
      </c>
      <c r="B104" s="18" t="s">
        <v>74</v>
      </c>
      <c r="C104" s="18" t="s">
        <v>32</v>
      </c>
      <c r="D104" s="18" t="s">
        <v>75</v>
      </c>
      <c r="E104" s="19" t="s">
        <v>275</v>
      </c>
      <c r="F104" s="17" t="s">
        <v>491</v>
      </c>
      <c r="G104" s="17" t="str">
        <f t="shared" si="5"/>
        <v>1</v>
      </c>
      <c r="H104" s="17" t="str">
        <f t="shared" si="6"/>
        <v>a</v>
      </c>
      <c r="I104" s="20" t="str">
        <f t="shared" si="7"/>
        <v>Knowledge base for engineering</v>
      </c>
      <c r="J104" s="21" t="str">
        <f t="shared" si="8"/>
        <v>Demonstrate understanding of mathematics</v>
      </c>
      <c r="K104" s="3"/>
      <c r="L104" s="3"/>
      <c r="M104" s="3"/>
      <c r="N104" s="3"/>
      <c r="O104" s="16"/>
      <c r="P104" s="3"/>
      <c r="Q104" s="3"/>
      <c r="R104" s="3"/>
    </row>
    <row r="105" spans="1:18" x14ac:dyDescent="0.2">
      <c r="A105" s="79" t="s">
        <v>273</v>
      </c>
      <c r="B105" s="18" t="s">
        <v>74</v>
      </c>
      <c r="C105" s="18" t="s">
        <v>32</v>
      </c>
      <c r="D105" s="18" t="s">
        <v>75</v>
      </c>
      <c r="E105" s="19" t="s">
        <v>276</v>
      </c>
      <c r="F105" s="17" t="s">
        <v>491</v>
      </c>
      <c r="G105" s="17" t="str">
        <f t="shared" si="5"/>
        <v>1</v>
      </c>
      <c r="H105" s="17" t="str">
        <f t="shared" si="6"/>
        <v>a</v>
      </c>
      <c r="I105" s="20" t="str">
        <f t="shared" si="7"/>
        <v>Knowledge base for engineering</v>
      </c>
      <c r="J105" s="21" t="str">
        <f t="shared" si="8"/>
        <v>Demonstrate understanding of mathematics</v>
      </c>
      <c r="K105" s="3"/>
      <c r="L105" s="3"/>
      <c r="M105" s="3"/>
      <c r="N105" s="3"/>
      <c r="O105" s="16"/>
      <c r="P105" s="3"/>
      <c r="Q105" s="3"/>
      <c r="R105" s="3"/>
    </row>
    <row r="106" spans="1:18" x14ac:dyDescent="0.2">
      <c r="A106" s="79" t="s">
        <v>273</v>
      </c>
      <c r="B106" s="18" t="s">
        <v>74</v>
      </c>
      <c r="C106" s="18" t="s">
        <v>32</v>
      </c>
      <c r="D106" s="18" t="s">
        <v>75</v>
      </c>
      <c r="E106" s="19" t="s">
        <v>277</v>
      </c>
      <c r="F106" s="17" t="s">
        <v>491</v>
      </c>
      <c r="G106" s="17" t="str">
        <f t="shared" si="5"/>
        <v>1</v>
      </c>
      <c r="H106" s="17" t="str">
        <f t="shared" si="6"/>
        <v>a</v>
      </c>
      <c r="I106" s="20" t="str">
        <f t="shared" si="7"/>
        <v>Knowledge base for engineering</v>
      </c>
      <c r="J106" s="21" t="str">
        <f t="shared" si="8"/>
        <v>Demonstrate understanding of mathematics</v>
      </c>
      <c r="K106" s="3"/>
      <c r="L106" s="3"/>
      <c r="M106" s="3"/>
      <c r="N106" s="3"/>
      <c r="O106" s="16"/>
      <c r="P106" s="3"/>
      <c r="Q106" s="3"/>
      <c r="R106" s="3"/>
    </row>
    <row r="107" spans="1:18" x14ac:dyDescent="0.2">
      <c r="A107" s="79" t="s">
        <v>273</v>
      </c>
      <c r="B107" s="18" t="s">
        <v>74</v>
      </c>
      <c r="C107" s="18" t="s">
        <v>32</v>
      </c>
      <c r="D107" s="18" t="s">
        <v>75</v>
      </c>
      <c r="E107" s="19" t="s">
        <v>274</v>
      </c>
      <c r="F107" s="17" t="s">
        <v>494</v>
      </c>
      <c r="G107" s="17" t="str">
        <f t="shared" si="5"/>
        <v>1</v>
      </c>
      <c r="H107" s="17" t="str">
        <f t="shared" si="6"/>
        <v>d</v>
      </c>
      <c r="I107" s="20" t="str">
        <f t="shared" si="7"/>
        <v>Knowledge base for engineering</v>
      </c>
      <c r="J107" s="21" t="str">
        <f t="shared" si="8"/>
        <v>Demonstrate understanding of specialized engineering knowledge</v>
      </c>
      <c r="K107" s="3"/>
      <c r="L107" s="3"/>
      <c r="M107" s="3"/>
      <c r="N107" s="3"/>
      <c r="O107" s="16"/>
      <c r="P107" s="3"/>
      <c r="Q107" s="3"/>
      <c r="R107" s="3"/>
    </row>
    <row r="108" spans="1:18" x14ac:dyDescent="0.2">
      <c r="A108" s="79" t="s">
        <v>273</v>
      </c>
      <c r="B108" s="18" t="s">
        <v>74</v>
      </c>
      <c r="C108" s="18" t="s">
        <v>32</v>
      </c>
      <c r="D108" s="18" t="s">
        <v>75</v>
      </c>
      <c r="E108" s="19" t="s">
        <v>376</v>
      </c>
      <c r="F108" s="17" t="s">
        <v>508</v>
      </c>
      <c r="G108" s="17" t="str">
        <f t="shared" si="5"/>
        <v>2</v>
      </c>
      <c r="H108" s="17" t="str">
        <f t="shared" si="6"/>
        <v>a</v>
      </c>
      <c r="I108" s="20" t="str">
        <f t="shared" si="7"/>
        <v xml:space="preserve">Problem Analysis </v>
      </c>
      <c r="J108" s="21" t="str">
        <f t="shared" si="8"/>
        <v>Identify / define a problem</v>
      </c>
      <c r="K108" s="3"/>
      <c r="L108" s="3"/>
      <c r="M108" s="3"/>
      <c r="N108" s="3"/>
      <c r="O108" s="16"/>
      <c r="P108" s="3"/>
      <c r="Q108" s="3"/>
      <c r="R108" s="3"/>
    </row>
    <row r="109" spans="1:18" x14ac:dyDescent="0.2">
      <c r="A109" s="79" t="s">
        <v>273</v>
      </c>
      <c r="B109" s="18" t="s">
        <v>74</v>
      </c>
      <c r="C109" s="18" t="s">
        <v>32</v>
      </c>
      <c r="D109" s="18" t="s">
        <v>75</v>
      </c>
      <c r="E109" s="19" t="s">
        <v>374</v>
      </c>
      <c r="F109" s="17" t="s">
        <v>509</v>
      </c>
      <c r="G109" s="17" t="str">
        <f t="shared" si="5"/>
        <v>2</v>
      </c>
      <c r="H109" s="17" t="str">
        <f t="shared" si="6"/>
        <v>b</v>
      </c>
      <c r="I109" s="20" t="str">
        <f t="shared" si="7"/>
        <v xml:space="preserve">Problem Analysis </v>
      </c>
      <c r="J109" s="21" t="str">
        <f t="shared" si="8"/>
        <v>Develop / solve models of engineering problems including identifying approximations, assumptions, and constraints</v>
      </c>
      <c r="K109" s="3"/>
      <c r="L109" s="3"/>
      <c r="M109" s="3"/>
      <c r="N109" s="3"/>
      <c r="O109" s="16"/>
      <c r="P109" s="3"/>
      <c r="Q109" s="3"/>
      <c r="R109" s="3"/>
    </row>
    <row r="110" spans="1:18" x14ac:dyDescent="0.2">
      <c r="A110" s="79" t="s">
        <v>273</v>
      </c>
      <c r="B110" s="18" t="s">
        <v>74</v>
      </c>
      <c r="C110" s="18" t="s">
        <v>32</v>
      </c>
      <c r="D110" s="18" t="s">
        <v>75</v>
      </c>
      <c r="E110" s="19" t="s">
        <v>375</v>
      </c>
      <c r="F110" s="17" t="s">
        <v>510</v>
      </c>
      <c r="G110" s="17" t="str">
        <f t="shared" si="5"/>
        <v>2</v>
      </c>
      <c r="H110" s="17" t="str">
        <f t="shared" si="6"/>
        <v>c</v>
      </c>
      <c r="I110" s="20" t="str">
        <f t="shared" si="7"/>
        <v xml:space="preserve">Problem Analysis </v>
      </c>
      <c r="J110" s="21" t="str">
        <f t="shared" si="8"/>
        <v>Evaluate solutions of complex engineering problems to reach substantiated conclusions</v>
      </c>
      <c r="K110" s="3"/>
      <c r="L110" s="3"/>
      <c r="M110" s="3"/>
      <c r="N110" s="3"/>
      <c r="O110" s="16"/>
      <c r="P110" s="3"/>
      <c r="Q110" s="3"/>
      <c r="R110" s="3"/>
    </row>
    <row r="111" spans="1:18" x14ac:dyDescent="0.2">
      <c r="A111" s="79" t="s">
        <v>273</v>
      </c>
      <c r="B111" s="18" t="s">
        <v>74</v>
      </c>
      <c r="C111" s="18" t="s">
        <v>32</v>
      </c>
      <c r="D111" s="18" t="s">
        <v>75</v>
      </c>
      <c r="E111" s="19" t="s">
        <v>377</v>
      </c>
      <c r="F111" s="17" t="s">
        <v>510</v>
      </c>
      <c r="G111" s="17" t="str">
        <f t="shared" si="5"/>
        <v>2</v>
      </c>
      <c r="H111" s="17" t="str">
        <f t="shared" si="6"/>
        <v>c</v>
      </c>
      <c r="I111" s="20" t="str">
        <f t="shared" si="7"/>
        <v xml:space="preserve">Problem Analysis </v>
      </c>
      <c r="J111" s="21" t="str">
        <f t="shared" si="8"/>
        <v>Evaluate solutions of complex engineering problems to reach substantiated conclusions</v>
      </c>
      <c r="K111" s="3"/>
      <c r="L111" s="3"/>
      <c r="M111" s="3"/>
      <c r="N111" s="3"/>
      <c r="O111" s="16"/>
      <c r="P111" s="3"/>
      <c r="Q111" s="3"/>
      <c r="R111" s="3"/>
    </row>
    <row r="112" spans="1:18" x14ac:dyDescent="0.2">
      <c r="A112" s="79" t="s">
        <v>162</v>
      </c>
      <c r="B112" s="18" t="s">
        <v>74</v>
      </c>
      <c r="C112" s="18" t="s">
        <v>33</v>
      </c>
      <c r="D112" s="18" t="s">
        <v>72</v>
      </c>
      <c r="E112" s="19" t="s">
        <v>281</v>
      </c>
      <c r="F112" s="17" t="s">
        <v>494</v>
      </c>
      <c r="G112" s="17" t="str">
        <f t="shared" si="5"/>
        <v>1</v>
      </c>
      <c r="H112" s="17" t="str">
        <f t="shared" si="6"/>
        <v>d</v>
      </c>
      <c r="I112" s="20" t="str">
        <f t="shared" si="7"/>
        <v>Knowledge base for engineering</v>
      </c>
      <c r="J112" s="21" t="str">
        <f t="shared" si="8"/>
        <v>Demonstrate understanding of specialized engineering knowledge</v>
      </c>
      <c r="K112" s="3"/>
      <c r="L112" s="3"/>
      <c r="M112" s="3"/>
      <c r="N112" s="3"/>
      <c r="O112" s="16"/>
      <c r="P112" s="3"/>
      <c r="Q112" s="3"/>
      <c r="R112" s="3"/>
    </row>
    <row r="113" spans="1:18" x14ac:dyDescent="0.2">
      <c r="A113" s="79" t="s">
        <v>162</v>
      </c>
      <c r="B113" s="18" t="s">
        <v>74</v>
      </c>
      <c r="C113" s="18" t="s">
        <v>33</v>
      </c>
      <c r="D113" s="18" t="s">
        <v>72</v>
      </c>
      <c r="E113" s="19" t="s">
        <v>280</v>
      </c>
      <c r="F113" s="17" t="s">
        <v>494</v>
      </c>
      <c r="G113" s="17" t="str">
        <f t="shared" si="5"/>
        <v>1</v>
      </c>
      <c r="H113" s="17" t="str">
        <f t="shared" si="6"/>
        <v>d</v>
      </c>
      <c r="I113" s="20" t="str">
        <f t="shared" si="7"/>
        <v>Knowledge base for engineering</v>
      </c>
      <c r="J113" s="21" t="str">
        <f t="shared" si="8"/>
        <v>Demonstrate understanding of specialized engineering knowledge</v>
      </c>
      <c r="K113" s="3"/>
      <c r="L113" s="3"/>
      <c r="M113" s="3"/>
      <c r="N113" s="3"/>
      <c r="O113" s="16"/>
      <c r="P113" s="3"/>
      <c r="Q113" s="3"/>
      <c r="R113" s="3"/>
    </row>
    <row r="114" spans="1:18" x14ac:dyDescent="0.2">
      <c r="A114" s="79" t="s">
        <v>162</v>
      </c>
      <c r="B114" s="18" t="s">
        <v>74</v>
      </c>
      <c r="C114" s="18" t="s">
        <v>33</v>
      </c>
      <c r="D114" s="18" t="s">
        <v>72</v>
      </c>
      <c r="E114" s="19" t="s">
        <v>278</v>
      </c>
      <c r="F114" s="17" t="s">
        <v>494</v>
      </c>
      <c r="G114" s="17" t="str">
        <f t="shared" si="5"/>
        <v>1</v>
      </c>
      <c r="H114" s="17" t="str">
        <f t="shared" si="6"/>
        <v>d</v>
      </c>
      <c r="I114" s="20" t="str">
        <f t="shared" si="7"/>
        <v>Knowledge base for engineering</v>
      </c>
      <c r="J114" s="21" t="str">
        <f t="shared" si="8"/>
        <v>Demonstrate understanding of specialized engineering knowledge</v>
      </c>
      <c r="K114" s="3"/>
      <c r="L114" s="3"/>
      <c r="M114" s="3"/>
      <c r="N114" s="3"/>
      <c r="O114" s="16"/>
      <c r="P114" s="3"/>
      <c r="Q114" s="3"/>
      <c r="R114" s="3"/>
    </row>
    <row r="115" spans="1:18" x14ac:dyDescent="0.2">
      <c r="A115" s="79" t="s">
        <v>162</v>
      </c>
      <c r="B115" s="18" t="s">
        <v>74</v>
      </c>
      <c r="C115" s="18" t="s">
        <v>33</v>
      </c>
      <c r="D115" s="18" t="s">
        <v>72</v>
      </c>
      <c r="E115" s="19" t="s">
        <v>279</v>
      </c>
      <c r="F115" s="17" t="s">
        <v>494</v>
      </c>
      <c r="G115" s="17" t="str">
        <f t="shared" si="5"/>
        <v>1</v>
      </c>
      <c r="H115" s="17" t="str">
        <f t="shared" si="6"/>
        <v>d</v>
      </c>
      <c r="I115" s="20" t="str">
        <f t="shared" si="7"/>
        <v>Knowledge base for engineering</v>
      </c>
      <c r="J115" s="21" t="str">
        <f t="shared" si="8"/>
        <v>Demonstrate understanding of specialized engineering knowledge</v>
      </c>
      <c r="K115" s="3"/>
      <c r="L115" s="3"/>
      <c r="M115" s="3"/>
      <c r="N115" s="3"/>
      <c r="O115" s="16"/>
      <c r="P115" s="3"/>
      <c r="Q115" s="3"/>
      <c r="R115" s="3"/>
    </row>
    <row r="116" spans="1:18" x14ac:dyDescent="0.2">
      <c r="A116" s="79" t="s">
        <v>162</v>
      </c>
      <c r="B116" s="18" t="s">
        <v>74</v>
      </c>
      <c r="C116" s="18" t="s">
        <v>33</v>
      </c>
      <c r="D116" s="18" t="s">
        <v>72</v>
      </c>
      <c r="E116" s="19" t="s">
        <v>60</v>
      </c>
      <c r="F116" s="17" t="s">
        <v>503</v>
      </c>
      <c r="G116" s="17" t="str">
        <f t="shared" si="5"/>
        <v>11</v>
      </c>
      <c r="H116" s="17" t="str">
        <f t="shared" si="6"/>
        <v>b</v>
      </c>
      <c r="I116" s="20" t="str">
        <f t="shared" si="7"/>
        <v>Economics and project management</v>
      </c>
      <c r="J116" s="21" t="str">
        <f t="shared" si="8"/>
        <v>Perform economic analyses of engineering projects with attention to uncertainty and limitations</v>
      </c>
      <c r="K116" s="3"/>
      <c r="L116" s="3"/>
      <c r="M116" s="3"/>
      <c r="N116" s="3"/>
      <c r="O116" s="16"/>
      <c r="P116" s="3"/>
      <c r="Q116" s="3"/>
      <c r="R116" s="3"/>
    </row>
    <row r="117" spans="1:18" x14ac:dyDescent="0.2">
      <c r="A117" s="79" t="s">
        <v>162</v>
      </c>
      <c r="B117" s="18" t="s">
        <v>74</v>
      </c>
      <c r="C117" s="18" t="s">
        <v>33</v>
      </c>
      <c r="D117" s="18" t="s">
        <v>72</v>
      </c>
      <c r="E117" s="19" t="s">
        <v>378</v>
      </c>
      <c r="F117" s="17" t="s">
        <v>509</v>
      </c>
      <c r="G117" s="17" t="str">
        <f t="shared" si="5"/>
        <v>2</v>
      </c>
      <c r="H117" s="17" t="str">
        <f t="shared" si="6"/>
        <v>b</v>
      </c>
      <c r="I117" s="20" t="str">
        <f t="shared" si="7"/>
        <v xml:space="preserve">Problem Analysis </v>
      </c>
      <c r="J117" s="21" t="str">
        <f t="shared" si="8"/>
        <v>Develop / solve models of engineering problems including identifying approximations, assumptions, and constraints</v>
      </c>
      <c r="K117" s="3"/>
      <c r="L117" s="3"/>
      <c r="M117" s="3"/>
      <c r="N117" s="3"/>
      <c r="O117" s="16"/>
      <c r="P117" s="3"/>
      <c r="Q117" s="3"/>
      <c r="R117" s="3"/>
    </row>
    <row r="118" spans="1:18" x14ac:dyDescent="0.2">
      <c r="A118" s="79" t="s">
        <v>162</v>
      </c>
      <c r="B118" s="18" t="s">
        <v>74</v>
      </c>
      <c r="C118" s="18" t="s">
        <v>33</v>
      </c>
      <c r="D118" s="18" t="s">
        <v>72</v>
      </c>
      <c r="E118" s="19" t="s">
        <v>61</v>
      </c>
      <c r="F118" s="17" t="s">
        <v>510</v>
      </c>
      <c r="G118" s="17" t="str">
        <f t="shared" si="5"/>
        <v>2</v>
      </c>
      <c r="H118" s="17" t="str">
        <f t="shared" si="6"/>
        <v>c</v>
      </c>
      <c r="I118" s="20" t="str">
        <f t="shared" si="7"/>
        <v xml:space="preserve">Problem Analysis </v>
      </c>
      <c r="J118" s="21" t="str">
        <f t="shared" si="8"/>
        <v>Evaluate solutions of complex engineering problems to reach substantiated conclusions</v>
      </c>
      <c r="K118" s="3"/>
      <c r="L118" s="3"/>
      <c r="M118" s="3"/>
      <c r="N118" s="3"/>
      <c r="O118" s="16"/>
      <c r="P118" s="3"/>
      <c r="Q118" s="3"/>
      <c r="R118" s="3"/>
    </row>
    <row r="119" spans="1:18" x14ac:dyDescent="0.2">
      <c r="A119" s="79" t="s">
        <v>162</v>
      </c>
      <c r="B119" s="18" t="s">
        <v>74</v>
      </c>
      <c r="C119" s="18" t="s">
        <v>33</v>
      </c>
      <c r="D119" s="18" t="s">
        <v>72</v>
      </c>
      <c r="E119" s="19" t="s">
        <v>172</v>
      </c>
      <c r="F119" s="17" t="s">
        <v>520</v>
      </c>
      <c r="G119" s="17" t="str">
        <f t="shared" si="5"/>
        <v>5</v>
      </c>
      <c r="H119" s="17" t="str">
        <f t="shared" si="6"/>
        <v>b</v>
      </c>
      <c r="I119" s="20" t="str">
        <f t="shared" si="7"/>
        <v>Use of Engineering Tools</v>
      </c>
      <c r="J119" s="21" t="str">
        <f t="shared" si="8"/>
        <v>Modify and/or create appropriate engineering tools, identifying their limitations</v>
      </c>
      <c r="K119" s="3"/>
      <c r="L119" s="3"/>
      <c r="M119" s="3"/>
      <c r="N119" s="3"/>
      <c r="O119" s="16"/>
      <c r="P119" s="3"/>
      <c r="Q119" s="3"/>
      <c r="R119" s="3"/>
    </row>
    <row r="120" spans="1:18" ht="30" x14ac:dyDescent="0.2">
      <c r="A120" s="79" t="s">
        <v>163</v>
      </c>
      <c r="B120" s="18" t="s">
        <v>74</v>
      </c>
      <c r="C120" s="18" t="s">
        <v>32</v>
      </c>
      <c r="D120" s="18" t="s">
        <v>75</v>
      </c>
      <c r="E120" s="19" t="s">
        <v>284</v>
      </c>
      <c r="F120" s="17" t="s">
        <v>494</v>
      </c>
      <c r="G120" s="17" t="str">
        <f t="shared" si="5"/>
        <v>1</v>
      </c>
      <c r="H120" s="17" t="str">
        <f t="shared" si="6"/>
        <v>d</v>
      </c>
      <c r="I120" s="20" t="str">
        <f t="shared" si="7"/>
        <v>Knowledge base for engineering</v>
      </c>
      <c r="J120" s="21" t="str">
        <f t="shared" si="8"/>
        <v>Demonstrate understanding of specialized engineering knowledge</v>
      </c>
      <c r="K120" s="3"/>
      <c r="L120" s="3"/>
      <c r="M120" s="3"/>
      <c r="N120" s="3"/>
      <c r="O120" s="16"/>
      <c r="P120" s="3"/>
      <c r="Q120" s="3"/>
      <c r="R120" s="3"/>
    </row>
    <row r="121" spans="1:18" ht="30" x14ac:dyDescent="0.2">
      <c r="A121" s="79" t="s">
        <v>163</v>
      </c>
      <c r="B121" s="18" t="s">
        <v>74</v>
      </c>
      <c r="C121" s="18" t="s">
        <v>32</v>
      </c>
      <c r="D121" s="18" t="s">
        <v>75</v>
      </c>
      <c r="E121" s="19" t="s">
        <v>283</v>
      </c>
      <c r="F121" s="17" t="s">
        <v>494</v>
      </c>
      <c r="G121" s="17" t="str">
        <f t="shared" si="5"/>
        <v>1</v>
      </c>
      <c r="H121" s="17" t="str">
        <f t="shared" si="6"/>
        <v>d</v>
      </c>
      <c r="I121" s="20" t="str">
        <f t="shared" si="7"/>
        <v>Knowledge base for engineering</v>
      </c>
      <c r="J121" s="21" t="str">
        <f t="shared" si="8"/>
        <v>Demonstrate understanding of specialized engineering knowledge</v>
      </c>
      <c r="K121" s="3"/>
      <c r="L121" s="3"/>
      <c r="M121" s="3"/>
      <c r="N121" s="3"/>
      <c r="O121" s="16"/>
      <c r="P121" s="3"/>
      <c r="Q121" s="3"/>
      <c r="R121" s="3"/>
    </row>
    <row r="122" spans="1:18" ht="30" x14ac:dyDescent="0.2">
      <c r="A122" s="79" t="s">
        <v>163</v>
      </c>
      <c r="B122" s="18" t="s">
        <v>74</v>
      </c>
      <c r="C122" s="18" t="s">
        <v>32</v>
      </c>
      <c r="D122" s="18" t="s">
        <v>75</v>
      </c>
      <c r="E122" s="19" t="s">
        <v>282</v>
      </c>
      <c r="F122" s="17" t="s">
        <v>494</v>
      </c>
      <c r="G122" s="17" t="str">
        <f t="shared" si="5"/>
        <v>1</v>
      </c>
      <c r="H122" s="17" t="str">
        <f t="shared" si="6"/>
        <v>d</v>
      </c>
      <c r="I122" s="20" t="str">
        <f t="shared" si="7"/>
        <v>Knowledge base for engineering</v>
      </c>
      <c r="J122" s="21" t="str">
        <f t="shared" si="8"/>
        <v>Demonstrate understanding of specialized engineering knowledge</v>
      </c>
      <c r="K122" s="3"/>
      <c r="L122" s="3"/>
      <c r="M122" s="3"/>
      <c r="N122" s="3"/>
      <c r="O122" s="16"/>
      <c r="P122" s="3"/>
      <c r="Q122" s="3"/>
      <c r="R122" s="3"/>
    </row>
    <row r="123" spans="1:18" x14ac:dyDescent="0.2">
      <c r="A123" s="79" t="s">
        <v>163</v>
      </c>
      <c r="B123" s="18" t="s">
        <v>74</v>
      </c>
      <c r="C123" s="18" t="s">
        <v>32</v>
      </c>
      <c r="D123" s="18" t="s">
        <v>75</v>
      </c>
      <c r="E123" s="19" t="s">
        <v>504</v>
      </c>
      <c r="F123" s="81" t="s">
        <v>503</v>
      </c>
      <c r="G123" s="17" t="str">
        <f t="shared" si="5"/>
        <v>11</v>
      </c>
      <c r="H123" s="17" t="str">
        <f t="shared" si="6"/>
        <v>b</v>
      </c>
      <c r="I123" s="20" t="str">
        <f t="shared" si="7"/>
        <v>Economics and project management</v>
      </c>
      <c r="J123" s="21" t="str">
        <f t="shared" si="8"/>
        <v>Perform economic analyses of engineering projects with attention to uncertainty and limitations</v>
      </c>
      <c r="K123" s="3"/>
      <c r="L123" s="3"/>
      <c r="M123" s="3"/>
      <c r="N123" s="3"/>
      <c r="O123" s="16"/>
      <c r="P123" s="3"/>
      <c r="Q123" s="3"/>
      <c r="R123" s="3"/>
    </row>
    <row r="124" spans="1:18" ht="30" x14ac:dyDescent="0.2">
      <c r="A124" s="79" t="s">
        <v>163</v>
      </c>
      <c r="B124" s="18" t="s">
        <v>74</v>
      </c>
      <c r="C124" s="18" t="s">
        <v>32</v>
      </c>
      <c r="D124" s="18" t="s">
        <v>75</v>
      </c>
      <c r="E124" s="19" t="s">
        <v>381</v>
      </c>
      <c r="F124" s="17" t="s">
        <v>510</v>
      </c>
      <c r="G124" s="17" t="str">
        <f t="shared" si="5"/>
        <v>2</v>
      </c>
      <c r="H124" s="17" t="str">
        <f t="shared" si="6"/>
        <v>c</v>
      </c>
      <c r="I124" s="20" t="str">
        <f t="shared" si="7"/>
        <v xml:space="preserve">Problem Analysis </v>
      </c>
      <c r="J124" s="21" t="str">
        <f t="shared" si="8"/>
        <v>Evaluate solutions of complex engineering problems to reach substantiated conclusions</v>
      </c>
      <c r="K124" s="3"/>
      <c r="L124" s="3"/>
      <c r="M124" s="3"/>
      <c r="N124" s="3"/>
      <c r="O124" s="16"/>
      <c r="P124" s="3"/>
      <c r="Q124" s="3"/>
      <c r="R124" s="3"/>
    </row>
    <row r="125" spans="1:18" x14ac:dyDescent="0.2">
      <c r="A125" s="79" t="s">
        <v>163</v>
      </c>
      <c r="B125" s="18" t="s">
        <v>74</v>
      </c>
      <c r="C125" s="18" t="s">
        <v>32</v>
      </c>
      <c r="D125" s="18" t="s">
        <v>75</v>
      </c>
      <c r="E125" s="19" t="s">
        <v>379</v>
      </c>
      <c r="F125" s="17" t="s">
        <v>510</v>
      </c>
      <c r="G125" s="17" t="str">
        <f t="shared" si="5"/>
        <v>2</v>
      </c>
      <c r="H125" s="17" t="str">
        <f t="shared" si="6"/>
        <v>c</v>
      </c>
      <c r="I125" s="20" t="str">
        <f t="shared" si="7"/>
        <v xml:space="preserve">Problem Analysis </v>
      </c>
      <c r="J125" s="21" t="str">
        <f t="shared" si="8"/>
        <v>Evaluate solutions of complex engineering problems to reach substantiated conclusions</v>
      </c>
      <c r="K125" s="3"/>
      <c r="L125" s="3"/>
      <c r="M125" s="3"/>
      <c r="N125" s="3"/>
      <c r="O125" s="16"/>
      <c r="P125" s="3"/>
      <c r="Q125" s="3"/>
      <c r="R125" s="3"/>
    </row>
    <row r="126" spans="1:18" x14ac:dyDescent="0.2">
      <c r="A126" s="79" t="s">
        <v>163</v>
      </c>
      <c r="B126" s="18" t="s">
        <v>74</v>
      </c>
      <c r="C126" s="18" t="s">
        <v>32</v>
      </c>
      <c r="D126" s="18" t="s">
        <v>75</v>
      </c>
      <c r="E126" s="19" t="s">
        <v>380</v>
      </c>
      <c r="F126" s="17" t="s">
        <v>510</v>
      </c>
      <c r="G126" s="17" t="str">
        <f t="shared" si="5"/>
        <v>2</v>
      </c>
      <c r="H126" s="17" t="str">
        <f t="shared" si="6"/>
        <v>c</v>
      </c>
      <c r="I126" s="20" t="str">
        <f t="shared" si="7"/>
        <v xml:space="preserve">Problem Analysis </v>
      </c>
      <c r="J126" s="21" t="str">
        <f t="shared" si="8"/>
        <v>Evaluate solutions of complex engineering problems to reach substantiated conclusions</v>
      </c>
      <c r="K126" s="3"/>
      <c r="L126" s="3"/>
      <c r="M126" s="3"/>
      <c r="N126" s="3"/>
      <c r="O126" s="16"/>
      <c r="P126" s="3"/>
      <c r="Q126" s="3"/>
      <c r="R126" s="3"/>
    </row>
    <row r="127" spans="1:18" x14ac:dyDescent="0.2">
      <c r="A127" s="79" t="s">
        <v>76</v>
      </c>
      <c r="B127" s="18" t="s">
        <v>71</v>
      </c>
      <c r="C127" s="18" t="s">
        <v>32</v>
      </c>
      <c r="D127" s="18" t="s">
        <v>77</v>
      </c>
      <c r="E127" s="19" t="s">
        <v>287</v>
      </c>
      <c r="F127" s="17" t="s">
        <v>494</v>
      </c>
      <c r="G127" s="17" t="str">
        <f t="shared" si="5"/>
        <v>1</v>
      </c>
      <c r="H127" s="17" t="str">
        <f t="shared" si="6"/>
        <v>d</v>
      </c>
      <c r="I127" s="20" t="str">
        <f t="shared" si="7"/>
        <v>Knowledge base for engineering</v>
      </c>
      <c r="J127" s="21" t="str">
        <f t="shared" si="8"/>
        <v>Demonstrate understanding of specialized engineering knowledge</v>
      </c>
      <c r="K127" s="3"/>
      <c r="L127" s="3"/>
      <c r="M127" s="3"/>
      <c r="N127" s="3"/>
      <c r="O127" s="16"/>
      <c r="P127" s="3"/>
      <c r="Q127" s="3"/>
      <c r="R127" s="3"/>
    </row>
    <row r="128" spans="1:18" x14ac:dyDescent="0.2">
      <c r="A128" s="79" t="s">
        <v>76</v>
      </c>
      <c r="B128" s="18" t="s">
        <v>67</v>
      </c>
      <c r="C128" s="18" t="s">
        <v>33</v>
      </c>
      <c r="D128" s="18" t="s">
        <v>77</v>
      </c>
      <c r="E128" s="19" t="s">
        <v>287</v>
      </c>
      <c r="F128" s="17" t="s">
        <v>494</v>
      </c>
      <c r="G128" s="17" t="str">
        <f t="shared" si="5"/>
        <v>1</v>
      </c>
      <c r="H128" s="17" t="str">
        <f t="shared" si="6"/>
        <v>d</v>
      </c>
      <c r="I128" s="20" t="str">
        <f t="shared" si="7"/>
        <v>Knowledge base for engineering</v>
      </c>
      <c r="J128" s="21" t="str">
        <f t="shared" si="8"/>
        <v>Demonstrate understanding of specialized engineering knowledge</v>
      </c>
      <c r="K128" s="3"/>
      <c r="L128" s="3"/>
      <c r="M128" s="3"/>
      <c r="N128" s="3"/>
      <c r="O128" s="16"/>
      <c r="P128" s="3"/>
      <c r="Q128" s="3"/>
      <c r="R128" s="3"/>
    </row>
    <row r="129" spans="1:18" x14ac:dyDescent="0.2">
      <c r="A129" s="79" t="s">
        <v>76</v>
      </c>
      <c r="B129" s="18" t="s">
        <v>71</v>
      </c>
      <c r="C129" s="18" t="s">
        <v>32</v>
      </c>
      <c r="D129" s="18" t="s">
        <v>77</v>
      </c>
      <c r="E129" s="19" t="s">
        <v>285</v>
      </c>
      <c r="F129" s="17" t="s">
        <v>494</v>
      </c>
      <c r="G129" s="17" t="str">
        <f t="shared" si="5"/>
        <v>1</v>
      </c>
      <c r="H129" s="17" t="str">
        <f t="shared" si="6"/>
        <v>d</v>
      </c>
      <c r="I129" s="20" t="str">
        <f t="shared" si="7"/>
        <v>Knowledge base for engineering</v>
      </c>
      <c r="J129" s="21" t="str">
        <f t="shared" si="8"/>
        <v>Demonstrate understanding of specialized engineering knowledge</v>
      </c>
      <c r="K129" s="3"/>
      <c r="L129" s="3"/>
      <c r="M129" s="3"/>
      <c r="N129" s="3"/>
      <c r="O129" s="16"/>
      <c r="P129" s="3"/>
      <c r="Q129" s="3"/>
      <c r="R129" s="3"/>
    </row>
    <row r="130" spans="1:18" x14ac:dyDescent="0.2">
      <c r="A130" s="79" t="s">
        <v>76</v>
      </c>
      <c r="B130" s="18" t="s">
        <v>67</v>
      </c>
      <c r="C130" s="18" t="s">
        <v>33</v>
      </c>
      <c r="D130" s="18" t="s">
        <v>77</v>
      </c>
      <c r="E130" s="19" t="s">
        <v>285</v>
      </c>
      <c r="F130" s="17" t="s">
        <v>494</v>
      </c>
      <c r="G130" s="17" t="str">
        <f t="shared" ref="G130:G193" si="9">IF(LEN(F130)=2,LEFT(F130,1),LEFT(F130,2))</f>
        <v>1</v>
      </c>
      <c r="H130" s="17" t="str">
        <f t="shared" ref="H130:H193" si="10">RIGHT(F130,1)</f>
        <v>d</v>
      </c>
      <c r="I130" s="20" t="str">
        <f t="shared" ref="I130:I193" si="11">IFERROR(VLOOKUP(F130,$N$2:$Q$39,4,FALSE),0)</f>
        <v>Knowledge base for engineering</v>
      </c>
      <c r="J130" s="21" t="str">
        <f t="shared" ref="J130:J193" si="12">IFERROR(VLOOKUP(F130,$N$2:$O$39,2,FALSE),0)</f>
        <v>Demonstrate understanding of specialized engineering knowledge</v>
      </c>
      <c r="K130" s="3"/>
      <c r="L130" s="3"/>
      <c r="M130" s="3"/>
      <c r="N130" s="3"/>
      <c r="O130" s="16"/>
      <c r="P130" s="3"/>
      <c r="Q130" s="3"/>
      <c r="R130" s="3"/>
    </row>
    <row r="131" spans="1:18" x14ac:dyDescent="0.2">
      <c r="A131" s="79" t="s">
        <v>76</v>
      </c>
      <c r="B131" s="18" t="s">
        <v>71</v>
      </c>
      <c r="C131" s="18" t="s">
        <v>32</v>
      </c>
      <c r="D131" s="18" t="s">
        <v>77</v>
      </c>
      <c r="E131" s="19" t="s">
        <v>286</v>
      </c>
      <c r="F131" s="17" t="s">
        <v>494</v>
      </c>
      <c r="G131" s="17" t="str">
        <f t="shared" si="9"/>
        <v>1</v>
      </c>
      <c r="H131" s="17" t="str">
        <f t="shared" si="10"/>
        <v>d</v>
      </c>
      <c r="I131" s="20" t="str">
        <f t="shared" si="11"/>
        <v>Knowledge base for engineering</v>
      </c>
      <c r="J131" s="21" t="str">
        <f t="shared" si="12"/>
        <v>Demonstrate understanding of specialized engineering knowledge</v>
      </c>
      <c r="K131" s="3"/>
      <c r="L131" s="3"/>
      <c r="M131" s="3"/>
      <c r="N131" s="3"/>
      <c r="O131" s="16"/>
      <c r="P131" s="3"/>
      <c r="Q131" s="3"/>
      <c r="R131" s="3"/>
    </row>
    <row r="132" spans="1:18" x14ac:dyDescent="0.2">
      <c r="A132" s="79" t="s">
        <v>76</v>
      </c>
      <c r="B132" s="18" t="s">
        <v>67</v>
      </c>
      <c r="C132" s="18" t="s">
        <v>33</v>
      </c>
      <c r="D132" s="18" t="s">
        <v>77</v>
      </c>
      <c r="E132" s="19" t="s">
        <v>286</v>
      </c>
      <c r="F132" s="17" t="s">
        <v>494</v>
      </c>
      <c r="G132" s="17" t="str">
        <f t="shared" si="9"/>
        <v>1</v>
      </c>
      <c r="H132" s="17" t="str">
        <f t="shared" si="10"/>
        <v>d</v>
      </c>
      <c r="I132" s="20" t="str">
        <f t="shared" si="11"/>
        <v>Knowledge base for engineering</v>
      </c>
      <c r="J132" s="21" t="str">
        <f t="shared" si="12"/>
        <v>Demonstrate understanding of specialized engineering knowledge</v>
      </c>
      <c r="K132" s="3"/>
      <c r="L132" s="3"/>
      <c r="M132" s="3"/>
      <c r="N132" s="3"/>
      <c r="O132" s="16"/>
      <c r="P132" s="3"/>
      <c r="Q132" s="3"/>
      <c r="R132" s="3"/>
    </row>
    <row r="133" spans="1:18" x14ac:dyDescent="0.2">
      <c r="A133" s="79" t="s">
        <v>76</v>
      </c>
      <c r="B133" s="18" t="s">
        <v>71</v>
      </c>
      <c r="C133" s="18" t="s">
        <v>32</v>
      </c>
      <c r="D133" s="18" t="s">
        <v>77</v>
      </c>
      <c r="E133" s="19" t="s">
        <v>288</v>
      </c>
      <c r="F133" s="17" t="s">
        <v>494</v>
      </c>
      <c r="G133" s="17" t="str">
        <f t="shared" si="9"/>
        <v>1</v>
      </c>
      <c r="H133" s="17" t="str">
        <f t="shared" si="10"/>
        <v>d</v>
      </c>
      <c r="I133" s="20" t="str">
        <f t="shared" si="11"/>
        <v>Knowledge base for engineering</v>
      </c>
      <c r="J133" s="21" t="str">
        <f t="shared" si="12"/>
        <v>Demonstrate understanding of specialized engineering knowledge</v>
      </c>
      <c r="K133" s="3"/>
      <c r="L133" s="3"/>
      <c r="M133" s="3"/>
      <c r="N133" s="3"/>
      <c r="O133" s="16"/>
      <c r="P133" s="3"/>
      <c r="Q133" s="3"/>
      <c r="R133" s="3"/>
    </row>
    <row r="134" spans="1:18" x14ac:dyDescent="0.2">
      <c r="A134" s="79" t="s">
        <v>76</v>
      </c>
      <c r="B134" s="18" t="s">
        <v>67</v>
      </c>
      <c r="C134" s="18" t="s">
        <v>33</v>
      </c>
      <c r="D134" s="18" t="s">
        <v>77</v>
      </c>
      <c r="E134" s="19" t="s">
        <v>288</v>
      </c>
      <c r="F134" s="17" t="s">
        <v>494</v>
      </c>
      <c r="G134" s="17" t="str">
        <f t="shared" si="9"/>
        <v>1</v>
      </c>
      <c r="H134" s="17" t="str">
        <f t="shared" si="10"/>
        <v>d</v>
      </c>
      <c r="I134" s="20" t="str">
        <f t="shared" si="11"/>
        <v>Knowledge base for engineering</v>
      </c>
      <c r="J134" s="21" t="str">
        <f t="shared" si="12"/>
        <v>Demonstrate understanding of specialized engineering knowledge</v>
      </c>
      <c r="K134" s="3"/>
      <c r="L134" s="3"/>
      <c r="M134" s="3"/>
      <c r="N134" s="3"/>
      <c r="O134" s="16"/>
      <c r="P134" s="3"/>
      <c r="Q134" s="3"/>
      <c r="R134" s="3"/>
    </row>
    <row r="135" spans="1:18" x14ac:dyDescent="0.2">
      <c r="A135" s="79" t="s">
        <v>76</v>
      </c>
      <c r="B135" s="18" t="s">
        <v>71</v>
      </c>
      <c r="C135" s="18" t="s">
        <v>32</v>
      </c>
      <c r="D135" s="18" t="s">
        <v>77</v>
      </c>
      <c r="E135" s="19" t="s">
        <v>382</v>
      </c>
      <c r="F135" s="17" t="s">
        <v>510</v>
      </c>
      <c r="G135" s="17" t="str">
        <f t="shared" si="9"/>
        <v>2</v>
      </c>
      <c r="H135" s="17" t="str">
        <f t="shared" si="10"/>
        <v>c</v>
      </c>
      <c r="I135" s="20" t="str">
        <f t="shared" si="11"/>
        <v xml:space="preserve">Problem Analysis </v>
      </c>
      <c r="J135" s="21" t="str">
        <f t="shared" si="12"/>
        <v>Evaluate solutions of complex engineering problems to reach substantiated conclusions</v>
      </c>
      <c r="K135" s="3"/>
      <c r="L135" s="3"/>
      <c r="M135" s="3"/>
      <c r="N135" s="3"/>
      <c r="O135" s="16"/>
      <c r="P135" s="3"/>
      <c r="Q135" s="3"/>
      <c r="R135" s="3"/>
    </row>
    <row r="136" spans="1:18" x14ac:dyDescent="0.2">
      <c r="A136" s="79" t="s">
        <v>76</v>
      </c>
      <c r="B136" s="18" t="s">
        <v>67</v>
      </c>
      <c r="C136" s="18" t="s">
        <v>33</v>
      </c>
      <c r="D136" s="18" t="s">
        <v>77</v>
      </c>
      <c r="E136" s="19" t="s">
        <v>382</v>
      </c>
      <c r="F136" s="17" t="s">
        <v>510</v>
      </c>
      <c r="G136" s="17" t="str">
        <f t="shared" si="9"/>
        <v>2</v>
      </c>
      <c r="H136" s="17" t="str">
        <f t="shared" si="10"/>
        <v>c</v>
      </c>
      <c r="I136" s="20" t="str">
        <f t="shared" si="11"/>
        <v xml:space="preserve">Problem Analysis </v>
      </c>
      <c r="J136" s="21" t="str">
        <f t="shared" si="12"/>
        <v>Evaluate solutions of complex engineering problems to reach substantiated conclusions</v>
      </c>
      <c r="K136" s="3"/>
      <c r="L136" s="3"/>
      <c r="M136" s="3"/>
      <c r="N136" s="3"/>
      <c r="O136" s="16"/>
      <c r="P136" s="3"/>
      <c r="Q136" s="3"/>
      <c r="R136" s="3"/>
    </row>
    <row r="137" spans="1:18" ht="30" x14ac:dyDescent="0.2">
      <c r="A137" s="79" t="s">
        <v>76</v>
      </c>
      <c r="B137" s="18" t="s">
        <v>71</v>
      </c>
      <c r="C137" s="18" t="s">
        <v>32</v>
      </c>
      <c r="D137" s="18" t="s">
        <v>77</v>
      </c>
      <c r="E137" s="19" t="s">
        <v>214</v>
      </c>
      <c r="F137" s="17" t="s">
        <v>512</v>
      </c>
      <c r="G137" s="17" t="str">
        <f t="shared" si="9"/>
        <v>3</v>
      </c>
      <c r="H137" s="17" t="str">
        <f t="shared" si="10"/>
        <v>a</v>
      </c>
      <c r="I137" s="20" t="str">
        <f t="shared" si="11"/>
        <v>Investigation</v>
      </c>
      <c r="J137" s="21" t="str">
        <f t="shared" si="12"/>
        <v>Identify critical issues of complex engineering problems to form testable hypotheses and design experiments.</v>
      </c>
      <c r="K137" s="3"/>
      <c r="L137" s="3"/>
      <c r="M137" s="3"/>
      <c r="N137" s="3"/>
      <c r="O137" s="16"/>
      <c r="P137" s="3"/>
      <c r="Q137" s="3"/>
      <c r="R137" s="3"/>
    </row>
    <row r="138" spans="1:18" ht="30" x14ac:dyDescent="0.2">
      <c r="A138" s="79" t="s">
        <v>76</v>
      </c>
      <c r="B138" s="18" t="s">
        <v>67</v>
      </c>
      <c r="C138" s="18" t="s">
        <v>33</v>
      </c>
      <c r="D138" s="18" t="s">
        <v>77</v>
      </c>
      <c r="E138" s="19" t="s">
        <v>214</v>
      </c>
      <c r="F138" s="17" t="s">
        <v>512</v>
      </c>
      <c r="G138" s="17" t="str">
        <f t="shared" si="9"/>
        <v>3</v>
      </c>
      <c r="H138" s="17" t="str">
        <f t="shared" si="10"/>
        <v>a</v>
      </c>
      <c r="I138" s="20" t="str">
        <f t="shared" si="11"/>
        <v>Investigation</v>
      </c>
      <c r="J138" s="21" t="str">
        <f t="shared" si="12"/>
        <v>Identify critical issues of complex engineering problems to form testable hypotheses and design experiments.</v>
      </c>
      <c r="K138" s="3"/>
      <c r="L138" s="3"/>
      <c r="M138" s="3"/>
      <c r="N138" s="3"/>
      <c r="O138" s="16"/>
      <c r="P138" s="3"/>
      <c r="Q138" s="3"/>
      <c r="R138" s="3"/>
    </row>
    <row r="139" spans="1:18" ht="30" x14ac:dyDescent="0.2">
      <c r="A139" s="79" t="s">
        <v>76</v>
      </c>
      <c r="B139" s="18" t="s">
        <v>71</v>
      </c>
      <c r="C139" s="18" t="s">
        <v>32</v>
      </c>
      <c r="D139" s="18" t="s">
        <v>77</v>
      </c>
      <c r="E139" s="19" t="s">
        <v>213</v>
      </c>
      <c r="F139" s="17" t="s">
        <v>513</v>
      </c>
      <c r="G139" s="17" t="str">
        <f t="shared" si="9"/>
        <v>3</v>
      </c>
      <c r="H139" s="17" t="str">
        <f t="shared" si="10"/>
        <v>b</v>
      </c>
      <c r="I139" s="20" t="str">
        <f t="shared" si="11"/>
        <v>Investigation</v>
      </c>
      <c r="J139" s="21" t="str">
        <f t="shared" si="12"/>
        <v>Conduct experiments and gather and process data.</v>
      </c>
      <c r="K139" s="3"/>
      <c r="L139" s="3"/>
      <c r="M139" s="3"/>
      <c r="N139" s="3"/>
      <c r="O139" s="16"/>
      <c r="P139" s="3"/>
      <c r="Q139" s="3"/>
      <c r="R139" s="3"/>
    </row>
    <row r="140" spans="1:18" ht="30" x14ac:dyDescent="0.2">
      <c r="A140" s="79" t="s">
        <v>76</v>
      </c>
      <c r="B140" s="18" t="s">
        <v>67</v>
      </c>
      <c r="C140" s="18" t="s">
        <v>33</v>
      </c>
      <c r="D140" s="18" t="s">
        <v>77</v>
      </c>
      <c r="E140" s="19" t="s">
        <v>215</v>
      </c>
      <c r="F140" s="17" t="s">
        <v>513</v>
      </c>
      <c r="G140" s="17" t="str">
        <f t="shared" si="9"/>
        <v>3</v>
      </c>
      <c r="H140" s="17" t="str">
        <f t="shared" si="10"/>
        <v>b</v>
      </c>
      <c r="I140" s="20" t="str">
        <f t="shared" si="11"/>
        <v>Investigation</v>
      </c>
      <c r="J140" s="21" t="str">
        <f t="shared" si="12"/>
        <v>Conduct experiments and gather and process data.</v>
      </c>
      <c r="K140" s="3"/>
      <c r="L140" s="3"/>
      <c r="M140" s="3"/>
      <c r="N140" s="3"/>
      <c r="O140" s="16"/>
      <c r="P140" s="3"/>
      <c r="Q140" s="3"/>
      <c r="R140" s="3"/>
    </row>
    <row r="141" spans="1:18" ht="30" x14ac:dyDescent="0.2">
      <c r="A141" s="79" t="s">
        <v>76</v>
      </c>
      <c r="B141" s="18" t="s">
        <v>71</v>
      </c>
      <c r="C141" s="18" t="s">
        <v>32</v>
      </c>
      <c r="D141" s="18" t="s">
        <v>77</v>
      </c>
      <c r="E141" s="19" t="s">
        <v>78</v>
      </c>
      <c r="F141" s="17" t="s">
        <v>530</v>
      </c>
      <c r="G141" s="17" t="str">
        <f t="shared" si="9"/>
        <v>7</v>
      </c>
      <c r="H141" s="17" t="str">
        <f t="shared" si="10"/>
        <v>a</v>
      </c>
      <c r="I141" s="20" t="str">
        <f t="shared" si="11"/>
        <v>Communication Skills</v>
      </c>
      <c r="J141" s="21" t="str">
        <f t="shared" si="12"/>
        <v>Generate appropriate documentation to communicate within the profession and to society at large</v>
      </c>
      <c r="K141" s="3"/>
      <c r="L141" s="3"/>
      <c r="M141" s="3"/>
      <c r="N141" s="3"/>
      <c r="O141" s="16"/>
      <c r="P141" s="3"/>
      <c r="Q141" s="3"/>
      <c r="R141" s="3"/>
    </row>
    <row r="142" spans="1:18" ht="30" x14ac:dyDescent="0.2">
      <c r="A142" s="79" t="s">
        <v>76</v>
      </c>
      <c r="B142" s="18" t="s">
        <v>67</v>
      </c>
      <c r="C142" s="18" t="s">
        <v>33</v>
      </c>
      <c r="D142" s="18" t="s">
        <v>77</v>
      </c>
      <c r="E142" s="19" t="s">
        <v>78</v>
      </c>
      <c r="F142" s="17" t="s">
        <v>530</v>
      </c>
      <c r="G142" s="17" t="str">
        <f t="shared" si="9"/>
        <v>7</v>
      </c>
      <c r="H142" s="17" t="str">
        <f t="shared" si="10"/>
        <v>a</v>
      </c>
      <c r="I142" s="20" t="str">
        <f t="shared" si="11"/>
        <v>Communication Skills</v>
      </c>
      <c r="J142" s="21" t="str">
        <f t="shared" si="12"/>
        <v>Generate appropriate documentation to communicate within the profession and to society at large</v>
      </c>
      <c r="K142" s="3"/>
      <c r="L142" s="3"/>
      <c r="M142" s="3"/>
      <c r="N142" s="3"/>
      <c r="O142" s="16"/>
      <c r="P142" s="3"/>
      <c r="Q142" s="3"/>
      <c r="R142" s="3"/>
    </row>
    <row r="143" spans="1:18" x14ac:dyDescent="0.2">
      <c r="A143" s="79" t="s">
        <v>76</v>
      </c>
      <c r="B143" s="18" t="s">
        <v>71</v>
      </c>
      <c r="C143" s="18" t="s">
        <v>32</v>
      </c>
      <c r="D143" s="18" t="s">
        <v>77</v>
      </c>
      <c r="E143" s="19" t="s">
        <v>540</v>
      </c>
      <c r="F143" s="17" t="s">
        <v>530</v>
      </c>
      <c r="G143" s="17" t="str">
        <f t="shared" si="9"/>
        <v>7</v>
      </c>
      <c r="H143" s="17" t="str">
        <f t="shared" si="10"/>
        <v>a</v>
      </c>
      <c r="I143" s="20" t="str">
        <f t="shared" si="11"/>
        <v>Communication Skills</v>
      </c>
      <c r="J143" s="21" t="str">
        <f t="shared" si="12"/>
        <v>Generate appropriate documentation to communicate within the profession and to society at large</v>
      </c>
      <c r="K143" s="3"/>
      <c r="L143" s="3"/>
      <c r="M143" s="3"/>
      <c r="N143" s="3"/>
      <c r="O143" s="16"/>
      <c r="P143" s="3"/>
      <c r="Q143" s="3"/>
      <c r="R143" s="3"/>
    </row>
    <row r="144" spans="1:18" x14ac:dyDescent="0.2">
      <c r="A144" s="79" t="s">
        <v>76</v>
      </c>
      <c r="B144" s="18" t="s">
        <v>67</v>
      </c>
      <c r="C144" s="18" t="s">
        <v>33</v>
      </c>
      <c r="D144" s="18" t="s">
        <v>77</v>
      </c>
      <c r="E144" s="19" t="s">
        <v>540</v>
      </c>
      <c r="F144" s="17" t="s">
        <v>530</v>
      </c>
      <c r="G144" s="17" t="str">
        <f t="shared" si="9"/>
        <v>7</v>
      </c>
      <c r="H144" s="17" t="str">
        <f t="shared" si="10"/>
        <v>a</v>
      </c>
      <c r="I144" s="20" t="str">
        <f t="shared" si="11"/>
        <v>Communication Skills</v>
      </c>
      <c r="J144" s="21" t="str">
        <f t="shared" si="12"/>
        <v>Generate appropriate documentation to communicate within the profession and to society at large</v>
      </c>
      <c r="K144" s="3"/>
      <c r="L144" s="3"/>
      <c r="M144" s="3"/>
      <c r="N144" s="3"/>
      <c r="O144" s="16"/>
      <c r="P144" s="3"/>
      <c r="Q144" s="3"/>
      <c r="R144" s="3"/>
    </row>
    <row r="145" spans="1:18" x14ac:dyDescent="0.2">
      <c r="A145" s="79" t="s">
        <v>173</v>
      </c>
      <c r="B145" s="18" t="s">
        <v>74</v>
      </c>
      <c r="C145" s="18" t="s">
        <v>32</v>
      </c>
      <c r="D145" s="18" t="s">
        <v>75</v>
      </c>
      <c r="E145" s="19" t="s">
        <v>289</v>
      </c>
      <c r="F145" s="17" t="s">
        <v>494</v>
      </c>
      <c r="G145" s="17" t="str">
        <f t="shared" si="9"/>
        <v>1</v>
      </c>
      <c r="H145" s="17" t="str">
        <f t="shared" si="10"/>
        <v>d</v>
      </c>
      <c r="I145" s="20" t="str">
        <f t="shared" si="11"/>
        <v>Knowledge base for engineering</v>
      </c>
      <c r="J145" s="21" t="str">
        <f t="shared" si="12"/>
        <v>Demonstrate understanding of specialized engineering knowledge</v>
      </c>
      <c r="K145" s="3"/>
      <c r="L145" s="3"/>
      <c r="M145" s="3"/>
      <c r="N145" s="3"/>
      <c r="O145" s="16"/>
      <c r="P145" s="3"/>
      <c r="Q145" s="3"/>
      <c r="R145" s="3"/>
    </row>
    <row r="146" spans="1:18" x14ac:dyDescent="0.2">
      <c r="A146" s="79" t="s">
        <v>173</v>
      </c>
      <c r="B146" s="18" t="s">
        <v>74</v>
      </c>
      <c r="C146" s="18" t="s">
        <v>32</v>
      </c>
      <c r="D146" s="18" t="s">
        <v>75</v>
      </c>
      <c r="E146" s="19" t="s">
        <v>384</v>
      </c>
      <c r="F146" s="17" t="s">
        <v>509</v>
      </c>
      <c r="G146" s="17" t="str">
        <f t="shared" si="9"/>
        <v>2</v>
      </c>
      <c r="H146" s="17" t="str">
        <f t="shared" si="10"/>
        <v>b</v>
      </c>
      <c r="I146" s="20" t="str">
        <f t="shared" si="11"/>
        <v xml:space="preserve">Problem Analysis </v>
      </c>
      <c r="J146" s="21" t="str">
        <f t="shared" si="12"/>
        <v>Develop / solve models of engineering problems including identifying approximations, assumptions, and constraints</v>
      </c>
      <c r="K146" s="3"/>
      <c r="L146" s="3"/>
      <c r="M146" s="3"/>
      <c r="N146" s="3"/>
      <c r="O146" s="16"/>
      <c r="P146" s="3"/>
      <c r="Q146" s="3"/>
      <c r="R146" s="3"/>
    </row>
    <row r="147" spans="1:18" x14ac:dyDescent="0.2">
      <c r="A147" s="79" t="s">
        <v>173</v>
      </c>
      <c r="B147" s="18" t="s">
        <v>74</v>
      </c>
      <c r="C147" s="18" t="s">
        <v>32</v>
      </c>
      <c r="D147" s="18" t="s">
        <v>75</v>
      </c>
      <c r="E147" s="19" t="s">
        <v>383</v>
      </c>
      <c r="F147" s="17" t="s">
        <v>510</v>
      </c>
      <c r="G147" s="17" t="str">
        <f t="shared" si="9"/>
        <v>2</v>
      </c>
      <c r="H147" s="17" t="str">
        <f t="shared" si="10"/>
        <v>c</v>
      </c>
      <c r="I147" s="20" t="str">
        <f t="shared" si="11"/>
        <v xml:space="preserve">Problem Analysis </v>
      </c>
      <c r="J147" s="21" t="str">
        <f t="shared" si="12"/>
        <v>Evaluate solutions of complex engineering problems to reach substantiated conclusions</v>
      </c>
      <c r="K147" s="3"/>
      <c r="L147" s="3"/>
      <c r="M147" s="3"/>
      <c r="N147" s="3"/>
      <c r="O147" s="16"/>
      <c r="P147" s="3"/>
      <c r="Q147" s="3"/>
      <c r="R147" s="3"/>
    </row>
    <row r="148" spans="1:18" x14ac:dyDescent="0.2">
      <c r="A148" s="79" t="s">
        <v>173</v>
      </c>
      <c r="B148" s="18" t="s">
        <v>74</v>
      </c>
      <c r="C148" s="18" t="s">
        <v>32</v>
      </c>
      <c r="D148" s="18" t="s">
        <v>75</v>
      </c>
      <c r="E148" s="19" t="s">
        <v>216</v>
      </c>
      <c r="F148" s="17" t="s">
        <v>512</v>
      </c>
      <c r="G148" s="17" t="str">
        <f t="shared" si="9"/>
        <v>3</v>
      </c>
      <c r="H148" s="17" t="str">
        <f t="shared" si="10"/>
        <v>a</v>
      </c>
      <c r="I148" s="20" t="str">
        <f t="shared" si="11"/>
        <v>Investigation</v>
      </c>
      <c r="J148" s="21" t="str">
        <f t="shared" si="12"/>
        <v>Identify critical issues of complex engineering problems to form testable hypotheses and design experiments.</v>
      </c>
      <c r="K148" s="3"/>
      <c r="L148" s="3"/>
      <c r="M148" s="3"/>
      <c r="N148" s="3"/>
      <c r="O148" s="16"/>
      <c r="P148" s="3"/>
      <c r="Q148" s="3"/>
      <c r="R148" s="3"/>
    </row>
    <row r="149" spans="1:18" x14ac:dyDescent="0.2">
      <c r="A149" s="79" t="s">
        <v>173</v>
      </c>
      <c r="B149" s="18" t="s">
        <v>74</v>
      </c>
      <c r="C149" s="18" t="s">
        <v>32</v>
      </c>
      <c r="D149" s="18" t="s">
        <v>75</v>
      </c>
      <c r="E149" s="19" t="s">
        <v>217</v>
      </c>
      <c r="F149" s="17" t="s">
        <v>513</v>
      </c>
      <c r="G149" s="17" t="str">
        <f t="shared" si="9"/>
        <v>3</v>
      </c>
      <c r="H149" s="17" t="str">
        <f t="shared" si="10"/>
        <v>b</v>
      </c>
      <c r="I149" s="20" t="str">
        <f t="shared" si="11"/>
        <v>Investigation</v>
      </c>
      <c r="J149" s="21" t="str">
        <f t="shared" si="12"/>
        <v>Conduct experiments and gather and process data.</v>
      </c>
      <c r="K149" s="3"/>
      <c r="L149" s="3"/>
      <c r="M149" s="3"/>
      <c r="N149" s="3"/>
      <c r="O149" s="16"/>
      <c r="P149" s="3"/>
      <c r="Q149" s="3"/>
      <c r="R149" s="3"/>
    </row>
    <row r="150" spans="1:18" x14ac:dyDescent="0.2">
      <c r="A150" s="79" t="s">
        <v>173</v>
      </c>
      <c r="B150" s="18" t="s">
        <v>74</v>
      </c>
      <c r="C150" s="18" t="s">
        <v>32</v>
      </c>
      <c r="D150" s="18" t="s">
        <v>75</v>
      </c>
      <c r="E150" s="19" t="s">
        <v>174</v>
      </c>
      <c r="F150" s="17" t="s">
        <v>520</v>
      </c>
      <c r="G150" s="17" t="str">
        <f t="shared" si="9"/>
        <v>5</v>
      </c>
      <c r="H150" s="17" t="str">
        <f t="shared" si="10"/>
        <v>b</v>
      </c>
      <c r="I150" s="20" t="str">
        <f t="shared" si="11"/>
        <v>Use of Engineering Tools</v>
      </c>
      <c r="J150" s="21" t="str">
        <f t="shared" si="12"/>
        <v>Modify and/or create appropriate engineering tools, identifying their limitations</v>
      </c>
      <c r="K150" s="3"/>
      <c r="L150" s="3"/>
      <c r="M150" s="3"/>
      <c r="N150" s="3"/>
      <c r="O150" s="16"/>
      <c r="P150" s="3"/>
      <c r="Q150" s="3"/>
      <c r="R150" s="3"/>
    </row>
    <row r="151" spans="1:18" x14ac:dyDescent="0.2">
      <c r="A151" s="79" t="s">
        <v>136</v>
      </c>
      <c r="B151" s="18" t="s">
        <v>67</v>
      </c>
      <c r="C151" s="18" t="s">
        <v>32</v>
      </c>
      <c r="D151" s="18" t="s">
        <v>127</v>
      </c>
      <c r="E151" s="19" t="s">
        <v>291</v>
      </c>
      <c r="F151" s="17" t="s">
        <v>494</v>
      </c>
      <c r="G151" s="17" t="str">
        <f t="shared" si="9"/>
        <v>1</v>
      </c>
      <c r="H151" s="17" t="str">
        <f t="shared" si="10"/>
        <v>d</v>
      </c>
      <c r="I151" s="20" t="str">
        <f t="shared" si="11"/>
        <v>Knowledge base for engineering</v>
      </c>
      <c r="J151" s="21" t="str">
        <f t="shared" si="12"/>
        <v>Demonstrate understanding of specialized engineering knowledge</v>
      </c>
      <c r="K151" s="3"/>
      <c r="L151" s="3"/>
      <c r="M151" s="3"/>
      <c r="N151" s="3"/>
      <c r="O151" s="16"/>
      <c r="P151" s="3"/>
      <c r="Q151" s="3"/>
      <c r="R151" s="3"/>
    </row>
    <row r="152" spans="1:18" ht="30" x14ac:dyDescent="0.2">
      <c r="A152" s="79" t="s">
        <v>136</v>
      </c>
      <c r="B152" s="18" t="s">
        <v>67</v>
      </c>
      <c r="C152" s="18" t="s">
        <v>32</v>
      </c>
      <c r="D152" s="18" t="s">
        <v>127</v>
      </c>
      <c r="E152" s="19" t="s">
        <v>290</v>
      </c>
      <c r="F152" s="17" t="s">
        <v>494</v>
      </c>
      <c r="G152" s="17" t="str">
        <f t="shared" si="9"/>
        <v>1</v>
      </c>
      <c r="H152" s="17" t="str">
        <f t="shared" si="10"/>
        <v>d</v>
      </c>
      <c r="I152" s="20" t="str">
        <f t="shared" si="11"/>
        <v>Knowledge base for engineering</v>
      </c>
      <c r="J152" s="21" t="str">
        <f t="shared" si="12"/>
        <v>Demonstrate understanding of specialized engineering knowledge</v>
      </c>
      <c r="K152" s="3"/>
      <c r="L152" s="3"/>
      <c r="M152" s="3"/>
      <c r="N152" s="3"/>
      <c r="O152" s="16"/>
      <c r="P152" s="3"/>
      <c r="Q152" s="3"/>
      <c r="R152" s="3"/>
    </row>
    <row r="153" spans="1:18" x14ac:dyDescent="0.2">
      <c r="A153" s="79" t="s">
        <v>136</v>
      </c>
      <c r="B153" s="18" t="s">
        <v>67</v>
      </c>
      <c r="C153" s="18" t="s">
        <v>32</v>
      </c>
      <c r="D153" s="18" t="s">
        <v>127</v>
      </c>
      <c r="E153" s="19" t="s">
        <v>385</v>
      </c>
      <c r="F153" s="17" t="s">
        <v>509</v>
      </c>
      <c r="G153" s="17" t="str">
        <f t="shared" si="9"/>
        <v>2</v>
      </c>
      <c r="H153" s="17" t="str">
        <f t="shared" si="10"/>
        <v>b</v>
      </c>
      <c r="I153" s="20" t="str">
        <f t="shared" si="11"/>
        <v xml:space="preserve">Problem Analysis </v>
      </c>
      <c r="J153" s="21" t="str">
        <f t="shared" si="12"/>
        <v>Develop / solve models of engineering problems including identifying approximations, assumptions, and constraints</v>
      </c>
      <c r="K153" s="3"/>
      <c r="L153" s="3"/>
      <c r="M153" s="3"/>
      <c r="N153" s="3"/>
      <c r="O153" s="16"/>
      <c r="P153" s="3"/>
      <c r="Q153" s="3"/>
      <c r="R153" s="3"/>
    </row>
    <row r="154" spans="1:18" x14ac:dyDescent="0.2">
      <c r="A154" s="79" t="s">
        <v>136</v>
      </c>
      <c r="B154" s="18" t="s">
        <v>67</v>
      </c>
      <c r="C154" s="18" t="s">
        <v>32</v>
      </c>
      <c r="D154" s="18" t="s">
        <v>127</v>
      </c>
      <c r="E154" s="19" t="s">
        <v>388</v>
      </c>
      <c r="F154" s="17" t="s">
        <v>510</v>
      </c>
      <c r="G154" s="17" t="str">
        <f t="shared" si="9"/>
        <v>2</v>
      </c>
      <c r="H154" s="17" t="str">
        <f t="shared" si="10"/>
        <v>c</v>
      </c>
      <c r="I154" s="20" t="str">
        <f t="shared" si="11"/>
        <v xml:space="preserve">Problem Analysis </v>
      </c>
      <c r="J154" s="21" t="str">
        <f t="shared" si="12"/>
        <v>Evaluate solutions of complex engineering problems to reach substantiated conclusions</v>
      </c>
      <c r="K154" s="3"/>
      <c r="L154" s="3"/>
      <c r="M154" s="3"/>
      <c r="N154" s="3"/>
      <c r="O154" s="16"/>
      <c r="P154" s="3"/>
      <c r="Q154" s="3"/>
      <c r="R154" s="3"/>
    </row>
    <row r="155" spans="1:18" ht="30" x14ac:dyDescent="0.2">
      <c r="A155" s="79" t="s">
        <v>136</v>
      </c>
      <c r="B155" s="18" t="s">
        <v>67</v>
      </c>
      <c r="C155" s="18" t="s">
        <v>32</v>
      </c>
      <c r="D155" s="18" t="s">
        <v>127</v>
      </c>
      <c r="E155" s="19" t="s">
        <v>387</v>
      </c>
      <c r="F155" s="17" t="s">
        <v>510</v>
      </c>
      <c r="G155" s="17" t="str">
        <f t="shared" si="9"/>
        <v>2</v>
      </c>
      <c r="H155" s="17" t="str">
        <f t="shared" si="10"/>
        <v>c</v>
      </c>
      <c r="I155" s="20" t="str">
        <f t="shared" si="11"/>
        <v xml:space="preserve">Problem Analysis </v>
      </c>
      <c r="J155" s="21" t="str">
        <f t="shared" si="12"/>
        <v>Evaluate solutions of complex engineering problems to reach substantiated conclusions</v>
      </c>
      <c r="K155" s="3"/>
      <c r="L155" s="3"/>
      <c r="M155" s="3"/>
      <c r="N155" s="3"/>
      <c r="O155" s="16"/>
      <c r="P155" s="3"/>
      <c r="Q155" s="3"/>
      <c r="R155" s="3"/>
    </row>
    <row r="156" spans="1:18" ht="30" x14ac:dyDescent="0.2">
      <c r="A156" s="79" t="s">
        <v>136</v>
      </c>
      <c r="B156" s="18" t="s">
        <v>67</v>
      </c>
      <c r="C156" s="18" t="s">
        <v>32</v>
      </c>
      <c r="D156" s="18" t="s">
        <v>127</v>
      </c>
      <c r="E156" s="19" t="s">
        <v>386</v>
      </c>
      <c r="F156" s="17" t="s">
        <v>510</v>
      </c>
      <c r="G156" s="17" t="str">
        <f t="shared" si="9"/>
        <v>2</v>
      </c>
      <c r="H156" s="17" t="str">
        <f t="shared" si="10"/>
        <v>c</v>
      </c>
      <c r="I156" s="20" t="str">
        <f t="shared" si="11"/>
        <v xml:space="preserve">Problem Analysis </v>
      </c>
      <c r="J156" s="21" t="str">
        <f t="shared" si="12"/>
        <v>Evaluate solutions of complex engineering problems to reach substantiated conclusions</v>
      </c>
      <c r="K156" s="3"/>
      <c r="L156" s="3"/>
      <c r="M156" s="3"/>
      <c r="N156" s="3"/>
      <c r="O156" s="16"/>
      <c r="P156" s="3"/>
      <c r="Q156" s="3"/>
      <c r="R156" s="3"/>
    </row>
    <row r="157" spans="1:18" x14ac:dyDescent="0.2">
      <c r="A157" s="79" t="s">
        <v>136</v>
      </c>
      <c r="B157" s="18" t="s">
        <v>67</v>
      </c>
      <c r="C157" s="18" t="s">
        <v>32</v>
      </c>
      <c r="D157" s="18" t="s">
        <v>127</v>
      </c>
      <c r="E157" s="19" t="s">
        <v>137</v>
      </c>
      <c r="F157" s="17" t="s">
        <v>516</v>
      </c>
      <c r="G157" s="17" t="str">
        <f t="shared" si="9"/>
        <v>4</v>
      </c>
      <c r="H157" s="17" t="str">
        <f t="shared" si="10"/>
        <v>b</v>
      </c>
      <c r="I157" s="20" t="str">
        <f t="shared" si="11"/>
        <v>Design</v>
      </c>
      <c r="J157" s="21" t="str">
        <f t="shared" si="12"/>
        <v>Generate and implement solutions to complex open-ended problems</v>
      </c>
      <c r="K157" s="3"/>
      <c r="L157" s="3"/>
      <c r="M157" s="3"/>
      <c r="N157" s="3"/>
      <c r="O157" s="16"/>
      <c r="P157" s="3"/>
      <c r="Q157" s="3"/>
      <c r="R157" s="3"/>
    </row>
    <row r="158" spans="1:18" x14ac:dyDescent="0.2">
      <c r="A158" s="79" t="s">
        <v>138</v>
      </c>
      <c r="B158" s="18" t="s">
        <v>67</v>
      </c>
      <c r="C158" s="18" t="s">
        <v>32</v>
      </c>
      <c r="D158" s="18" t="s">
        <v>127</v>
      </c>
      <c r="E158" s="19" t="s">
        <v>292</v>
      </c>
      <c r="F158" s="17" t="s">
        <v>491</v>
      </c>
      <c r="G158" s="17" t="str">
        <f t="shared" si="9"/>
        <v>1</v>
      </c>
      <c r="H158" s="17" t="str">
        <f t="shared" si="10"/>
        <v>a</v>
      </c>
      <c r="I158" s="20" t="str">
        <f t="shared" si="11"/>
        <v>Knowledge base for engineering</v>
      </c>
      <c r="J158" s="21" t="str">
        <f t="shared" si="12"/>
        <v>Demonstrate understanding of mathematics</v>
      </c>
      <c r="K158" s="3"/>
      <c r="L158" s="3"/>
      <c r="M158" s="3"/>
      <c r="N158" s="3"/>
      <c r="O158" s="16"/>
      <c r="P158" s="3"/>
      <c r="Q158" s="3"/>
      <c r="R158" s="3"/>
    </row>
    <row r="159" spans="1:18" x14ac:dyDescent="0.2">
      <c r="A159" s="79" t="s">
        <v>138</v>
      </c>
      <c r="B159" s="18" t="s">
        <v>67</v>
      </c>
      <c r="C159" s="18" t="s">
        <v>32</v>
      </c>
      <c r="D159" s="18" t="s">
        <v>127</v>
      </c>
      <c r="E159" s="19" t="s">
        <v>293</v>
      </c>
      <c r="F159" s="17" t="s">
        <v>494</v>
      </c>
      <c r="G159" s="17" t="str">
        <f t="shared" si="9"/>
        <v>1</v>
      </c>
      <c r="H159" s="17" t="str">
        <f t="shared" si="10"/>
        <v>d</v>
      </c>
      <c r="I159" s="20" t="str">
        <f t="shared" si="11"/>
        <v>Knowledge base for engineering</v>
      </c>
      <c r="J159" s="21" t="str">
        <f t="shared" si="12"/>
        <v>Demonstrate understanding of specialized engineering knowledge</v>
      </c>
      <c r="K159" s="3"/>
      <c r="L159" s="3"/>
      <c r="M159" s="3"/>
      <c r="N159" s="3"/>
      <c r="O159" s="16"/>
      <c r="P159" s="3"/>
      <c r="Q159" s="3"/>
      <c r="R159" s="3"/>
    </row>
    <row r="160" spans="1:18" ht="45" x14ac:dyDescent="0.2">
      <c r="A160" s="79" t="s">
        <v>138</v>
      </c>
      <c r="B160" s="18" t="s">
        <v>67</v>
      </c>
      <c r="C160" s="18" t="s">
        <v>32</v>
      </c>
      <c r="D160" s="18" t="s">
        <v>127</v>
      </c>
      <c r="E160" s="19" t="s">
        <v>390</v>
      </c>
      <c r="F160" s="17" t="s">
        <v>510</v>
      </c>
      <c r="G160" s="17" t="str">
        <f t="shared" si="9"/>
        <v>2</v>
      </c>
      <c r="H160" s="17" t="str">
        <f t="shared" si="10"/>
        <v>c</v>
      </c>
      <c r="I160" s="20" t="str">
        <f t="shared" si="11"/>
        <v xml:space="preserve">Problem Analysis </v>
      </c>
      <c r="J160" s="21" t="str">
        <f t="shared" si="12"/>
        <v>Evaluate solutions of complex engineering problems to reach substantiated conclusions</v>
      </c>
      <c r="K160" s="3"/>
      <c r="L160" s="3"/>
      <c r="M160" s="3"/>
      <c r="N160" s="3"/>
      <c r="O160" s="16"/>
      <c r="P160" s="3"/>
      <c r="Q160" s="3"/>
      <c r="R160" s="3"/>
    </row>
    <row r="161" spans="1:18" x14ac:dyDescent="0.2">
      <c r="A161" s="79" t="s">
        <v>138</v>
      </c>
      <c r="B161" s="18" t="s">
        <v>67</v>
      </c>
      <c r="C161" s="18" t="s">
        <v>32</v>
      </c>
      <c r="D161" s="18" t="s">
        <v>127</v>
      </c>
      <c r="E161" s="19" t="s">
        <v>389</v>
      </c>
      <c r="F161" s="17" t="s">
        <v>510</v>
      </c>
      <c r="G161" s="17" t="str">
        <f t="shared" si="9"/>
        <v>2</v>
      </c>
      <c r="H161" s="17" t="str">
        <f t="shared" si="10"/>
        <v>c</v>
      </c>
      <c r="I161" s="20" t="str">
        <f t="shared" si="11"/>
        <v xml:space="preserve">Problem Analysis </v>
      </c>
      <c r="J161" s="21" t="str">
        <f t="shared" si="12"/>
        <v>Evaluate solutions of complex engineering problems to reach substantiated conclusions</v>
      </c>
      <c r="K161" s="3"/>
      <c r="L161" s="3"/>
      <c r="M161" s="3"/>
      <c r="N161" s="3"/>
      <c r="O161" s="16"/>
      <c r="P161" s="3"/>
      <c r="Q161" s="3"/>
      <c r="R161" s="3"/>
    </row>
    <row r="162" spans="1:18" ht="30" x14ac:dyDescent="0.2">
      <c r="A162" s="79" t="s">
        <v>138</v>
      </c>
      <c r="B162" s="18" t="s">
        <v>67</v>
      </c>
      <c r="C162" s="18" t="s">
        <v>32</v>
      </c>
      <c r="D162" s="18" t="s">
        <v>127</v>
      </c>
      <c r="E162" s="19" t="s">
        <v>218</v>
      </c>
      <c r="F162" s="17" t="s">
        <v>512</v>
      </c>
      <c r="G162" s="17" t="str">
        <f t="shared" si="9"/>
        <v>3</v>
      </c>
      <c r="H162" s="17" t="str">
        <f t="shared" si="10"/>
        <v>a</v>
      </c>
      <c r="I162" s="20" t="str">
        <f t="shared" si="11"/>
        <v>Investigation</v>
      </c>
      <c r="J162" s="21" t="str">
        <f t="shared" si="12"/>
        <v>Identify critical issues of complex engineering problems to form testable hypotheses and design experiments.</v>
      </c>
      <c r="K162" s="3"/>
      <c r="L162" s="3"/>
      <c r="M162" s="3"/>
      <c r="N162" s="3"/>
      <c r="O162" s="16"/>
      <c r="P162" s="3"/>
      <c r="Q162" s="3"/>
      <c r="R162" s="3"/>
    </row>
    <row r="163" spans="1:18" x14ac:dyDescent="0.2">
      <c r="A163" s="79" t="s">
        <v>138</v>
      </c>
      <c r="B163" s="18" t="s">
        <v>67</v>
      </c>
      <c r="C163" s="18" t="s">
        <v>32</v>
      </c>
      <c r="D163" s="18" t="s">
        <v>127</v>
      </c>
      <c r="E163" s="19" t="s">
        <v>139</v>
      </c>
      <c r="F163" s="17" t="s">
        <v>516</v>
      </c>
      <c r="G163" s="17" t="str">
        <f t="shared" si="9"/>
        <v>4</v>
      </c>
      <c r="H163" s="17" t="str">
        <f t="shared" si="10"/>
        <v>b</v>
      </c>
      <c r="I163" s="20" t="str">
        <f t="shared" si="11"/>
        <v>Design</v>
      </c>
      <c r="J163" s="21" t="str">
        <f t="shared" si="12"/>
        <v>Generate and implement solutions to complex open-ended problems</v>
      </c>
      <c r="K163" s="3"/>
      <c r="L163" s="3"/>
      <c r="M163" s="3"/>
      <c r="N163" s="3"/>
      <c r="O163" s="16"/>
      <c r="P163" s="3"/>
      <c r="Q163" s="3"/>
      <c r="R163" s="3"/>
    </row>
    <row r="164" spans="1:18" ht="30" x14ac:dyDescent="0.2">
      <c r="A164" s="79" t="s">
        <v>138</v>
      </c>
      <c r="B164" s="18" t="s">
        <v>67</v>
      </c>
      <c r="C164" s="18" t="s">
        <v>32</v>
      </c>
      <c r="D164" s="18" t="s">
        <v>127</v>
      </c>
      <c r="E164" s="19" t="s">
        <v>177</v>
      </c>
      <c r="F164" s="17" t="s">
        <v>520</v>
      </c>
      <c r="G164" s="17" t="str">
        <f t="shared" si="9"/>
        <v>5</v>
      </c>
      <c r="H164" s="17" t="str">
        <f t="shared" si="10"/>
        <v>b</v>
      </c>
      <c r="I164" s="20" t="str">
        <f t="shared" si="11"/>
        <v>Use of Engineering Tools</v>
      </c>
      <c r="J164" s="21" t="str">
        <f t="shared" si="12"/>
        <v>Modify and/or create appropriate engineering tools, identifying their limitations</v>
      </c>
      <c r="K164" s="3"/>
      <c r="L164" s="3"/>
      <c r="M164" s="3"/>
      <c r="N164" s="3"/>
      <c r="O164" s="16"/>
      <c r="P164" s="3"/>
      <c r="Q164" s="3"/>
      <c r="R164" s="3"/>
    </row>
    <row r="165" spans="1:18" x14ac:dyDescent="0.2">
      <c r="A165" s="79" t="s">
        <v>138</v>
      </c>
      <c r="B165" s="18" t="s">
        <v>67</v>
      </c>
      <c r="C165" s="18" t="s">
        <v>32</v>
      </c>
      <c r="D165" s="18" t="s">
        <v>127</v>
      </c>
      <c r="E165" s="19" t="s">
        <v>176</v>
      </c>
      <c r="F165" s="17" t="s">
        <v>520</v>
      </c>
      <c r="G165" s="17" t="str">
        <f t="shared" si="9"/>
        <v>5</v>
      </c>
      <c r="H165" s="17" t="str">
        <f t="shared" si="10"/>
        <v>b</v>
      </c>
      <c r="I165" s="20" t="str">
        <f t="shared" si="11"/>
        <v>Use of Engineering Tools</v>
      </c>
      <c r="J165" s="21" t="str">
        <f t="shared" si="12"/>
        <v>Modify and/or create appropriate engineering tools, identifying their limitations</v>
      </c>
      <c r="K165" s="3"/>
      <c r="L165" s="3"/>
      <c r="M165" s="3"/>
      <c r="N165" s="3"/>
      <c r="O165" s="16"/>
      <c r="P165" s="3"/>
      <c r="Q165" s="3"/>
      <c r="R165" s="3"/>
    </row>
    <row r="166" spans="1:18" ht="30" x14ac:dyDescent="0.2">
      <c r="A166" s="79" t="s">
        <v>138</v>
      </c>
      <c r="B166" s="18" t="s">
        <v>67</v>
      </c>
      <c r="C166" s="18" t="s">
        <v>32</v>
      </c>
      <c r="D166" s="18" t="s">
        <v>127</v>
      </c>
      <c r="E166" s="19" t="s">
        <v>175</v>
      </c>
      <c r="F166" s="17" t="s">
        <v>520</v>
      </c>
      <c r="G166" s="17" t="str">
        <f t="shared" si="9"/>
        <v>5</v>
      </c>
      <c r="H166" s="17" t="str">
        <f t="shared" si="10"/>
        <v>b</v>
      </c>
      <c r="I166" s="20" t="str">
        <f t="shared" si="11"/>
        <v>Use of Engineering Tools</v>
      </c>
      <c r="J166" s="21" t="str">
        <f t="shared" si="12"/>
        <v>Modify and/or create appropriate engineering tools, identifying their limitations</v>
      </c>
      <c r="K166" s="3"/>
      <c r="L166" s="3"/>
      <c r="M166" s="3"/>
      <c r="N166" s="3"/>
      <c r="O166" s="16"/>
      <c r="P166" s="3"/>
      <c r="Q166" s="3"/>
      <c r="R166" s="3"/>
    </row>
    <row r="167" spans="1:18" ht="30" x14ac:dyDescent="0.2">
      <c r="A167" s="79" t="s">
        <v>79</v>
      </c>
      <c r="B167" s="18" t="s">
        <v>71</v>
      </c>
      <c r="C167" s="18" t="s">
        <v>32</v>
      </c>
      <c r="D167" s="18" t="s">
        <v>77</v>
      </c>
      <c r="E167" s="19" t="s">
        <v>296</v>
      </c>
      <c r="F167" s="17" t="s">
        <v>494</v>
      </c>
      <c r="G167" s="17" t="str">
        <f t="shared" si="9"/>
        <v>1</v>
      </c>
      <c r="H167" s="17" t="str">
        <f t="shared" si="10"/>
        <v>d</v>
      </c>
      <c r="I167" s="20" t="str">
        <f t="shared" si="11"/>
        <v>Knowledge base for engineering</v>
      </c>
      <c r="J167" s="21" t="str">
        <f t="shared" si="12"/>
        <v>Demonstrate understanding of specialized engineering knowledge</v>
      </c>
      <c r="K167" s="3"/>
      <c r="L167" s="3"/>
      <c r="M167" s="3"/>
      <c r="N167" s="3"/>
      <c r="O167" s="16"/>
      <c r="P167" s="3"/>
      <c r="Q167" s="3"/>
      <c r="R167" s="3"/>
    </row>
    <row r="168" spans="1:18" ht="30" x14ac:dyDescent="0.2">
      <c r="A168" s="79" t="s">
        <v>79</v>
      </c>
      <c r="B168" s="18" t="s">
        <v>71</v>
      </c>
      <c r="C168" s="18" t="s">
        <v>32</v>
      </c>
      <c r="D168" s="18" t="s">
        <v>77</v>
      </c>
      <c r="E168" s="19" t="s">
        <v>294</v>
      </c>
      <c r="F168" s="17" t="s">
        <v>494</v>
      </c>
      <c r="G168" s="17" t="str">
        <f t="shared" si="9"/>
        <v>1</v>
      </c>
      <c r="H168" s="17" t="str">
        <f t="shared" si="10"/>
        <v>d</v>
      </c>
      <c r="I168" s="20" t="str">
        <f t="shared" si="11"/>
        <v>Knowledge base for engineering</v>
      </c>
      <c r="J168" s="21" t="str">
        <f t="shared" si="12"/>
        <v>Demonstrate understanding of specialized engineering knowledge</v>
      </c>
      <c r="K168" s="3"/>
      <c r="L168" s="3"/>
      <c r="M168" s="3"/>
      <c r="N168" s="3"/>
      <c r="O168" s="16"/>
      <c r="P168" s="3"/>
      <c r="Q168" s="3"/>
      <c r="R168" s="3"/>
    </row>
    <row r="169" spans="1:18" ht="30" x14ac:dyDescent="0.2">
      <c r="A169" s="79" t="s">
        <v>79</v>
      </c>
      <c r="B169" s="18" t="s">
        <v>71</v>
      </c>
      <c r="C169" s="18" t="s">
        <v>32</v>
      </c>
      <c r="D169" s="18" t="s">
        <v>77</v>
      </c>
      <c r="E169" s="19" t="s">
        <v>298</v>
      </c>
      <c r="F169" s="17" t="s">
        <v>494</v>
      </c>
      <c r="G169" s="17" t="str">
        <f t="shared" si="9"/>
        <v>1</v>
      </c>
      <c r="H169" s="17" t="str">
        <f t="shared" si="10"/>
        <v>d</v>
      </c>
      <c r="I169" s="20" t="str">
        <f t="shared" si="11"/>
        <v>Knowledge base for engineering</v>
      </c>
      <c r="J169" s="21" t="str">
        <f t="shared" si="12"/>
        <v>Demonstrate understanding of specialized engineering knowledge</v>
      </c>
      <c r="K169" s="3"/>
      <c r="L169" s="3"/>
      <c r="M169" s="3"/>
      <c r="N169" s="3"/>
      <c r="O169" s="16"/>
      <c r="P169" s="3"/>
      <c r="Q169" s="3"/>
      <c r="R169" s="3"/>
    </row>
    <row r="170" spans="1:18" ht="30" x14ac:dyDescent="0.2">
      <c r="A170" s="79" t="s">
        <v>79</v>
      </c>
      <c r="B170" s="18" t="s">
        <v>71</v>
      </c>
      <c r="C170" s="18" t="s">
        <v>32</v>
      </c>
      <c r="D170" s="18" t="s">
        <v>77</v>
      </c>
      <c r="E170" s="19" t="s">
        <v>295</v>
      </c>
      <c r="F170" s="17" t="s">
        <v>494</v>
      </c>
      <c r="G170" s="17" t="str">
        <f t="shared" si="9"/>
        <v>1</v>
      </c>
      <c r="H170" s="17" t="str">
        <f t="shared" si="10"/>
        <v>d</v>
      </c>
      <c r="I170" s="20" t="str">
        <f t="shared" si="11"/>
        <v>Knowledge base for engineering</v>
      </c>
      <c r="J170" s="21" t="str">
        <f t="shared" si="12"/>
        <v>Demonstrate understanding of specialized engineering knowledge</v>
      </c>
      <c r="K170" s="3"/>
      <c r="L170" s="3"/>
      <c r="M170" s="3"/>
      <c r="N170" s="3"/>
      <c r="O170" s="16"/>
      <c r="P170" s="3"/>
      <c r="Q170" s="3"/>
      <c r="R170" s="3"/>
    </row>
    <row r="171" spans="1:18" x14ac:dyDescent="0.2">
      <c r="A171" s="79" t="s">
        <v>79</v>
      </c>
      <c r="B171" s="18" t="s">
        <v>71</v>
      </c>
      <c r="C171" s="18" t="s">
        <v>32</v>
      </c>
      <c r="D171" s="18" t="s">
        <v>77</v>
      </c>
      <c r="E171" s="19" t="s">
        <v>297</v>
      </c>
      <c r="F171" s="17" t="s">
        <v>494</v>
      </c>
      <c r="G171" s="17" t="str">
        <f t="shared" si="9"/>
        <v>1</v>
      </c>
      <c r="H171" s="17" t="str">
        <f t="shared" si="10"/>
        <v>d</v>
      </c>
      <c r="I171" s="20" t="str">
        <f t="shared" si="11"/>
        <v>Knowledge base for engineering</v>
      </c>
      <c r="J171" s="21" t="str">
        <f t="shared" si="12"/>
        <v>Demonstrate understanding of specialized engineering knowledge</v>
      </c>
      <c r="K171" s="3"/>
      <c r="L171" s="3"/>
      <c r="M171" s="3"/>
      <c r="N171" s="3"/>
      <c r="O171" s="16"/>
      <c r="P171" s="3"/>
      <c r="Q171" s="3"/>
      <c r="R171" s="3"/>
    </row>
    <row r="172" spans="1:18" x14ac:dyDescent="0.2">
      <c r="A172" s="79" t="s">
        <v>79</v>
      </c>
      <c r="B172" s="18" t="s">
        <v>71</v>
      </c>
      <c r="C172" s="18" t="s">
        <v>32</v>
      </c>
      <c r="D172" s="18" t="s">
        <v>77</v>
      </c>
      <c r="E172" s="19" t="s">
        <v>391</v>
      </c>
      <c r="F172" s="17" t="s">
        <v>509</v>
      </c>
      <c r="G172" s="17" t="str">
        <f t="shared" si="9"/>
        <v>2</v>
      </c>
      <c r="H172" s="17" t="str">
        <f t="shared" si="10"/>
        <v>b</v>
      </c>
      <c r="I172" s="20" t="str">
        <f t="shared" si="11"/>
        <v xml:space="preserve">Problem Analysis </v>
      </c>
      <c r="J172" s="21" t="str">
        <f t="shared" si="12"/>
        <v>Develop / solve models of engineering problems including identifying approximations, assumptions, and constraints</v>
      </c>
      <c r="K172" s="3"/>
      <c r="L172" s="3"/>
      <c r="M172" s="3"/>
      <c r="N172" s="3"/>
      <c r="O172" s="16"/>
      <c r="P172" s="3"/>
      <c r="Q172" s="3"/>
      <c r="R172" s="3"/>
    </row>
    <row r="173" spans="1:18" ht="30" x14ac:dyDescent="0.2">
      <c r="A173" s="79" t="s">
        <v>79</v>
      </c>
      <c r="B173" s="18" t="s">
        <v>71</v>
      </c>
      <c r="C173" s="18" t="s">
        <v>32</v>
      </c>
      <c r="D173" s="18" t="s">
        <v>77</v>
      </c>
      <c r="E173" s="19" t="s">
        <v>392</v>
      </c>
      <c r="F173" s="17" t="s">
        <v>510</v>
      </c>
      <c r="G173" s="17" t="str">
        <f t="shared" si="9"/>
        <v>2</v>
      </c>
      <c r="H173" s="17" t="str">
        <f t="shared" si="10"/>
        <v>c</v>
      </c>
      <c r="I173" s="20" t="str">
        <f t="shared" si="11"/>
        <v xml:space="preserve">Problem Analysis </v>
      </c>
      <c r="J173" s="21" t="str">
        <f t="shared" si="12"/>
        <v>Evaluate solutions of complex engineering problems to reach substantiated conclusions</v>
      </c>
      <c r="K173" s="3"/>
      <c r="L173" s="3"/>
      <c r="M173" s="3"/>
      <c r="N173" s="3"/>
      <c r="O173" s="16"/>
      <c r="P173" s="3"/>
      <c r="Q173" s="3"/>
      <c r="R173" s="3"/>
    </row>
    <row r="174" spans="1:18" x14ac:dyDescent="0.2">
      <c r="A174" s="79" t="s">
        <v>79</v>
      </c>
      <c r="B174" s="18" t="s">
        <v>71</v>
      </c>
      <c r="C174" s="18" t="s">
        <v>32</v>
      </c>
      <c r="D174" s="18" t="s">
        <v>77</v>
      </c>
      <c r="E174" s="19" t="s">
        <v>53</v>
      </c>
      <c r="F174" s="17" t="s">
        <v>512</v>
      </c>
      <c r="G174" s="17" t="str">
        <f t="shared" si="9"/>
        <v>3</v>
      </c>
      <c r="H174" s="17" t="str">
        <f t="shared" si="10"/>
        <v>a</v>
      </c>
      <c r="I174" s="20" t="str">
        <f t="shared" si="11"/>
        <v>Investigation</v>
      </c>
      <c r="J174" s="21" t="str">
        <f t="shared" si="12"/>
        <v>Identify critical issues of complex engineering problems to form testable hypotheses and design experiments.</v>
      </c>
      <c r="K174" s="3"/>
      <c r="L174" s="3"/>
      <c r="M174" s="3"/>
      <c r="N174" s="3"/>
      <c r="O174" s="16"/>
      <c r="P174" s="3"/>
      <c r="Q174" s="3"/>
      <c r="R174" s="3"/>
    </row>
    <row r="175" spans="1:18" x14ac:dyDescent="0.2">
      <c r="A175" s="79" t="s">
        <v>79</v>
      </c>
      <c r="B175" s="18" t="s">
        <v>71</v>
      </c>
      <c r="C175" s="18" t="s">
        <v>32</v>
      </c>
      <c r="D175" s="18" t="s">
        <v>77</v>
      </c>
      <c r="E175" s="19" t="s">
        <v>225</v>
      </c>
      <c r="F175" s="17" t="s">
        <v>513</v>
      </c>
      <c r="G175" s="17" t="str">
        <f t="shared" si="9"/>
        <v>3</v>
      </c>
      <c r="H175" s="17" t="str">
        <f t="shared" si="10"/>
        <v>b</v>
      </c>
      <c r="I175" s="20" t="str">
        <f t="shared" si="11"/>
        <v>Investigation</v>
      </c>
      <c r="J175" s="21" t="str">
        <f t="shared" si="12"/>
        <v>Conduct experiments and gather and process data.</v>
      </c>
      <c r="K175" s="3"/>
      <c r="L175" s="3"/>
      <c r="M175" s="3"/>
      <c r="N175" s="3"/>
      <c r="O175" s="16"/>
      <c r="P175" s="3"/>
      <c r="Q175" s="3"/>
      <c r="R175" s="3"/>
    </row>
    <row r="176" spans="1:18" x14ac:dyDescent="0.2">
      <c r="A176" s="79" t="s">
        <v>79</v>
      </c>
      <c r="B176" s="18" t="s">
        <v>71</v>
      </c>
      <c r="C176" s="18" t="s">
        <v>32</v>
      </c>
      <c r="D176" s="18" t="s">
        <v>77</v>
      </c>
      <c r="E176" s="19" t="s">
        <v>140</v>
      </c>
      <c r="F176" s="17" t="s">
        <v>516</v>
      </c>
      <c r="G176" s="17" t="str">
        <f t="shared" si="9"/>
        <v>4</v>
      </c>
      <c r="H176" s="17" t="str">
        <f t="shared" si="10"/>
        <v>b</v>
      </c>
      <c r="I176" s="20" t="str">
        <f t="shared" si="11"/>
        <v>Design</v>
      </c>
      <c r="J176" s="21" t="str">
        <f t="shared" si="12"/>
        <v>Generate and implement solutions to complex open-ended problems</v>
      </c>
      <c r="K176" s="3"/>
      <c r="L176" s="3"/>
      <c r="M176" s="3"/>
      <c r="N176" s="3"/>
      <c r="O176" s="16"/>
      <c r="P176" s="3"/>
      <c r="Q176" s="3"/>
      <c r="R176" s="3"/>
    </row>
    <row r="177" spans="1:18" x14ac:dyDescent="0.2">
      <c r="A177" s="79" t="s">
        <v>79</v>
      </c>
      <c r="B177" s="18" t="s">
        <v>71</v>
      </c>
      <c r="C177" s="18" t="s">
        <v>32</v>
      </c>
      <c r="D177" s="18" t="s">
        <v>77</v>
      </c>
      <c r="E177" s="19" t="s">
        <v>141</v>
      </c>
      <c r="F177" s="17" t="s">
        <v>516</v>
      </c>
      <c r="G177" s="17" t="str">
        <f t="shared" si="9"/>
        <v>4</v>
      </c>
      <c r="H177" s="17" t="str">
        <f t="shared" si="10"/>
        <v>b</v>
      </c>
      <c r="I177" s="20" t="str">
        <f t="shared" si="11"/>
        <v>Design</v>
      </c>
      <c r="J177" s="21" t="str">
        <f t="shared" si="12"/>
        <v>Generate and implement solutions to complex open-ended problems</v>
      </c>
      <c r="K177" s="3"/>
      <c r="L177" s="3"/>
      <c r="M177" s="3"/>
      <c r="N177" s="3"/>
      <c r="O177" s="16"/>
      <c r="P177" s="3"/>
      <c r="Q177" s="3"/>
      <c r="R177" s="3"/>
    </row>
    <row r="178" spans="1:18" x14ac:dyDescent="0.2">
      <c r="A178" s="79" t="s">
        <v>79</v>
      </c>
      <c r="B178" s="18" t="s">
        <v>71</v>
      </c>
      <c r="C178" s="18" t="s">
        <v>32</v>
      </c>
      <c r="D178" s="18" t="s">
        <v>77</v>
      </c>
      <c r="E178" s="19" t="s">
        <v>180</v>
      </c>
      <c r="F178" s="17" t="s">
        <v>520</v>
      </c>
      <c r="G178" s="17" t="str">
        <f t="shared" si="9"/>
        <v>5</v>
      </c>
      <c r="H178" s="17" t="str">
        <f t="shared" si="10"/>
        <v>b</v>
      </c>
      <c r="I178" s="20" t="str">
        <f t="shared" si="11"/>
        <v>Use of Engineering Tools</v>
      </c>
      <c r="J178" s="21" t="str">
        <f t="shared" si="12"/>
        <v>Modify and/or create appropriate engineering tools, identifying their limitations</v>
      </c>
      <c r="K178" s="3"/>
      <c r="L178" s="3"/>
      <c r="M178" s="3"/>
      <c r="N178" s="3"/>
      <c r="O178" s="16"/>
      <c r="P178" s="3"/>
      <c r="Q178" s="3"/>
      <c r="R178" s="3"/>
    </row>
    <row r="179" spans="1:18" x14ac:dyDescent="0.2">
      <c r="A179" s="79" t="s">
        <v>79</v>
      </c>
      <c r="B179" s="18" t="s">
        <v>71</v>
      </c>
      <c r="C179" s="18" t="s">
        <v>32</v>
      </c>
      <c r="D179" s="18" t="s">
        <v>77</v>
      </c>
      <c r="E179" s="19" t="s">
        <v>179</v>
      </c>
      <c r="F179" s="17" t="s">
        <v>520</v>
      </c>
      <c r="G179" s="17" t="str">
        <f t="shared" si="9"/>
        <v>5</v>
      </c>
      <c r="H179" s="17" t="str">
        <f t="shared" si="10"/>
        <v>b</v>
      </c>
      <c r="I179" s="20" t="str">
        <f t="shared" si="11"/>
        <v>Use of Engineering Tools</v>
      </c>
      <c r="J179" s="21" t="str">
        <f t="shared" si="12"/>
        <v>Modify and/or create appropriate engineering tools, identifying their limitations</v>
      </c>
      <c r="K179" s="3"/>
      <c r="L179" s="3"/>
      <c r="M179" s="3"/>
      <c r="N179" s="3"/>
      <c r="O179" s="16"/>
      <c r="P179" s="3"/>
      <c r="Q179" s="3"/>
      <c r="R179" s="3"/>
    </row>
    <row r="180" spans="1:18" x14ac:dyDescent="0.2">
      <c r="A180" s="79" t="s">
        <v>79</v>
      </c>
      <c r="B180" s="18" t="s">
        <v>71</v>
      </c>
      <c r="C180" s="18" t="s">
        <v>32</v>
      </c>
      <c r="D180" s="18" t="s">
        <v>77</v>
      </c>
      <c r="E180" s="19" t="s">
        <v>178</v>
      </c>
      <c r="F180" s="17" t="s">
        <v>520</v>
      </c>
      <c r="G180" s="17" t="str">
        <f t="shared" si="9"/>
        <v>5</v>
      </c>
      <c r="H180" s="17" t="str">
        <f t="shared" si="10"/>
        <v>b</v>
      </c>
      <c r="I180" s="20" t="str">
        <f t="shared" si="11"/>
        <v>Use of Engineering Tools</v>
      </c>
      <c r="J180" s="21" t="str">
        <f t="shared" si="12"/>
        <v>Modify and/or create appropriate engineering tools, identifying their limitations</v>
      </c>
      <c r="K180" s="3"/>
      <c r="L180" s="3"/>
      <c r="M180" s="3"/>
      <c r="N180" s="3"/>
      <c r="O180" s="16"/>
      <c r="P180" s="3"/>
      <c r="Q180" s="3"/>
      <c r="R180" s="3"/>
    </row>
    <row r="181" spans="1:18" x14ac:dyDescent="0.2">
      <c r="A181" s="79" t="s">
        <v>79</v>
      </c>
      <c r="B181" s="18" t="s">
        <v>71</v>
      </c>
      <c r="C181" s="18" t="s">
        <v>32</v>
      </c>
      <c r="D181" s="18" t="s">
        <v>77</v>
      </c>
      <c r="E181" s="19" t="s">
        <v>80</v>
      </c>
      <c r="F181" s="17" t="s">
        <v>528</v>
      </c>
      <c r="G181" s="17" t="str">
        <f t="shared" si="9"/>
        <v>7</v>
      </c>
      <c r="H181" s="17" t="str">
        <f t="shared" si="10"/>
        <v>b</v>
      </c>
      <c r="I181" s="20" t="str">
        <f t="shared" si="11"/>
        <v>Communication Skills</v>
      </c>
      <c r="J181" s="21" t="str">
        <f t="shared" si="12"/>
        <v>Orally present information within the profession and to society at large</v>
      </c>
      <c r="K181" s="3"/>
      <c r="L181" s="3"/>
      <c r="M181" s="3"/>
      <c r="N181" s="3"/>
      <c r="O181" s="16"/>
      <c r="P181" s="3"/>
      <c r="Q181" s="3"/>
      <c r="R181" s="3"/>
    </row>
    <row r="182" spans="1:18" x14ac:dyDescent="0.2">
      <c r="A182" s="79" t="s">
        <v>79</v>
      </c>
      <c r="B182" s="18" t="s">
        <v>71</v>
      </c>
      <c r="C182" s="18" t="s">
        <v>32</v>
      </c>
      <c r="D182" s="18" t="s">
        <v>77</v>
      </c>
      <c r="E182" s="19" t="s">
        <v>539</v>
      </c>
      <c r="F182" s="17" t="s">
        <v>530</v>
      </c>
      <c r="G182" s="17" t="str">
        <f t="shared" si="9"/>
        <v>7</v>
      </c>
      <c r="H182" s="17" t="str">
        <f t="shared" si="10"/>
        <v>a</v>
      </c>
      <c r="I182" s="20" t="str">
        <f t="shared" si="11"/>
        <v>Communication Skills</v>
      </c>
      <c r="J182" s="21" t="str">
        <f t="shared" si="12"/>
        <v>Generate appropriate documentation to communicate within the profession and to society at large</v>
      </c>
      <c r="K182" s="3"/>
      <c r="L182" s="3"/>
      <c r="M182" s="3"/>
      <c r="N182" s="3"/>
      <c r="O182" s="16"/>
      <c r="P182" s="3"/>
      <c r="Q182" s="3"/>
      <c r="R182" s="3"/>
    </row>
    <row r="183" spans="1:18" x14ac:dyDescent="0.2">
      <c r="A183" s="79" t="s">
        <v>142</v>
      </c>
      <c r="B183" s="18" t="s">
        <v>67</v>
      </c>
      <c r="C183" s="18" t="s">
        <v>32</v>
      </c>
      <c r="D183" s="18" t="s">
        <v>127</v>
      </c>
      <c r="E183" s="19" t="s">
        <v>300</v>
      </c>
      <c r="F183" s="17" t="s">
        <v>494</v>
      </c>
      <c r="G183" s="17" t="str">
        <f t="shared" si="9"/>
        <v>1</v>
      </c>
      <c r="H183" s="17" t="str">
        <f t="shared" si="10"/>
        <v>d</v>
      </c>
      <c r="I183" s="20" t="str">
        <f t="shared" si="11"/>
        <v>Knowledge base for engineering</v>
      </c>
      <c r="J183" s="21" t="str">
        <f t="shared" si="12"/>
        <v>Demonstrate understanding of specialized engineering knowledge</v>
      </c>
      <c r="K183" s="3"/>
      <c r="L183" s="3"/>
      <c r="M183" s="3"/>
      <c r="N183" s="3"/>
      <c r="O183" s="16"/>
      <c r="P183" s="3"/>
      <c r="Q183" s="3"/>
      <c r="R183" s="3"/>
    </row>
    <row r="184" spans="1:18" ht="30" x14ac:dyDescent="0.2">
      <c r="A184" s="79" t="s">
        <v>142</v>
      </c>
      <c r="B184" s="18" t="s">
        <v>67</v>
      </c>
      <c r="C184" s="18" t="s">
        <v>32</v>
      </c>
      <c r="D184" s="18" t="s">
        <v>127</v>
      </c>
      <c r="E184" s="19" t="s">
        <v>299</v>
      </c>
      <c r="F184" s="17" t="s">
        <v>494</v>
      </c>
      <c r="G184" s="17" t="str">
        <f t="shared" si="9"/>
        <v>1</v>
      </c>
      <c r="H184" s="17" t="str">
        <f t="shared" si="10"/>
        <v>d</v>
      </c>
      <c r="I184" s="20" t="str">
        <f t="shared" si="11"/>
        <v>Knowledge base for engineering</v>
      </c>
      <c r="J184" s="21" t="str">
        <f t="shared" si="12"/>
        <v>Demonstrate understanding of specialized engineering knowledge</v>
      </c>
      <c r="K184" s="3"/>
      <c r="L184" s="3"/>
      <c r="M184" s="3"/>
      <c r="N184" s="3"/>
      <c r="O184" s="16"/>
      <c r="P184" s="3"/>
      <c r="Q184" s="3"/>
      <c r="R184" s="3"/>
    </row>
    <row r="185" spans="1:18" x14ac:dyDescent="0.2">
      <c r="A185" s="79" t="s">
        <v>142</v>
      </c>
      <c r="B185" s="18" t="s">
        <v>67</v>
      </c>
      <c r="C185" s="18" t="s">
        <v>32</v>
      </c>
      <c r="D185" s="18" t="s">
        <v>127</v>
      </c>
      <c r="E185" s="19" t="s">
        <v>393</v>
      </c>
      <c r="F185" s="17" t="s">
        <v>508</v>
      </c>
      <c r="G185" s="17" t="str">
        <f t="shared" si="9"/>
        <v>2</v>
      </c>
      <c r="H185" s="17" t="str">
        <f t="shared" si="10"/>
        <v>a</v>
      </c>
      <c r="I185" s="20" t="str">
        <f t="shared" si="11"/>
        <v xml:space="preserve">Problem Analysis </v>
      </c>
      <c r="J185" s="21" t="str">
        <f t="shared" si="12"/>
        <v>Identify / define a problem</v>
      </c>
      <c r="K185" s="3"/>
      <c r="L185" s="3"/>
      <c r="M185" s="3"/>
      <c r="N185" s="3"/>
      <c r="O185" s="16"/>
      <c r="P185" s="3"/>
      <c r="Q185" s="3"/>
      <c r="R185" s="3"/>
    </row>
    <row r="186" spans="1:18" ht="30" x14ac:dyDescent="0.2">
      <c r="A186" s="79" t="s">
        <v>142</v>
      </c>
      <c r="B186" s="18" t="s">
        <v>67</v>
      </c>
      <c r="C186" s="18" t="s">
        <v>32</v>
      </c>
      <c r="D186" s="18" t="s">
        <v>127</v>
      </c>
      <c r="E186" s="19" t="s">
        <v>394</v>
      </c>
      <c r="F186" s="17" t="s">
        <v>508</v>
      </c>
      <c r="G186" s="17" t="str">
        <f t="shared" si="9"/>
        <v>2</v>
      </c>
      <c r="H186" s="17" t="str">
        <f t="shared" si="10"/>
        <v>a</v>
      </c>
      <c r="I186" s="20" t="str">
        <f t="shared" si="11"/>
        <v xml:space="preserve">Problem Analysis </v>
      </c>
      <c r="J186" s="21" t="str">
        <f t="shared" si="12"/>
        <v>Identify / define a problem</v>
      </c>
      <c r="K186" s="3"/>
      <c r="L186" s="3"/>
      <c r="M186" s="3"/>
      <c r="N186" s="3"/>
      <c r="O186" s="16"/>
      <c r="P186" s="3"/>
      <c r="Q186" s="3"/>
      <c r="R186" s="3"/>
    </row>
    <row r="187" spans="1:18" ht="30" x14ac:dyDescent="0.2">
      <c r="A187" s="79" t="s">
        <v>142</v>
      </c>
      <c r="B187" s="18" t="s">
        <v>67</v>
      </c>
      <c r="C187" s="18" t="s">
        <v>32</v>
      </c>
      <c r="D187" s="18" t="s">
        <v>127</v>
      </c>
      <c r="E187" s="19" t="s">
        <v>396</v>
      </c>
      <c r="F187" s="17" t="s">
        <v>510</v>
      </c>
      <c r="G187" s="17" t="str">
        <f t="shared" si="9"/>
        <v>2</v>
      </c>
      <c r="H187" s="17" t="str">
        <f t="shared" si="10"/>
        <v>c</v>
      </c>
      <c r="I187" s="20" t="str">
        <f t="shared" si="11"/>
        <v xml:space="preserve">Problem Analysis </v>
      </c>
      <c r="J187" s="21" t="str">
        <f t="shared" si="12"/>
        <v>Evaluate solutions of complex engineering problems to reach substantiated conclusions</v>
      </c>
      <c r="K187" s="3"/>
      <c r="L187" s="3"/>
      <c r="M187" s="3"/>
      <c r="N187" s="3"/>
      <c r="O187" s="16"/>
      <c r="P187" s="3"/>
      <c r="Q187" s="3"/>
      <c r="R187" s="3"/>
    </row>
    <row r="188" spans="1:18" x14ac:dyDescent="0.2">
      <c r="A188" s="79" t="s">
        <v>142</v>
      </c>
      <c r="B188" s="18" t="s">
        <v>67</v>
      </c>
      <c r="C188" s="18" t="s">
        <v>32</v>
      </c>
      <c r="D188" s="18" t="s">
        <v>127</v>
      </c>
      <c r="E188" s="19" t="s">
        <v>395</v>
      </c>
      <c r="F188" s="17" t="s">
        <v>510</v>
      </c>
      <c r="G188" s="17" t="str">
        <f t="shared" si="9"/>
        <v>2</v>
      </c>
      <c r="H188" s="17" t="str">
        <f t="shared" si="10"/>
        <v>c</v>
      </c>
      <c r="I188" s="20" t="str">
        <f t="shared" si="11"/>
        <v xml:space="preserve">Problem Analysis </v>
      </c>
      <c r="J188" s="21" t="str">
        <f t="shared" si="12"/>
        <v>Evaluate solutions of complex engineering problems to reach substantiated conclusions</v>
      </c>
      <c r="K188" s="3"/>
      <c r="L188" s="3"/>
      <c r="M188" s="3"/>
      <c r="N188" s="3"/>
      <c r="O188" s="16"/>
      <c r="P188" s="3"/>
      <c r="Q188" s="3"/>
      <c r="R188" s="3"/>
    </row>
    <row r="189" spans="1:18" x14ac:dyDescent="0.2">
      <c r="A189" s="79" t="s">
        <v>142</v>
      </c>
      <c r="B189" s="18" t="s">
        <v>67</v>
      </c>
      <c r="C189" s="18" t="s">
        <v>32</v>
      </c>
      <c r="D189" s="18" t="s">
        <v>127</v>
      </c>
      <c r="E189" s="19" t="s">
        <v>143</v>
      </c>
      <c r="F189" s="17" t="s">
        <v>515</v>
      </c>
      <c r="G189" s="17" t="str">
        <f t="shared" si="9"/>
        <v>4</v>
      </c>
      <c r="H189" s="17" t="str">
        <f t="shared" si="10"/>
        <v>a</v>
      </c>
      <c r="I189" s="20" t="str">
        <f t="shared" si="11"/>
        <v>Design</v>
      </c>
      <c r="J189" s="21" t="str">
        <f t="shared" si="12"/>
        <v>Follow an engineering design methodology</v>
      </c>
      <c r="K189" s="3"/>
      <c r="L189" s="3"/>
      <c r="M189" s="3"/>
      <c r="N189" s="3"/>
      <c r="O189" s="16"/>
      <c r="P189" s="3"/>
      <c r="Q189" s="3"/>
      <c r="R189" s="3"/>
    </row>
    <row r="190" spans="1:18" x14ac:dyDescent="0.2">
      <c r="A190" s="79" t="s">
        <v>142</v>
      </c>
      <c r="B190" s="18" t="s">
        <v>67</v>
      </c>
      <c r="C190" s="18" t="s">
        <v>32</v>
      </c>
      <c r="D190" s="18" t="s">
        <v>127</v>
      </c>
      <c r="E190" s="19" t="s">
        <v>144</v>
      </c>
      <c r="F190" s="17" t="s">
        <v>516</v>
      </c>
      <c r="G190" s="17" t="str">
        <f t="shared" si="9"/>
        <v>4</v>
      </c>
      <c r="H190" s="17" t="str">
        <f t="shared" si="10"/>
        <v>b</v>
      </c>
      <c r="I190" s="20" t="str">
        <f t="shared" si="11"/>
        <v>Design</v>
      </c>
      <c r="J190" s="21" t="str">
        <f t="shared" si="12"/>
        <v>Generate and implement solutions to complex open-ended problems</v>
      </c>
      <c r="K190" s="3"/>
      <c r="L190" s="3"/>
      <c r="M190" s="3"/>
      <c r="N190" s="3"/>
      <c r="O190" s="16"/>
      <c r="P190" s="3"/>
      <c r="Q190" s="3"/>
      <c r="R190" s="3"/>
    </row>
    <row r="191" spans="1:18" x14ac:dyDescent="0.2">
      <c r="A191" s="79" t="s">
        <v>142</v>
      </c>
      <c r="B191" s="18" t="s">
        <v>67</v>
      </c>
      <c r="C191" s="18" t="s">
        <v>32</v>
      </c>
      <c r="D191" s="18" t="s">
        <v>127</v>
      </c>
      <c r="E191" s="19" t="s">
        <v>183</v>
      </c>
      <c r="F191" s="17" t="s">
        <v>518</v>
      </c>
      <c r="G191" s="17" t="str">
        <f t="shared" si="9"/>
        <v>5</v>
      </c>
      <c r="H191" s="17" t="str">
        <f t="shared" si="10"/>
        <v>a</v>
      </c>
      <c r="I191" s="20" t="str">
        <f t="shared" si="11"/>
        <v>Use of Engineering Tools</v>
      </c>
      <c r="J191" s="21" t="str">
        <f t="shared" si="12"/>
        <v>Select appropriate engineering tools8, considering their limitations</v>
      </c>
      <c r="K191" s="3"/>
      <c r="L191" s="3"/>
      <c r="M191" s="3"/>
      <c r="N191" s="3"/>
      <c r="O191" s="16"/>
      <c r="P191" s="3"/>
      <c r="Q191" s="3"/>
      <c r="R191" s="3"/>
    </row>
    <row r="192" spans="1:18" x14ac:dyDescent="0.2">
      <c r="A192" s="79" t="s">
        <v>142</v>
      </c>
      <c r="B192" s="18" t="s">
        <v>67</v>
      </c>
      <c r="C192" s="18" t="s">
        <v>32</v>
      </c>
      <c r="D192" s="18" t="s">
        <v>127</v>
      </c>
      <c r="E192" s="19" t="s">
        <v>181</v>
      </c>
      <c r="F192" s="81" t="s">
        <v>524</v>
      </c>
      <c r="G192" s="17" t="str">
        <f t="shared" si="9"/>
        <v>5</v>
      </c>
      <c r="H192" s="17" t="str">
        <f t="shared" si="10"/>
        <v>c</v>
      </c>
      <c r="I192" s="20" t="str">
        <f t="shared" si="11"/>
        <v>Use of Engineering Tools</v>
      </c>
      <c r="J192" s="21" t="str">
        <f t="shared" si="12"/>
        <v>Use appropriate engineering tools</v>
      </c>
      <c r="K192" s="3"/>
      <c r="L192" s="3"/>
      <c r="M192" s="3"/>
      <c r="N192" s="3"/>
      <c r="O192" s="16"/>
      <c r="P192" s="3"/>
      <c r="Q192" s="3"/>
      <c r="R192" s="3"/>
    </row>
    <row r="193" spans="1:18" x14ac:dyDescent="0.2">
      <c r="A193" s="79" t="s">
        <v>142</v>
      </c>
      <c r="B193" s="18" t="s">
        <v>67</v>
      </c>
      <c r="C193" s="18" t="s">
        <v>32</v>
      </c>
      <c r="D193" s="18" t="s">
        <v>127</v>
      </c>
      <c r="E193" s="19" t="s">
        <v>182</v>
      </c>
      <c r="F193" s="81" t="s">
        <v>524</v>
      </c>
      <c r="G193" s="17" t="str">
        <f t="shared" si="9"/>
        <v>5</v>
      </c>
      <c r="H193" s="17" t="str">
        <f t="shared" si="10"/>
        <v>c</v>
      </c>
      <c r="I193" s="20" t="str">
        <f t="shared" si="11"/>
        <v>Use of Engineering Tools</v>
      </c>
      <c r="J193" s="21" t="str">
        <f t="shared" si="12"/>
        <v>Use appropriate engineering tools</v>
      </c>
      <c r="K193" s="3"/>
      <c r="L193" s="3"/>
      <c r="M193" s="3"/>
      <c r="N193" s="3"/>
      <c r="O193" s="16"/>
      <c r="P193" s="3"/>
      <c r="Q193" s="3"/>
      <c r="R193" s="3"/>
    </row>
    <row r="194" spans="1:18" x14ac:dyDescent="0.2">
      <c r="A194" s="79" t="s">
        <v>142</v>
      </c>
      <c r="B194" s="18" t="s">
        <v>67</v>
      </c>
      <c r="C194" s="18" t="s">
        <v>32</v>
      </c>
      <c r="D194" s="18" t="s">
        <v>127</v>
      </c>
      <c r="E194" s="19" t="s">
        <v>445</v>
      </c>
      <c r="F194" s="17" t="s">
        <v>526</v>
      </c>
      <c r="G194" s="17" t="str">
        <f t="shared" ref="G194:G257" si="13">IF(LEN(F194)=2,LEFT(F194,1),LEFT(F194,2))</f>
        <v>6</v>
      </c>
      <c r="H194" s="17" t="str">
        <f t="shared" ref="H194:H257" si="14">RIGHT(F194,1)</f>
        <v>a</v>
      </c>
      <c r="I194" s="20" t="str">
        <f t="shared" ref="I194:I257" si="15">IFERROR(VLOOKUP(F194,$N$2:$Q$39,4,FALSE),0)</f>
        <v>Individual and team work</v>
      </c>
      <c r="J194" s="21" t="str">
        <f t="shared" ref="J194:J257" si="16">IFERROR(VLOOKUP(F194,$N$2:$O$39,2,FALSE),0)</f>
        <v>Contribute as an active team member or leader to complete individual tasks</v>
      </c>
      <c r="K194" s="3"/>
      <c r="L194" s="3"/>
      <c r="M194" s="3"/>
      <c r="N194" s="3"/>
      <c r="O194" s="16"/>
      <c r="P194" s="3"/>
      <c r="Q194" s="3"/>
      <c r="R194" s="3"/>
    </row>
    <row r="195" spans="1:18" x14ac:dyDescent="0.2">
      <c r="A195" s="79" t="s">
        <v>142</v>
      </c>
      <c r="B195" s="18" t="s">
        <v>67</v>
      </c>
      <c r="C195" s="18" t="s">
        <v>32</v>
      </c>
      <c r="D195" s="18" t="s">
        <v>127</v>
      </c>
      <c r="E195" s="19" t="s">
        <v>444</v>
      </c>
      <c r="F195" s="17" t="s">
        <v>526</v>
      </c>
      <c r="G195" s="17" t="str">
        <f t="shared" si="13"/>
        <v>6</v>
      </c>
      <c r="H195" s="17" t="str">
        <f t="shared" si="14"/>
        <v>a</v>
      </c>
      <c r="I195" s="20" t="str">
        <f t="shared" si="15"/>
        <v>Individual and team work</v>
      </c>
      <c r="J195" s="21" t="str">
        <f t="shared" si="16"/>
        <v>Contribute as an active team member or leader to complete individual tasks</v>
      </c>
      <c r="K195" s="3"/>
      <c r="L195" s="3"/>
      <c r="M195" s="3"/>
      <c r="N195" s="3"/>
      <c r="O195" s="16"/>
      <c r="P195" s="3"/>
      <c r="Q195" s="3"/>
      <c r="R195" s="3"/>
    </row>
    <row r="196" spans="1:18" x14ac:dyDescent="0.2">
      <c r="A196" s="79" t="s">
        <v>142</v>
      </c>
      <c r="B196" s="18" t="s">
        <v>67</v>
      </c>
      <c r="C196" s="18" t="s">
        <v>32</v>
      </c>
      <c r="D196" s="18" t="s">
        <v>127</v>
      </c>
      <c r="E196" s="19" t="s">
        <v>443</v>
      </c>
      <c r="F196" s="17" t="s">
        <v>526</v>
      </c>
      <c r="G196" s="17" t="str">
        <f t="shared" si="13"/>
        <v>6</v>
      </c>
      <c r="H196" s="17" t="str">
        <f t="shared" si="14"/>
        <v>a</v>
      </c>
      <c r="I196" s="20" t="str">
        <f t="shared" si="15"/>
        <v>Individual and team work</v>
      </c>
      <c r="J196" s="21" t="str">
        <f t="shared" si="16"/>
        <v>Contribute as an active team member or leader to complete individual tasks</v>
      </c>
      <c r="K196" s="3"/>
      <c r="L196" s="3"/>
      <c r="M196" s="3"/>
      <c r="N196" s="3"/>
      <c r="O196" s="16"/>
      <c r="P196" s="3"/>
      <c r="Q196" s="3"/>
      <c r="R196" s="3"/>
    </row>
    <row r="197" spans="1:18" x14ac:dyDescent="0.2">
      <c r="A197" s="79" t="s">
        <v>142</v>
      </c>
      <c r="B197" s="18" t="s">
        <v>67</v>
      </c>
      <c r="C197" s="18" t="s">
        <v>32</v>
      </c>
      <c r="D197" s="18" t="s">
        <v>127</v>
      </c>
      <c r="E197" s="19" t="s">
        <v>446</v>
      </c>
      <c r="F197" s="17" t="s">
        <v>527</v>
      </c>
      <c r="G197" s="17" t="str">
        <f t="shared" si="13"/>
        <v>6</v>
      </c>
      <c r="H197" s="17" t="str">
        <f t="shared" si="14"/>
        <v>b</v>
      </c>
      <c r="I197" s="20" t="str">
        <f t="shared" si="15"/>
        <v>Individual and team work</v>
      </c>
      <c r="J197" s="21" t="str">
        <f t="shared" si="16"/>
        <v>Collaborate with others to complete tasks effectively as a team</v>
      </c>
      <c r="K197" s="3"/>
      <c r="L197" s="3"/>
      <c r="M197" s="3"/>
      <c r="N197" s="3"/>
      <c r="O197" s="16"/>
      <c r="P197" s="3"/>
      <c r="Q197" s="3"/>
      <c r="R197" s="3"/>
    </row>
    <row r="198" spans="1:18" x14ac:dyDescent="0.2">
      <c r="A198" s="79" t="s">
        <v>142</v>
      </c>
      <c r="B198" s="18" t="s">
        <v>67</v>
      </c>
      <c r="C198" s="18" t="s">
        <v>32</v>
      </c>
      <c r="D198" s="18" t="s">
        <v>127</v>
      </c>
      <c r="E198" s="19" t="s">
        <v>448</v>
      </c>
      <c r="F198" s="17" t="s">
        <v>527</v>
      </c>
      <c r="G198" s="17" t="str">
        <f t="shared" si="13"/>
        <v>6</v>
      </c>
      <c r="H198" s="17" t="str">
        <f t="shared" si="14"/>
        <v>b</v>
      </c>
      <c r="I198" s="20" t="str">
        <f t="shared" si="15"/>
        <v>Individual and team work</v>
      </c>
      <c r="J198" s="21" t="str">
        <f t="shared" si="16"/>
        <v>Collaborate with others to complete tasks effectively as a team</v>
      </c>
      <c r="K198" s="3"/>
      <c r="L198" s="3"/>
      <c r="M198" s="3"/>
      <c r="N198" s="3"/>
      <c r="O198" s="16"/>
      <c r="P198" s="3"/>
      <c r="Q198" s="3"/>
      <c r="R198" s="3"/>
    </row>
    <row r="199" spans="1:18" x14ac:dyDescent="0.2">
      <c r="A199" s="79" t="s">
        <v>142</v>
      </c>
      <c r="B199" s="18" t="s">
        <v>67</v>
      </c>
      <c r="C199" s="18" t="s">
        <v>32</v>
      </c>
      <c r="D199" s="18" t="s">
        <v>127</v>
      </c>
      <c r="E199" s="19" t="s">
        <v>447</v>
      </c>
      <c r="F199" s="17" t="s">
        <v>527</v>
      </c>
      <c r="G199" s="17" t="str">
        <f t="shared" si="13"/>
        <v>6</v>
      </c>
      <c r="H199" s="17" t="str">
        <f t="shared" si="14"/>
        <v>b</v>
      </c>
      <c r="I199" s="20" t="str">
        <f t="shared" si="15"/>
        <v>Individual and team work</v>
      </c>
      <c r="J199" s="21" t="str">
        <f t="shared" si="16"/>
        <v>Collaborate with others to complete tasks effectively as a team</v>
      </c>
      <c r="K199" s="3"/>
      <c r="L199" s="3"/>
      <c r="M199" s="3"/>
      <c r="N199" s="3"/>
      <c r="O199" s="16"/>
      <c r="P199" s="3"/>
      <c r="Q199" s="3"/>
      <c r="R199" s="3"/>
    </row>
    <row r="200" spans="1:18" x14ac:dyDescent="0.2">
      <c r="A200" s="79" t="s">
        <v>81</v>
      </c>
      <c r="B200" s="18" t="s">
        <v>74</v>
      </c>
      <c r="C200" s="18" t="s">
        <v>32</v>
      </c>
      <c r="D200" s="18" t="s">
        <v>75</v>
      </c>
      <c r="E200" s="19" t="s">
        <v>301</v>
      </c>
      <c r="F200" s="17" t="s">
        <v>494</v>
      </c>
      <c r="G200" s="17" t="str">
        <f t="shared" si="13"/>
        <v>1</v>
      </c>
      <c r="H200" s="17" t="str">
        <f t="shared" si="14"/>
        <v>d</v>
      </c>
      <c r="I200" s="20" t="str">
        <f t="shared" si="15"/>
        <v>Knowledge base for engineering</v>
      </c>
      <c r="J200" s="21" t="str">
        <f t="shared" si="16"/>
        <v>Demonstrate understanding of specialized engineering knowledge</v>
      </c>
      <c r="K200" s="3"/>
      <c r="L200" s="3"/>
      <c r="M200" s="3"/>
      <c r="N200" s="3"/>
      <c r="O200" s="16"/>
      <c r="P200" s="3"/>
      <c r="Q200" s="3"/>
      <c r="R200" s="3"/>
    </row>
    <row r="201" spans="1:18" x14ac:dyDescent="0.2">
      <c r="A201" s="79" t="s">
        <v>81</v>
      </c>
      <c r="B201" s="18" t="s">
        <v>74</v>
      </c>
      <c r="C201" s="18" t="s">
        <v>32</v>
      </c>
      <c r="D201" s="18" t="s">
        <v>75</v>
      </c>
      <c r="E201" s="19" t="s">
        <v>397</v>
      </c>
      <c r="F201" s="17" t="s">
        <v>510</v>
      </c>
      <c r="G201" s="17" t="str">
        <f t="shared" si="13"/>
        <v>2</v>
      </c>
      <c r="H201" s="17" t="str">
        <f t="shared" si="14"/>
        <v>c</v>
      </c>
      <c r="I201" s="20" t="str">
        <f t="shared" si="15"/>
        <v xml:space="preserve">Problem Analysis </v>
      </c>
      <c r="J201" s="21" t="str">
        <f t="shared" si="16"/>
        <v>Evaluate solutions of complex engineering problems to reach substantiated conclusions</v>
      </c>
      <c r="K201" s="3"/>
      <c r="L201" s="3"/>
      <c r="M201" s="3"/>
      <c r="N201" s="3"/>
      <c r="O201" s="16"/>
      <c r="P201" s="3"/>
      <c r="Q201" s="3"/>
      <c r="R201" s="3"/>
    </row>
    <row r="202" spans="1:18" x14ac:dyDescent="0.2">
      <c r="A202" s="79" t="s">
        <v>81</v>
      </c>
      <c r="B202" s="18" t="s">
        <v>74</v>
      </c>
      <c r="C202" s="18" t="s">
        <v>32</v>
      </c>
      <c r="D202" s="18" t="s">
        <v>75</v>
      </c>
      <c r="E202" s="19" t="s">
        <v>145</v>
      </c>
      <c r="F202" s="17" t="s">
        <v>516</v>
      </c>
      <c r="G202" s="17" t="str">
        <f t="shared" si="13"/>
        <v>4</v>
      </c>
      <c r="H202" s="17" t="str">
        <f t="shared" si="14"/>
        <v>b</v>
      </c>
      <c r="I202" s="20" t="str">
        <f t="shared" si="15"/>
        <v>Design</v>
      </c>
      <c r="J202" s="21" t="str">
        <f t="shared" si="16"/>
        <v>Generate and implement solutions to complex open-ended problems</v>
      </c>
      <c r="K202" s="3"/>
      <c r="L202" s="3"/>
      <c r="M202" s="3"/>
      <c r="N202" s="3"/>
      <c r="O202" s="16"/>
      <c r="P202" s="3"/>
      <c r="Q202" s="3"/>
      <c r="R202" s="3"/>
    </row>
    <row r="203" spans="1:18" x14ac:dyDescent="0.2">
      <c r="A203" s="79" t="s">
        <v>81</v>
      </c>
      <c r="B203" s="18" t="s">
        <v>74</v>
      </c>
      <c r="C203" s="18" t="s">
        <v>32</v>
      </c>
      <c r="D203" s="18" t="s">
        <v>75</v>
      </c>
      <c r="E203" s="19" t="s">
        <v>58</v>
      </c>
      <c r="F203" s="81" t="s">
        <v>524</v>
      </c>
      <c r="G203" s="17" t="str">
        <f t="shared" si="13"/>
        <v>5</v>
      </c>
      <c r="H203" s="17" t="str">
        <f t="shared" si="14"/>
        <v>c</v>
      </c>
      <c r="I203" s="20" t="str">
        <f t="shared" si="15"/>
        <v>Use of Engineering Tools</v>
      </c>
      <c r="J203" s="21" t="str">
        <f t="shared" si="16"/>
        <v>Use appropriate engineering tools</v>
      </c>
      <c r="K203" s="3"/>
      <c r="L203" s="3"/>
      <c r="M203" s="3"/>
      <c r="N203" s="3"/>
      <c r="O203" s="16"/>
      <c r="P203" s="3"/>
      <c r="Q203" s="3"/>
      <c r="R203" s="3"/>
    </row>
    <row r="204" spans="1:18" x14ac:dyDescent="0.2">
      <c r="A204" s="79" t="s">
        <v>81</v>
      </c>
      <c r="B204" s="18" t="s">
        <v>74</v>
      </c>
      <c r="C204" s="18" t="s">
        <v>32</v>
      </c>
      <c r="D204" s="18" t="s">
        <v>75</v>
      </c>
      <c r="E204" s="19" t="s">
        <v>184</v>
      </c>
      <c r="F204" s="81" t="s">
        <v>524</v>
      </c>
      <c r="G204" s="17" t="str">
        <f t="shared" si="13"/>
        <v>5</v>
      </c>
      <c r="H204" s="17" t="str">
        <f t="shared" si="14"/>
        <v>c</v>
      </c>
      <c r="I204" s="20" t="str">
        <f t="shared" si="15"/>
        <v>Use of Engineering Tools</v>
      </c>
      <c r="J204" s="21" t="str">
        <f t="shared" si="16"/>
        <v>Use appropriate engineering tools</v>
      </c>
      <c r="K204" s="3"/>
      <c r="L204" s="3"/>
      <c r="M204" s="3"/>
      <c r="N204" s="3"/>
      <c r="O204" s="16"/>
      <c r="P204" s="3"/>
      <c r="Q204" s="3"/>
      <c r="R204" s="3"/>
    </row>
    <row r="205" spans="1:18" x14ac:dyDescent="0.2">
      <c r="A205" s="79" t="s">
        <v>81</v>
      </c>
      <c r="B205" s="18" t="s">
        <v>74</v>
      </c>
      <c r="C205" s="18" t="s">
        <v>32</v>
      </c>
      <c r="D205" s="18" t="s">
        <v>75</v>
      </c>
      <c r="E205" s="19" t="s">
        <v>535</v>
      </c>
      <c r="F205" s="17" t="s">
        <v>516</v>
      </c>
      <c r="G205" s="17" t="str">
        <f t="shared" si="13"/>
        <v>4</v>
      </c>
      <c r="H205" s="17" t="str">
        <f t="shared" si="14"/>
        <v>b</v>
      </c>
      <c r="I205" s="20" t="str">
        <f t="shared" si="15"/>
        <v>Design</v>
      </c>
      <c r="J205" s="21" t="str">
        <f t="shared" si="16"/>
        <v>Generate and implement solutions to complex open-ended problems</v>
      </c>
      <c r="K205" s="3"/>
      <c r="L205" s="3"/>
      <c r="M205" s="3"/>
      <c r="N205" s="3"/>
      <c r="O205" s="16"/>
      <c r="P205" s="3"/>
      <c r="Q205" s="3"/>
      <c r="R205" s="3"/>
    </row>
    <row r="206" spans="1:18" x14ac:dyDescent="0.2">
      <c r="A206" s="79" t="s">
        <v>81</v>
      </c>
      <c r="B206" s="18" t="s">
        <v>74</v>
      </c>
      <c r="C206" s="18" t="s">
        <v>32</v>
      </c>
      <c r="D206" s="18" t="s">
        <v>75</v>
      </c>
      <c r="E206" s="19" t="s">
        <v>82</v>
      </c>
      <c r="F206" s="17" t="s">
        <v>530</v>
      </c>
      <c r="G206" s="17" t="str">
        <f t="shared" si="13"/>
        <v>7</v>
      </c>
      <c r="H206" s="17" t="str">
        <f t="shared" si="14"/>
        <v>a</v>
      </c>
      <c r="I206" s="20" t="str">
        <f t="shared" si="15"/>
        <v>Communication Skills</v>
      </c>
      <c r="J206" s="21" t="str">
        <f t="shared" si="16"/>
        <v>Generate appropriate documentation to communicate within the profession and to society at large</v>
      </c>
      <c r="K206" s="3"/>
      <c r="L206" s="3"/>
      <c r="M206" s="3"/>
      <c r="N206" s="3"/>
      <c r="O206" s="16"/>
      <c r="P206" s="3"/>
      <c r="Q206" s="3"/>
      <c r="R206" s="3"/>
    </row>
    <row r="207" spans="1:18" x14ac:dyDescent="0.2">
      <c r="A207" s="79" t="s">
        <v>81</v>
      </c>
      <c r="B207" s="18" t="s">
        <v>74</v>
      </c>
      <c r="C207" s="18" t="s">
        <v>32</v>
      </c>
      <c r="D207" s="18" t="s">
        <v>75</v>
      </c>
      <c r="E207" s="19" t="s">
        <v>83</v>
      </c>
      <c r="F207" s="17" t="s">
        <v>530</v>
      </c>
      <c r="G207" s="17" t="str">
        <f t="shared" si="13"/>
        <v>7</v>
      </c>
      <c r="H207" s="17" t="str">
        <f t="shared" si="14"/>
        <v>a</v>
      </c>
      <c r="I207" s="20" t="str">
        <f t="shared" si="15"/>
        <v>Communication Skills</v>
      </c>
      <c r="J207" s="21" t="str">
        <f t="shared" si="16"/>
        <v>Generate appropriate documentation to communicate within the profession and to society at large</v>
      </c>
      <c r="K207" s="3"/>
      <c r="L207" s="3"/>
      <c r="M207" s="3"/>
      <c r="N207" s="3"/>
      <c r="O207" s="16"/>
      <c r="P207" s="3"/>
      <c r="Q207" s="3"/>
      <c r="R207" s="3"/>
    </row>
    <row r="208" spans="1:18" x14ac:dyDescent="0.2">
      <c r="A208" s="79" t="s">
        <v>84</v>
      </c>
      <c r="B208" s="18" t="s">
        <v>74</v>
      </c>
      <c r="C208" s="18" t="s">
        <v>32</v>
      </c>
      <c r="D208" s="18" t="s">
        <v>85</v>
      </c>
      <c r="E208" s="19" t="s">
        <v>197</v>
      </c>
      <c r="F208" s="17" t="s">
        <v>495</v>
      </c>
      <c r="G208" s="17" t="str">
        <f t="shared" si="13"/>
        <v>10</v>
      </c>
      <c r="H208" s="17" t="str">
        <f t="shared" si="14"/>
        <v>a</v>
      </c>
      <c r="I208" s="20" t="str">
        <f t="shared" si="15"/>
        <v>Ethics and equity</v>
      </c>
      <c r="J208" s="21" t="str">
        <f t="shared" si="16"/>
        <v>Identify ethical and unethical behaviour in professional situations</v>
      </c>
      <c r="K208" s="3"/>
      <c r="L208" s="3"/>
      <c r="M208" s="3"/>
      <c r="N208" s="3"/>
      <c r="O208" s="16"/>
      <c r="P208" s="3"/>
      <c r="Q208" s="3"/>
      <c r="R208" s="3"/>
    </row>
    <row r="209" spans="1:18" x14ac:dyDescent="0.2">
      <c r="A209" s="79" t="s">
        <v>84</v>
      </c>
      <c r="B209" s="18" t="s">
        <v>74</v>
      </c>
      <c r="C209" s="18" t="s">
        <v>32</v>
      </c>
      <c r="D209" s="18" t="s">
        <v>85</v>
      </c>
      <c r="E209" s="19" t="s">
        <v>497</v>
      </c>
      <c r="F209" s="81" t="s">
        <v>498</v>
      </c>
      <c r="G209" s="17" t="str">
        <f t="shared" si="13"/>
        <v>11</v>
      </c>
      <c r="H209" s="17" t="str">
        <f t="shared" si="14"/>
        <v>a</v>
      </c>
      <c r="I209" s="20" t="str">
        <f t="shared" si="15"/>
        <v>Economics and project management</v>
      </c>
      <c r="J209" s="21" t="str">
        <f t="shared" si="16"/>
        <v>Apply project management techniques in engineering projects, with attention to risk, and change</v>
      </c>
      <c r="K209" s="3"/>
      <c r="L209" s="3"/>
      <c r="M209" s="3"/>
      <c r="N209" s="3"/>
      <c r="O209" s="16"/>
      <c r="P209" s="3"/>
      <c r="Q209" s="3"/>
      <c r="R209" s="3"/>
    </row>
    <row r="210" spans="1:18" x14ac:dyDescent="0.2">
      <c r="A210" s="79" t="s">
        <v>84</v>
      </c>
      <c r="B210" s="18" t="s">
        <v>74</v>
      </c>
      <c r="C210" s="18" t="s">
        <v>32</v>
      </c>
      <c r="D210" s="18" t="s">
        <v>85</v>
      </c>
      <c r="E210" s="19" t="s">
        <v>499</v>
      </c>
      <c r="F210" s="81" t="s">
        <v>498</v>
      </c>
      <c r="G210" s="17" t="str">
        <f t="shared" si="13"/>
        <v>11</v>
      </c>
      <c r="H210" s="17" t="str">
        <f t="shared" si="14"/>
        <v>a</v>
      </c>
      <c r="I210" s="20" t="str">
        <f t="shared" si="15"/>
        <v>Economics and project management</v>
      </c>
      <c r="J210" s="21" t="str">
        <f t="shared" si="16"/>
        <v>Apply project management techniques in engineering projects, with attention to risk, and change</v>
      </c>
      <c r="K210" s="3"/>
      <c r="L210" s="3"/>
      <c r="M210" s="3"/>
      <c r="N210" s="3"/>
      <c r="O210" s="16"/>
      <c r="P210" s="3"/>
      <c r="Q210" s="3"/>
      <c r="R210" s="3"/>
    </row>
    <row r="211" spans="1:18" x14ac:dyDescent="0.2">
      <c r="A211" s="79" t="s">
        <v>84</v>
      </c>
      <c r="B211" s="18" t="s">
        <v>74</v>
      </c>
      <c r="C211" s="18" t="s">
        <v>32</v>
      </c>
      <c r="D211" s="18" t="s">
        <v>85</v>
      </c>
      <c r="E211" s="19" t="s">
        <v>502</v>
      </c>
      <c r="F211" s="81" t="s">
        <v>503</v>
      </c>
      <c r="G211" s="17" t="str">
        <f t="shared" si="13"/>
        <v>11</v>
      </c>
      <c r="H211" s="17" t="str">
        <f t="shared" si="14"/>
        <v>b</v>
      </c>
      <c r="I211" s="20" t="str">
        <f t="shared" si="15"/>
        <v>Economics and project management</v>
      </c>
      <c r="J211" s="21" t="str">
        <f t="shared" si="16"/>
        <v>Perform economic analyses of engineering projects with attention to uncertainty and limitations</v>
      </c>
      <c r="K211" s="3"/>
      <c r="L211" s="3"/>
      <c r="M211" s="3"/>
      <c r="N211" s="3"/>
      <c r="O211" s="16"/>
      <c r="P211" s="3"/>
      <c r="Q211" s="3"/>
      <c r="R211" s="3"/>
    </row>
    <row r="212" spans="1:18" x14ac:dyDescent="0.2">
      <c r="A212" s="79" t="s">
        <v>84</v>
      </c>
      <c r="B212" s="18" t="s">
        <v>74</v>
      </c>
      <c r="C212" s="18" t="s">
        <v>32</v>
      </c>
      <c r="D212" s="18" t="s">
        <v>85</v>
      </c>
      <c r="E212" s="19" t="s">
        <v>343</v>
      </c>
      <c r="F212" s="17" t="s">
        <v>505</v>
      </c>
      <c r="G212" s="17" t="str">
        <f t="shared" si="13"/>
        <v>12</v>
      </c>
      <c r="H212" s="17" t="str">
        <f t="shared" si="14"/>
        <v>a</v>
      </c>
      <c r="I212" s="20" t="str">
        <f t="shared" si="15"/>
        <v>Life-long learning</v>
      </c>
      <c r="J212" s="21" t="str">
        <f t="shared" si="16"/>
        <v>Identify gaps in their knowledge, skills and abilities</v>
      </c>
      <c r="K212" s="3"/>
      <c r="L212" s="3"/>
      <c r="M212" s="3"/>
      <c r="N212" s="3"/>
      <c r="O212" s="16"/>
      <c r="P212" s="3"/>
      <c r="Q212" s="3"/>
      <c r="R212" s="3"/>
    </row>
    <row r="213" spans="1:18" x14ac:dyDescent="0.2">
      <c r="A213" s="79" t="s">
        <v>84</v>
      </c>
      <c r="B213" s="18" t="s">
        <v>74</v>
      </c>
      <c r="C213" s="18" t="s">
        <v>32</v>
      </c>
      <c r="D213" s="18" t="s">
        <v>85</v>
      </c>
      <c r="E213" s="19" t="s">
        <v>346</v>
      </c>
      <c r="F213" s="81" t="s">
        <v>506</v>
      </c>
      <c r="G213" s="17" t="str">
        <f t="shared" si="13"/>
        <v>12</v>
      </c>
      <c r="H213" s="17" t="str">
        <f t="shared" si="14"/>
        <v>b</v>
      </c>
      <c r="I213" s="20" t="str">
        <f t="shared" si="15"/>
        <v>Life-long learning</v>
      </c>
      <c r="J213" s="21" t="str">
        <f t="shared" si="16"/>
        <v>Obtain and evaluate information or training from appropriate sources</v>
      </c>
      <c r="K213" s="3"/>
      <c r="L213" s="3"/>
      <c r="M213" s="3"/>
      <c r="N213" s="3"/>
      <c r="O213" s="16"/>
      <c r="P213" s="3"/>
      <c r="Q213" s="3"/>
      <c r="R213" s="3"/>
    </row>
    <row r="214" spans="1:18" x14ac:dyDescent="0.2">
      <c r="A214" s="79" t="s">
        <v>84</v>
      </c>
      <c r="B214" s="18" t="s">
        <v>74</v>
      </c>
      <c r="C214" s="18" t="s">
        <v>32</v>
      </c>
      <c r="D214" s="18" t="s">
        <v>85</v>
      </c>
      <c r="E214" s="19" t="s">
        <v>344</v>
      </c>
      <c r="F214" s="17" t="s">
        <v>506</v>
      </c>
      <c r="G214" s="17" t="str">
        <f t="shared" si="13"/>
        <v>12</v>
      </c>
      <c r="H214" s="17" t="str">
        <f t="shared" si="14"/>
        <v>b</v>
      </c>
      <c r="I214" s="20" t="str">
        <f t="shared" si="15"/>
        <v>Life-long learning</v>
      </c>
      <c r="J214" s="21" t="str">
        <f t="shared" si="16"/>
        <v>Obtain and evaluate information or training from appropriate sources</v>
      </c>
      <c r="K214" s="3"/>
      <c r="L214" s="3"/>
      <c r="M214" s="3"/>
      <c r="N214" s="3"/>
      <c r="O214" s="16"/>
      <c r="P214" s="3"/>
      <c r="Q214" s="3"/>
      <c r="R214" s="3"/>
    </row>
    <row r="215" spans="1:18" x14ac:dyDescent="0.2">
      <c r="A215" s="79" t="s">
        <v>84</v>
      </c>
      <c r="B215" s="18" t="s">
        <v>74</v>
      </c>
      <c r="C215" s="18" t="s">
        <v>32</v>
      </c>
      <c r="D215" s="18" t="s">
        <v>85</v>
      </c>
      <c r="E215" s="19" t="s">
        <v>345</v>
      </c>
      <c r="F215" s="17" t="s">
        <v>507</v>
      </c>
      <c r="G215" s="17" t="str">
        <f t="shared" si="13"/>
        <v>12</v>
      </c>
      <c r="H215" s="17" t="str">
        <f t="shared" si="14"/>
        <v>c</v>
      </c>
      <c r="I215" s="20" t="str">
        <f t="shared" si="15"/>
        <v>Life-long learning</v>
      </c>
      <c r="J215" s="21" t="str">
        <f t="shared" si="16"/>
        <v>Reflect on the use of information or training obtained</v>
      </c>
      <c r="K215" s="3"/>
      <c r="L215" s="3"/>
      <c r="M215" s="3"/>
      <c r="N215" s="3"/>
      <c r="O215" s="16"/>
      <c r="P215" s="3"/>
      <c r="Q215" s="3"/>
      <c r="R215" s="3"/>
    </row>
    <row r="216" spans="1:18" x14ac:dyDescent="0.2">
      <c r="A216" s="79" t="s">
        <v>84</v>
      </c>
      <c r="B216" s="18" t="s">
        <v>74</v>
      </c>
      <c r="C216" s="18" t="s">
        <v>32</v>
      </c>
      <c r="D216" s="18" t="s">
        <v>85</v>
      </c>
      <c r="E216" s="19" t="s">
        <v>398</v>
      </c>
      <c r="F216" s="17" t="s">
        <v>508</v>
      </c>
      <c r="G216" s="17" t="str">
        <f t="shared" si="13"/>
        <v>2</v>
      </c>
      <c r="H216" s="17" t="str">
        <f t="shared" si="14"/>
        <v>a</v>
      </c>
      <c r="I216" s="20" t="str">
        <f t="shared" si="15"/>
        <v xml:space="preserve">Problem Analysis </v>
      </c>
      <c r="J216" s="21" t="str">
        <f t="shared" si="16"/>
        <v>Identify / define a problem</v>
      </c>
      <c r="K216" s="3"/>
      <c r="L216" s="3"/>
      <c r="M216" s="3"/>
      <c r="N216" s="3"/>
      <c r="O216" s="16"/>
      <c r="P216" s="3"/>
      <c r="Q216" s="3"/>
      <c r="R216" s="3"/>
    </row>
    <row r="217" spans="1:18" ht="30" x14ac:dyDescent="0.2">
      <c r="A217" s="79" t="s">
        <v>84</v>
      </c>
      <c r="B217" s="18" t="s">
        <v>74</v>
      </c>
      <c r="C217" s="18" t="s">
        <v>32</v>
      </c>
      <c r="D217" s="18" t="s">
        <v>85</v>
      </c>
      <c r="E217" s="19" t="s">
        <v>399</v>
      </c>
      <c r="F217" s="17" t="s">
        <v>510</v>
      </c>
      <c r="G217" s="17" t="str">
        <f t="shared" si="13"/>
        <v>2</v>
      </c>
      <c r="H217" s="17" t="str">
        <f t="shared" si="14"/>
        <v>c</v>
      </c>
      <c r="I217" s="20" t="str">
        <f t="shared" si="15"/>
        <v xml:space="preserve">Problem Analysis </v>
      </c>
      <c r="J217" s="21" t="str">
        <f t="shared" si="16"/>
        <v>Evaluate solutions of complex engineering problems to reach substantiated conclusions</v>
      </c>
      <c r="K217" s="3"/>
      <c r="L217" s="3"/>
      <c r="M217" s="3"/>
      <c r="N217" s="3"/>
      <c r="O217" s="16"/>
      <c r="P217" s="3"/>
      <c r="Q217" s="3"/>
      <c r="R217" s="3"/>
    </row>
    <row r="218" spans="1:18" x14ac:dyDescent="0.2">
      <c r="A218" s="79" t="s">
        <v>84</v>
      </c>
      <c r="B218" s="18" t="s">
        <v>74</v>
      </c>
      <c r="C218" s="18" t="s">
        <v>32</v>
      </c>
      <c r="D218" s="18" t="s">
        <v>85</v>
      </c>
      <c r="E218" s="19" t="s">
        <v>220</v>
      </c>
      <c r="F218" s="17" t="s">
        <v>512</v>
      </c>
      <c r="G218" s="17" t="str">
        <f t="shared" si="13"/>
        <v>3</v>
      </c>
      <c r="H218" s="17" t="str">
        <f t="shared" si="14"/>
        <v>a</v>
      </c>
      <c r="I218" s="20" t="str">
        <f t="shared" si="15"/>
        <v>Investigation</v>
      </c>
      <c r="J218" s="21" t="str">
        <f t="shared" si="16"/>
        <v>Identify critical issues of complex engineering problems to form testable hypotheses and design experiments.</v>
      </c>
      <c r="K218" s="3"/>
      <c r="L218" s="3"/>
      <c r="M218" s="3"/>
      <c r="N218" s="3"/>
      <c r="O218" s="16"/>
      <c r="P218" s="3"/>
      <c r="Q218" s="3"/>
      <c r="R218" s="3"/>
    </row>
    <row r="219" spans="1:18" x14ac:dyDescent="0.2">
      <c r="A219" s="79" t="s">
        <v>84</v>
      </c>
      <c r="B219" s="18" t="s">
        <v>74</v>
      </c>
      <c r="C219" s="18" t="s">
        <v>32</v>
      </c>
      <c r="D219" s="18" t="s">
        <v>85</v>
      </c>
      <c r="E219" s="19" t="s">
        <v>219</v>
      </c>
      <c r="F219" s="17" t="s">
        <v>513</v>
      </c>
      <c r="G219" s="17" t="str">
        <f t="shared" si="13"/>
        <v>3</v>
      </c>
      <c r="H219" s="17" t="str">
        <f t="shared" si="14"/>
        <v>b</v>
      </c>
      <c r="I219" s="20" t="str">
        <f t="shared" si="15"/>
        <v>Investigation</v>
      </c>
      <c r="J219" s="21" t="str">
        <f t="shared" si="16"/>
        <v>Conduct experiments and gather and process data.</v>
      </c>
      <c r="K219" s="3"/>
      <c r="L219" s="3"/>
      <c r="M219" s="3"/>
      <c r="N219" s="3"/>
      <c r="O219" s="16"/>
      <c r="P219" s="3"/>
      <c r="Q219" s="3"/>
      <c r="R219" s="3"/>
    </row>
    <row r="220" spans="1:18" x14ac:dyDescent="0.2">
      <c r="A220" s="79" t="s">
        <v>84</v>
      </c>
      <c r="B220" s="18" t="s">
        <v>74</v>
      </c>
      <c r="C220" s="18" t="s">
        <v>32</v>
      </c>
      <c r="D220" s="18" t="s">
        <v>85</v>
      </c>
      <c r="E220" s="19" t="s">
        <v>146</v>
      </c>
      <c r="F220" s="17" t="s">
        <v>515</v>
      </c>
      <c r="G220" s="17" t="str">
        <f t="shared" si="13"/>
        <v>4</v>
      </c>
      <c r="H220" s="17" t="str">
        <f t="shared" si="14"/>
        <v>a</v>
      </c>
      <c r="I220" s="20" t="str">
        <f t="shared" si="15"/>
        <v>Design</v>
      </c>
      <c r="J220" s="21" t="str">
        <f t="shared" si="16"/>
        <v>Follow an engineering design methodology</v>
      </c>
      <c r="K220" s="3"/>
      <c r="L220" s="3"/>
      <c r="M220" s="3"/>
      <c r="N220" s="3"/>
      <c r="O220" s="16"/>
      <c r="P220" s="3"/>
      <c r="Q220" s="3"/>
      <c r="R220" s="3"/>
    </row>
    <row r="221" spans="1:18" x14ac:dyDescent="0.2">
      <c r="A221" s="79" t="s">
        <v>84</v>
      </c>
      <c r="B221" s="18" t="s">
        <v>74</v>
      </c>
      <c r="C221" s="18" t="s">
        <v>32</v>
      </c>
      <c r="D221" s="18" t="s">
        <v>85</v>
      </c>
      <c r="E221" s="19" t="s">
        <v>147</v>
      </c>
      <c r="F221" s="17" t="s">
        <v>515</v>
      </c>
      <c r="G221" s="17" t="str">
        <f t="shared" si="13"/>
        <v>4</v>
      </c>
      <c r="H221" s="17" t="str">
        <f t="shared" si="14"/>
        <v>a</v>
      </c>
      <c r="I221" s="20" t="str">
        <f t="shared" si="15"/>
        <v>Design</v>
      </c>
      <c r="J221" s="21" t="str">
        <f t="shared" si="16"/>
        <v>Follow an engineering design methodology</v>
      </c>
      <c r="K221" s="3"/>
      <c r="L221" s="3"/>
      <c r="M221" s="3"/>
      <c r="N221" s="3"/>
      <c r="O221" s="16"/>
      <c r="P221" s="3"/>
      <c r="Q221" s="3"/>
      <c r="R221" s="3"/>
    </row>
    <row r="222" spans="1:18" x14ac:dyDescent="0.2">
      <c r="A222" s="79" t="s">
        <v>84</v>
      </c>
      <c r="B222" s="18" t="s">
        <v>74</v>
      </c>
      <c r="C222" s="18" t="s">
        <v>32</v>
      </c>
      <c r="D222" s="18" t="s">
        <v>85</v>
      </c>
      <c r="E222" s="19" t="s">
        <v>148</v>
      </c>
      <c r="F222" s="17" t="s">
        <v>517</v>
      </c>
      <c r="G222" s="17" t="str">
        <f t="shared" si="13"/>
        <v>4</v>
      </c>
      <c r="H222" s="17" t="str">
        <f t="shared" si="14"/>
        <v>c</v>
      </c>
      <c r="I222" s="20" t="str">
        <f t="shared" si="15"/>
        <v>Design</v>
      </c>
      <c r="J222" s="21" t="str">
        <f t="shared" si="16"/>
        <v>Evaluate/test solutions and refine designs to better meet requirements</v>
      </c>
      <c r="K222" s="3"/>
      <c r="L222" s="3"/>
      <c r="M222" s="3"/>
      <c r="N222" s="3"/>
      <c r="O222" s="16"/>
      <c r="P222" s="3"/>
      <c r="Q222" s="3"/>
      <c r="R222" s="3"/>
    </row>
    <row r="223" spans="1:18" x14ac:dyDescent="0.2">
      <c r="A223" s="79" t="s">
        <v>84</v>
      </c>
      <c r="B223" s="18" t="s">
        <v>74</v>
      </c>
      <c r="C223" s="18" t="s">
        <v>32</v>
      </c>
      <c r="D223" s="18" t="s">
        <v>85</v>
      </c>
      <c r="E223" s="19" t="s">
        <v>185</v>
      </c>
      <c r="F223" s="17" t="s">
        <v>518</v>
      </c>
      <c r="G223" s="17" t="str">
        <f t="shared" si="13"/>
        <v>5</v>
      </c>
      <c r="H223" s="17" t="str">
        <f t="shared" si="14"/>
        <v>a</v>
      </c>
      <c r="I223" s="20" t="str">
        <f t="shared" si="15"/>
        <v>Use of Engineering Tools</v>
      </c>
      <c r="J223" s="21" t="str">
        <f t="shared" si="16"/>
        <v>Select appropriate engineering tools8, considering their limitations</v>
      </c>
      <c r="K223" s="3"/>
      <c r="L223" s="3"/>
      <c r="M223" s="3"/>
      <c r="N223" s="3"/>
      <c r="O223" s="16"/>
      <c r="P223" s="3"/>
      <c r="Q223" s="3"/>
      <c r="R223" s="3"/>
    </row>
    <row r="224" spans="1:18" x14ac:dyDescent="0.2">
      <c r="A224" s="79" t="s">
        <v>84</v>
      </c>
      <c r="B224" s="18" t="s">
        <v>74</v>
      </c>
      <c r="C224" s="18" t="s">
        <v>32</v>
      </c>
      <c r="D224" s="18" t="s">
        <v>85</v>
      </c>
      <c r="E224" s="19" t="s">
        <v>451</v>
      </c>
      <c r="F224" s="17" t="s">
        <v>526</v>
      </c>
      <c r="G224" s="17" t="str">
        <f t="shared" si="13"/>
        <v>6</v>
      </c>
      <c r="H224" s="17" t="str">
        <f t="shared" si="14"/>
        <v>a</v>
      </c>
      <c r="I224" s="20" t="str">
        <f t="shared" si="15"/>
        <v>Individual and team work</v>
      </c>
      <c r="J224" s="21" t="str">
        <f t="shared" si="16"/>
        <v>Contribute as an active team member or leader to complete individual tasks</v>
      </c>
      <c r="K224" s="3"/>
      <c r="L224" s="3"/>
      <c r="M224" s="3"/>
      <c r="N224" s="3"/>
      <c r="O224" s="16"/>
      <c r="P224" s="3"/>
      <c r="Q224" s="3"/>
      <c r="R224" s="3"/>
    </row>
    <row r="225" spans="1:18" x14ac:dyDescent="0.2">
      <c r="A225" s="79" t="s">
        <v>84</v>
      </c>
      <c r="B225" s="18" t="s">
        <v>74</v>
      </c>
      <c r="C225" s="18" t="s">
        <v>32</v>
      </c>
      <c r="D225" s="18" t="s">
        <v>85</v>
      </c>
      <c r="E225" s="19" t="s">
        <v>452</v>
      </c>
      <c r="F225" s="17" t="s">
        <v>526</v>
      </c>
      <c r="G225" s="17" t="str">
        <f t="shared" si="13"/>
        <v>6</v>
      </c>
      <c r="H225" s="17" t="str">
        <f t="shared" si="14"/>
        <v>a</v>
      </c>
      <c r="I225" s="20" t="str">
        <f t="shared" si="15"/>
        <v>Individual and team work</v>
      </c>
      <c r="J225" s="21" t="str">
        <f t="shared" si="16"/>
        <v>Contribute as an active team member or leader to complete individual tasks</v>
      </c>
      <c r="K225" s="3"/>
      <c r="L225" s="3"/>
      <c r="M225" s="3"/>
      <c r="N225" s="3"/>
      <c r="O225" s="16"/>
      <c r="P225" s="3"/>
      <c r="Q225" s="3"/>
      <c r="R225" s="3"/>
    </row>
    <row r="226" spans="1:18" x14ac:dyDescent="0.2">
      <c r="A226" s="79" t="s">
        <v>84</v>
      </c>
      <c r="B226" s="18" t="s">
        <v>74</v>
      </c>
      <c r="C226" s="18" t="s">
        <v>32</v>
      </c>
      <c r="D226" s="18" t="s">
        <v>85</v>
      </c>
      <c r="E226" s="19" t="s">
        <v>453</v>
      </c>
      <c r="F226" s="17" t="s">
        <v>526</v>
      </c>
      <c r="G226" s="17" t="str">
        <f t="shared" si="13"/>
        <v>6</v>
      </c>
      <c r="H226" s="17" t="str">
        <f t="shared" si="14"/>
        <v>a</v>
      </c>
      <c r="I226" s="20" t="str">
        <f t="shared" si="15"/>
        <v>Individual and team work</v>
      </c>
      <c r="J226" s="21" t="str">
        <f t="shared" si="16"/>
        <v>Contribute as an active team member or leader to complete individual tasks</v>
      </c>
      <c r="K226" s="3"/>
      <c r="L226" s="3"/>
      <c r="M226" s="3"/>
      <c r="N226" s="3"/>
      <c r="O226" s="16"/>
      <c r="P226" s="3"/>
      <c r="Q226" s="3"/>
      <c r="R226" s="3"/>
    </row>
    <row r="227" spans="1:18" x14ac:dyDescent="0.2">
      <c r="A227" s="79" t="s">
        <v>84</v>
      </c>
      <c r="B227" s="18" t="s">
        <v>74</v>
      </c>
      <c r="C227" s="18" t="s">
        <v>32</v>
      </c>
      <c r="D227" s="18" t="s">
        <v>85</v>
      </c>
      <c r="E227" s="19" t="s">
        <v>449</v>
      </c>
      <c r="F227" s="17" t="s">
        <v>526</v>
      </c>
      <c r="G227" s="17" t="str">
        <f t="shared" si="13"/>
        <v>6</v>
      </c>
      <c r="H227" s="17" t="str">
        <f t="shared" si="14"/>
        <v>a</v>
      </c>
      <c r="I227" s="20" t="str">
        <f t="shared" si="15"/>
        <v>Individual and team work</v>
      </c>
      <c r="J227" s="21" t="str">
        <f t="shared" si="16"/>
        <v>Contribute as an active team member or leader to complete individual tasks</v>
      </c>
      <c r="K227" s="3"/>
      <c r="L227" s="3"/>
      <c r="M227" s="3"/>
      <c r="N227" s="3"/>
      <c r="O227" s="16"/>
      <c r="P227" s="3"/>
      <c r="Q227" s="3"/>
      <c r="R227" s="3"/>
    </row>
    <row r="228" spans="1:18" x14ac:dyDescent="0.2">
      <c r="A228" s="79" t="s">
        <v>84</v>
      </c>
      <c r="B228" s="18" t="s">
        <v>74</v>
      </c>
      <c r="C228" s="18" t="s">
        <v>32</v>
      </c>
      <c r="D228" s="18" t="s">
        <v>85</v>
      </c>
      <c r="E228" s="19" t="s">
        <v>450</v>
      </c>
      <c r="F228" s="17" t="s">
        <v>527</v>
      </c>
      <c r="G228" s="17" t="str">
        <f t="shared" si="13"/>
        <v>6</v>
      </c>
      <c r="H228" s="17" t="str">
        <f t="shared" si="14"/>
        <v>b</v>
      </c>
      <c r="I228" s="20" t="str">
        <f t="shared" si="15"/>
        <v>Individual and team work</v>
      </c>
      <c r="J228" s="21" t="str">
        <f t="shared" si="16"/>
        <v>Collaborate with others to complete tasks effectively as a team</v>
      </c>
      <c r="K228" s="3"/>
      <c r="L228" s="3"/>
      <c r="M228" s="3"/>
      <c r="N228" s="3"/>
      <c r="O228" s="16"/>
      <c r="P228" s="3"/>
      <c r="Q228" s="3"/>
      <c r="R228" s="3"/>
    </row>
    <row r="229" spans="1:18" x14ac:dyDescent="0.2">
      <c r="A229" s="79" t="s">
        <v>84</v>
      </c>
      <c r="B229" s="18" t="s">
        <v>74</v>
      </c>
      <c r="C229" s="18" t="s">
        <v>32</v>
      </c>
      <c r="D229" s="18" t="s">
        <v>85</v>
      </c>
      <c r="E229" s="19" t="s">
        <v>69</v>
      </c>
      <c r="F229" s="17" t="s">
        <v>527</v>
      </c>
      <c r="G229" s="17" t="str">
        <f t="shared" si="13"/>
        <v>6</v>
      </c>
      <c r="H229" s="17" t="str">
        <f t="shared" si="14"/>
        <v>b</v>
      </c>
      <c r="I229" s="20" t="str">
        <f t="shared" si="15"/>
        <v>Individual and team work</v>
      </c>
      <c r="J229" s="21" t="str">
        <f t="shared" si="16"/>
        <v>Collaborate with others to complete tasks effectively as a team</v>
      </c>
      <c r="K229" s="3"/>
      <c r="L229" s="3"/>
      <c r="M229" s="3"/>
      <c r="N229" s="3"/>
      <c r="O229" s="16"/>
      <c r="P229" s="3"/>
      <c r="Q229" s="3"/>
      <c r="R229" s="3"/>
    </row>
    <row r="230" spans="1:18" x14ac:dyDescent="0.2">
      <c r="A230" s="79" t="s">
        <v>84</v>
      </c>
      <c r="B230" s="18" t="s">
        <v>74</v>
      </c>
      <c r="C230" s="18" t="s">
        <v>32</v>
      </c>
      <c r="D230" s="18" t="s">
        <v>85</v>
      </c>
      <c r="E230" s="19" t="s">
        <v>87</v>
      </c>
      <c r="F230" s="17" t="s">
        <v>528</v>
      </c>
      <c r="G230" s="17" t="str">
        <f t="shared" si="13"/>
        <v>7</v>
      </c>
      <c r="H230" s="17" t="str">
        <f t="shared" si="14"/>
        <v>b</v>
      </c>
      <c r="I230" s="20" t="str">
        <f t="shared" si="15"/>
        <v>Communication Skills</v>
      </c>
      <c r="J230" s="21" t="str">
        <f t="shared" si="16"/>
        <v>Orally present information within the profession and to society at large</v>
      </c>
      <c r="K230" s="3"/>
      <c r="L230" s="3"/>
      <c r="M230" s="3"/>
      <c r="N230" s="3"/>
      <c r="O230" s="16"/>
      <c r="P230" s="3"/>
      <c r="Q230" s="3"/>
      <c r="R230" s="3"/>
    </row>
    <row r="231" spans="1:18" x14ac:dyDescent="0.2">
      <c r="A231" s="79" t="s">
        <v>84</v>
      </c>
      <c r="B231" s="18" t="s">
        <v>74</v>
      </c>
      <c r="C231" s="18" t="s">
        <v>32</v>
      </c>
      <c r="D231" s="18" t="s">
        <v>85</v>
      </c>
      <c r="E231" s="19" t="s">
        <v>88</v>
      </c>
      <c r="F231" s="17" t="s">
        <v>530</v>
      </c>
      <c r="G231" s="17" t="str">
        <f t="shared" si="13"/>
        <v>7</v>
      </c>
      <c r="H231" s="17" t="str">
        <f t="shared" si="14"/>
        <v>a</v>
      </c>
      <c r="I231" s="20" t="str">
        <f t="shared" si="15"/>
        <v>Communication Skills</v>
      </c>
      <c r="J231" s="21" t="str">
        <f t="shared" si="16"/>
        <v>Generate appropriate documentation to communicate within the profession and to society at large</v>
      </c>
      <c r="K231" s="3"/>
      <c r="L231" s="3"/>
      <c r="M231" s="3"/>
      <c r="N231" s="3"/>
      <c r="O231" s="16"/>
      <c r="P231" s="3"/>
      <c r="Q231" s="3"/>
      <c r="R231" s="3"/>
    </row>
    <row r="232" spans="1:18" x14ac:dyDescent="0.2">
      <c r="A232" s="79" t="s">
        <v>84</v>
      </c>
      <c r="B232" s="18" t="s">
        <v>74</v>
      </c>
      <c r="C232" s="18" t="s">
        <v>32</v>
      </c>
      <c r="D232" s="18" t="s">
        <v>85</v>
      </c>
      <c r="E232" s="19" t="s">
        <v>86</v>
      </c>
      <c r="F232" s="17" t="s">
        <v>530</v>
      </c>
      <c r="G232" s="17" t="str">
        <f t="shared" si="13"/>
        <v>7</v>
      </c>
      <c r="H232" s="17" t="str">
        <f t="shared" si="14"/>
        <v>a</v>
      </c>
      <c r="I232" s="20" t="str">
        <f t="shared" si="15"/>
        <v>Communication Skills</v>
      </c>
      <c r="J232" s="21" t="str">
        <f t="shared" si="16"/>
        <v>Generate appropriate documentation to communicate within the profession and to society at large</v>
      </c>
      <c r="K232" s="3"/>
      <c r="L232" s="3"/>
      <c r="M232" s="3"/>
      <c r="N232" s="3"/>
      <c r="O232" s="16"/>
      <c r="P232" s="3"/>
      <c r="Q232" s="3"/>
      <c r="R232" s="3"/>
    </row>
    <row r="233" spans="1:18" x14ac:dyDescent="0.2">
      <c r="A233" s="79" t="s">
        <v>84</v>
      </c>
      <c r="B233" s="18" t="s">
        <v>74</v>
      </c>
      <c r="C233" s="18" t="s">
        <v>32</v>
      </c>
      <c r="D233" s="18" t="s">
        <v>85</v>
      </c>
      <c r="E233" s="19" t="s">
        <v>89</v>
      </c>
      <c r="F233" s="17" t="s">
        <v>542</v>
      </c>
      <c r="G233" s="17" t="str">
        <f t="shared" si="13"/>
        <v>7</v>
      </c>
      <c r="H233" s="17" t="str">
        <f t="shared" si="14"/>
        <v>c</v>
      </c>
      <c r="I233" s="20" t="str">
        <f t="shared" si="15"/>
        <v>Communication Skills</v>
      </c>
      <c r="J233" s="21" t="str">
        <f t="shared" si="16"/>
        <v>Comprehend and Interpret information, including solutions, results and instructions</v>
      </c>
      <c r="K233" s="3"/>
      <c r="L233" s="3"/>
      <c r="M233" s="3"/>
      <c r="N233" s="3"/>
      <c r="O233" s="16"/>
      <c r="P233" s="3"/>
      <c r="Q233" s="3"/>
      <c r="R233" s="3"/>
    </row>
    <row r="234" spans="1:18" x14ac:dyDescent="0.2">
      <c r="A234" s="79" t="s">
        <v>84</v>
      </c>
      <c r="B234" s="18" t="s">
        <v>74</v>
      </c>
      <c r="C234" s="18" t="s">
        <v>32</v>
      </c>
      <c r="D234" s="18" t="s">
        <v>85</v>
      </c>
      <c r="E234" s="19" t="s">
        <v>438</v>
      </c>
      <c r="F234" s="17" t="s">
        <v>545</v>
      </c>
      <c r="G234" s="17" t="str">
        <f t="shared" si="13"/>
        <v>8</v>
      </c>
      <c r="H234" s="17" t="str">
        <f t="shared" si="14"/>
        <v>a</v>
      </c>
      <c r="I234" s="20" t="str">
        <f t="shared" si="15"/>
        <v>Professionalism</v>
      </c>
      <c r="J234" s="21" t="str">
        <f t="shared" si="16"/>
        <v>Articulate the roles and responsibilities of the professional engineer in society with reference to the protection of the public and its interest</v>
      </c>
      <c r="K234" s="3"/>
      <c r="L234" s="3"/>
      <c r="M234" s="3"/>
      <c r="N234" s="3"/>
      <c r="O234" s="16"/>
      <c r="P234" s="3"/>
      <c r="Q234" s="3"/>
      <c r="R234" s="3"/>
    </row>
    <row r="235" spans="1:18" x14ac:dyDescent="0.2">
      <c r="A235" s="79" t="s">
        <v>84</v>
      </c>
      <c r="B235" s="18" t="s">
        <v>74</v>
      </c>
      <c r="C235" s="18" t="s">
        <v>32</v>
      </c>
      <c r="D235" s="18" t="s">
        <v>85</v>
      </c>
      <c r="E235" s="19" t="s">
        <v>59</v>
      </c>
      <c r="F235" s="17" t="s">
        <v>545</v>
      </c>
      <c r="G235" s="17" t="str">
        <f t="shared" si="13"/>
        <v>8</v>
      </c>
      <c r="H235" s="17" t="str">
        <f t="shared" si="14"/>
        <v>a</v>
      </c>
      <c r="I235" s="20" t="str">
        <f t="shared" si="15"/>
        <v>Professionalism</v>
      </c>
      <c r="J235" s="21" t="str">
        <f t="shared" si="16"/>
        <v>Articulate the roles and responsibilities of the professional engineer in society with reference to the protection of the public and its interest</v>
      </c>
      <c r="K235" s="3"/>
      <c r="L235" s="3"/>
      <c r="M235" s="3"/>
      <c r="N235" s="3"/>
      <c r="O235" s="16"/>
      <c r="P235" s="3"/>
      <c r="Q235" s="3"/>
      <c r="R235" s="3"/>
    </row>
    <row r="236" spans="1:18" x14ac:dyDescent="0.2">
      <c r="A236" s="79" t="s">
        <v>84</v>
      </c>
      <c r="B236" s="18" t="s">
        <v>74</v>
      </c>
      <c r="C236" s="18" t="s">
        <v>32</v>
      </c>
      <c r="D236" s="18" t="s">
        <v>85</v>
      </c>
      <c r="E236" s="19" t="s">
        <v>200</v>
      </c>
      <c r="F236" s="17" t="s">
        <v>511</v>
      </c>
      <c r="G236" s="17" t="str">
        <f t="shared" si="13"/>
        <v>9</v>
      </c>
      <c r="H236" s="17" t="str">
        <f t="shared" si="14"/>
        <v>a</v>
      </c>
      <c r="I236" s="20" t="str">
        <f t="shared" si="15"/>
        <v>Impact of engineering</v>
      </c>
      <c r="J236" s="21" t="str">
        <f t="shared" si="16"/>
        <v>Identify the relevance of and uncertainty associated with the different aspects (social, cultural, economic, health, safety, legal, environmental) of an engineering project</v>
      </c>
      <c r="K236" s="3"/>
      <c r="L236" s="3"/>
      <c r="M236" s="3"/>
      <c r="N236" s="3"/>
      <c r="O236" s="16"/>
      <c r="P236" s="3"/>
      <c r="Q236" s="3"/>
      <c r="R236" s="3"/>
    </row>
    <row r="237" spans="1:18" x14ac:dyDescent="0.2">
      <c r="A237" s="79" t="s">
        <v>84</v>
      </c>
      <c r="B237" s="18" t="s">
        <v>74</v>
      </c>
      <c r="C237" s="18" t="s">
        <v>32</v>
      </c>
      <c r="D237" s="18" t="s">
        <v>85</v>
      </c>
      <c r="E237" s="19" t="s">
        <v>199</v>
      </c>
      <c r="F237" s="17" t="s">
        <v>511</v>
      </c>
      <c r="G237" s="17" t="str">
        <f t="shared" si="13"/>
        <v>9</v>
      </c>
      <c r="H237" s="17" t="str">
        <f t="shared" si="14"/>
        <v>a</v>
      </c>
      <c r="I237" s="20" t="str">
        <f t="shared" si="15"/>
        <v>Impact of engineering</v>
      </c>
      <c r="J237" s="21" t="str">
        <f t="shared" si="16"/>
        <v>Identify the relevance of and uncertainty associated with the different aspects (social, cultural, economic, health, safety, legal, environmental) of an engineering project</v>
      </c>
      <c r="K237" s="3"/>
      <c r="L237" s="3"/>
      <c r="M237" s="3"/>
      <c r="N237" s="3"/>
      <c r="O237" s="16"/>
      <c r="P237" s="3"/>
      <c r="Q237" s="3"/>
      <c r="R237" s="3"/>
    </row>
    <row r="238" spans="1:18" ht="30" x14ac:dyDescent="0.2">
      <c r="A238" s="79" t="s">
        <v>84</v>
      </c>
      <c r="B238" s="18" t="s">
        <v>74</v>
      </c>
      <c r="C238" s="18" t="s">
        <v>32</v>
      </c>
      <c r="D238" s="18" t="s">
        <v>85</v>
      </c>
      <c r="E238" s="19" t="s">
        <v>198</v>
      </c>
      <c r="F238" s="17" t="s">
        <v>511</v>
      </c>
      <c r="G238" s="17" t="str">
        <f t="shared" si="13"/>
        <v>9</v>
      </c>
      <c r="H238" s="17" t="str">
        <f t="shared" si="14"/>
        <v>a</v>
      </c>
      <c r="I238" s="20" t="str">
        <f t="shared" si="15"/>
        <v>Impact of engineering</v>
      </c>
      <c r="J238" s="21" t="str">
        <f t="shared" si="16"/>
        <v>Identify the relevance of and uncertainty associated with the different aspects (social, cultural, economic, health, safety, legal, environmental) of an engineering project</v>
      </c>
      <c r="K238" s="3"/>
      <c r="L238" s="3"/>
      <c r="M238" s="3"/>
      <c r="N238" s="3"/>
      <c r="O238" s="16"/>
      <c r="P238" s="3"/>
      <c r="Q238" s="3"/>
      <c r="R238" s="3"/>
    </row>
    <row r="239" spans="1:18" x14ac:dyDescent="0.2">
      <c r="A239" s="79" t="s">
        <v>90</v>
      </c>
      <c r="B239" s="18" t="s">
        <v>71</v>
      </c>
      <c r="C239" s="18" t="s">
        <v>32</v>
      </c>
      <c r="D239" s="18" t="s">
        <v>91</v>
      </c>
      <c r="E239" s="19" t="s">
        <v>197</v>
      </c>
      <c r="F239" s="17" t="s">
        <v>495</v>
      </c>
      <c r="G239" s="17" t="str">
        <f t="shared" si="13"/>
        <v>10</v>
      </c>
      <c r="H239" s="17" t="str">
        <f t="shared" si="14"/>
        <v>a</v>
      </c>
      <c r="I239" s="20" t="str">
        <f t="shared" si="15"/>
        <v>Ethics and equity</v>
      </c>
      <c r="J239" s="21" t="str">
        <f t="shared" si="16"/>
        <v>Identify ethical and unethical behaviour in professional situations</v>
      </c>
      <c r="K239" s="3"/>
      <c r="L239" s="3"/>
      <c r="M239" s="3"/>
      <c r="N239" s="3"/>
      <c r="O239" s="16"/>
      <c r="P239" s="3"/>
      <c r="Q239" s="3"/>
      <c r="R239" s="3"/>
    </row>
    <row r="240" spans="1:18" x14ac:dyDescent="0.2">
      <c r="A240" s="79" t="s">
        <v>90</v>
      </c>
      <c r="B240" s="18" t="s">
        <v>71</v>
      </c>
      <c r="C240" s="18" t="s">
        <v>32</v>
      </c>
      <c r="D240" s="18" t="s">
        <v>91</v>
      </c>
      <c r="E240" s="19" t="s">
        <v>497</v>
      </c>
      <c r="F240" s="81" t="s">
        <v>498</v>
      </c>
      <c r="G240" s="17" t="str">
        <f t="shared" si="13"/>
        <v>11</v>
      </c>
      <c r="H240" s="17" t="str">
        <f t="shared" si="14"/>
        <v>a</v>
      </c>
      <c r="I240" s="20" t="str">
        <f t="shared" si="15"/>
        <v>Economics and project management</v>
      </c>
      <c r="J240" s="21" t="str">
        <f t="shared" si="16"/>
        <v>Apply project management techniques in engineering projects, with attention to risk, and change</v>
      </c>
      <c r="K240" s="3"/>
      <c r="L240" s="3"/>
      <c r="M240" s="3"/>
      <c r="N240" s="3"/>
      <c r="O240" s="16"/>
      <c r="P240" s="3"/>
      <c r="Q240" s="3"/>
      <c r="R240" s="3"/>
    </row>
    <row r="241" spans="1:18" x14ac:dyDescent="0.2">
      <c r="A241" s="79" t="s">
        <v>90</v>
      </c>
      <c r="B241" s="18" t="s">
        <v>71</v>
      </c>
      <c r="C241" s="18" t="s">
        <v>32</v>
      </c>
      <c r="D241" s="18" t="s">
        <v>91</v>
      </c>
      <c r="E241" s="19" t="s">
        <v>500</v>
      </c>
      <c r="F241" s="81" t="s">
        <v>498</v>
      </c>
      <c r="G241" s="17" t="str">
        <f t="shared" si="13"/>
        <v>11</v>
      </c>
      <c r="H241" s="17" t="str">
        <f t="shared" si="14"/>
        <v>a</v>
      </c>
      <c r="I241" s="20" t="str">
        <f t="shared" si="15"/>
        <v>Economics and project management</v>
      </c>
      <c r="J241" s="21" t="str">
        <f t="shared" si="16"/>
        <v>Apply project management techniques in engineering projects, with attention to risk, and change</v>
      </c>
      <c r="K241" s="3"/>
      <c r="L241" s="3"/>
      <c r="M241" s="3"/>
      <c r="N241" s="3"/>
      <c r="O241" s="16"/>
      <c r="P241" s="3"/>
      <c r="Q241" s="3"/>
      <c r="R241" s="3"/>
    </row>
    <row r="242" spans="1:18" x14ac:dyDescent="0.2">
      <c r="A242" s="79" t="s">
        <v>90</v>
      </c>
      <c r="B242" s="18" t="s">
        <v>71</v>
      </c>
      <c r="C242" s="18" t="s">
        <v>32</v>
      </c>
      <c r="D242" s="18" t="s">
        <v>91</v>
      </c>
      <c r="E242" s="19" t="s">
        <v>502</v>
      </c>
      <c r="F242" s="81" t="s">
        <v>503</v>
      </c>
      <c r="G242" s="17" t="str">
        <f t="shared" si="13"/>
        <v>11</v>
      </c>
      <c r="H242" s="17" t="str">
        <f t="shared" si="14"/>
        <v>b</v>
      </c>
      <c r="I242" s="20" t="str">
        <f t="shared" si="15"/>
        <v>Economics and project management</v>
      </c>
      <c r="J242" s="21" t="str">
        <f t="shared" si="16"/>
        <v>Perform economic analyses of engineering projects with attention to uncertainty and limitations</v>
      </c>
      <c r="K242" s="3"/>
      <c r="L242" s="3"/>
      <c r="M242" s="3"/>
      <c r="N242" s="3"/>
      <c r="O242" s="16"/>
      <c r="P242" s="3"/>
      <c r="Q242" s="3"/>
      <c r="R242" s="3"/>
    </row>
    <row r="243" spans="1:18" x14ac:dyDescent="0.2">
      <c r="A243" s="79" t="s">
        <v>90</v>
      </c>
      <c r="B243" s="18" t="s">
        <v>71</v>
      </c>
      <c r="C243" s="18" t="s">
        <v>32</v>
      </c>
      <c r="D243" s="18" t="s">
        <v>91</v>
      </c>
      <c r="E243" s="19" t="s">
        <v>343</v>
      </c>
      <c r="F243" s="17" t="s">
        <v>505</v>
      </c>
      <c r="G243" s="17" t="str">
        <f t="shared" si="13"/>
        <v>12</v>
      </c>
      <c r="H243" s="17" t="str">
        <f t="shared" si="14"/>
        <v>a</v>
      </c>
      <c r="I243" s="20" t="str">
        <f t="shared" si="15"/>
        <v>Life-long learning</v>
      </c>
      <c r="J243" s="21" t="str">
        <f t="shared" si="16"/>
        <v>Identify gaps in their knowledge, skills and abilities</v>
      </c>
      <c r="K243" s="3"/>
      <c r="L243" s="3"/>
      <c r="M243" s="3"/>
      <c r="N243" s="3"/>
      <c r="O243" s="16"/>
      <c r="P243" s="3"/>
      <c r="Q243" s="3"/>
      <c r="R243" s="3"/>
    </row>
    <row r="244" spans="1:18" x14ac:dyDescent="0.2">
      <c r="A244" s="79" t="s">
        <v>90</v>
      </c>
      <c r="B244" s="18" t="s">
        <v>71</v>
      </c>
      <c r="C244" s="18" t="s">
        <v>32</v>
      </c>
      <c r="D244" s="18" t="s">
        <v>91</v>
      </c>
      <c r="E244" s="19" t="s">
        <v>346</v>
      </c>
      <c r="F244" s="81" t="s">
        <v>506</v>
      </c>
      <c r="G244" s="17" t="str">
        <f t="shared" si="13"/>
        <v>12</v>
      </c>
      <c r="H244" s="17" t="str">
        <f t="shared" si="14"/>
        <v>b</v>
      </c>
      <c r="I244" s="20" t="str">
        <f t="shared" si="15"/>
        <v>Life-long learning</v>
      </c>
      <c r="J244" s="21" t="str">
        <f t="shared" si="16"/>
        <v>Obtain and evaluate information or training from appropriate sources</v>
      </c>
      <c r="K244" s="3"/>
      <c r="L244" s="3"/>
      <c r="M244" s="3"/>
      <c r="N244" s="3"/>
      <c r="O244" s="16"/>
      <c r="P244" s="3"/>
      <c r="Q244" s="3"/>
      <c r="R244" s="3"/>
    </row>
    <row r="245" spans="1:18" x14ac:dyDescent="0.2">
      <c r="A245" s="79" t="s">
        <v>90</v>
      </c>
      <c r="B245" s="18" t="s">
        <v>71</v>
      </c>
      <c r="C245" s="18" t="s">
        <v>32</v>
      </c>
      <c r="D245" s="18" t="s">
        <v>91</v>
      </c>
      <c r="E245" s="19" t="s">
        <v>344</v>
      </c>
      <c r="F245" s="17" t="s">
        <v>506</v>
      </c>
      <c r="G245" s="17" t="str">
        <f t="shared" si="13"/>
        <v>12</v>
      </c>
      <c r="H245" s="17" t="str">
        <f t="shared" si="14"/>
        <v>b</v>
      </c>
      <c r="I245" s="20" t="str">
        <f t="shared" si="15"/>
        <v>Life-long learning</v>
      </c>
      <c r="J245" s="21" t="str">
        <f t="shared" si="16"/>
        <v>Obtain and evaluate information or training from appropriate sources</v>
      </c>
      <c r="K245" s="3"/>
      <c r="L245" s="3"/>
      <c r="M245" s="3"/>
      <c r="N245" s="3"/>
      <c r="O245" s="16"/>
      <c r="P245" s="3"/>
      <c r="Q245" s="3"/>
      <c r="R245" s="3"/>
    </row>
    <row r="246" spans="1:18" x14ac:dyDescent="0.2">
      <c r="A246" s="79" t="s">
        <v>90</v>
      </c>
      <c r="B246" s="18" t="s">
        <v>71</v>
      </c>
      <c r="C246" s="18" t="s">
        <v>32</v>
      </c>
      <c r="D246" s="18" t="s">
        <v>91</v>
      </c>
      <c r="E246" s="19" t="s">
        <v>345</v>
      </c>
      <c r="F246" s="17" t="s">
        <v>507</v>
      </c>
      <c r="G246" s="17" t="str">
        <f t="shared" si="13"/>
        <v>12</v>
      </c>
      <c r="H246" s="17" t="str">
        <f t="shared" si="14"/>
        <v>c</v>
      </c>
      <c r="I246" s="20" t="str">
        <f t="shared" si="15"/>
        <v>Life-long learning</v>
      </c>
      <c r="J246" s="21" t="str">
        <f t="shared" si="16"/>
        <v>Reflect on the use of information or training obtained</v>
      </c>
      <c r="K246" s="3"/>
      <c r="L246" s="3"/>
      <c r="M246" s="3"/>
      <c r="N246" s="3"/>
      <c r="O246" s="16"/>
      <c r="P246" s="3"/>
      <c r="Q246" s="3"/>
      <c r="R246" s="3"/>
    </row>
    <row r="247" spans="1:18" x14ac:dyDescent="0.2">
      <c r="A247" s="79" t="s">
        <v>90</v>
      </c>
      <c r="B247" s="18" t="s">
        <v>71</v>
      </c>
      <c r="C247" s="18" t="s">
        <v>32</v>
      </c>
      <c r="D247" s="18" t="s">
        <v>91</v>
      </c>
      <c r="E247" s="19" t="s">
        <v>400</v>
      </c>
      <c r="F247" s="17" t="s">
        <v>508</v>
      </c>
      <c r="G247" s="17" t="str">
        <f t="shared" si="13"/>
        <v>2</v>
      </c>
      <c r="H247" s="17" t="str">
        <f t="shared" si="14"/>
        <v>a</v>
      </c>
      <c r="I247" s="20" t="str">
        <f t="shared" si="15"/>
        <v xml:space="preserve">Problem Analysis </v>
      </c>
      <c r="J247" s="21" t="str">
        <f t="shared" si="16"/>
        <v>Identify / define a problem</v>
      </c>
      <c r="K247" s="3"/>
      <c r="L247" s="3"/>
      <c r="M247" s="3"/>
      <c r="N247" s="3"/>
      <c r="O247" s="16"/>
      <c r="P247" s="3"/>
      <c r="Q247" s="3"/>
      <c r="R247" s="3"/>
    </row>
    <row r="248" spans="1:18" x14ac:dyDescent="0.2">
      <c r="A248" s="79" t="s">
        <v>90</v>
      </c>
      <c r="B248" s="18" t="s">
        <v>71</v>
      </c>
      <c r="C248" s="18" t="s">
        <v>32</v>
      </c>
      <c r="D248" s="18" t="s">
        <v>91</v>
      </c>
      <c r="E248" s="19" t="s">
        <v>401</v>
      </c>
      <c r="F248" s="17" t="s">
        <v>510</v>
      </c>
      <c r="G248" s="17" t="str">
        <f t="shared" si="13"/>
        <v>2</v>
      </c>
      <c r="H248" s="17" t="str">
        <f t="shared" si="14"/>
        <v>c</v>
      </c>
      <c r="I248" s="20" t="str">
        <f t="shared" si="15"/>
        <v xml:space="preserve">Problem Analysis </v>
      </c>
      <c r="J248" s="21" t="str">
        <f t="shared" si="16"/>
        <v>Evaluate solutions of complex engineering problems to reach substantiated conclusions</v>
      </c>
      <c r="K248" s="3"/>
      <c r="L248" s="3"/>
      <c r="M248" s="3"/>
      <c r="N248" s="3"/>
      <c r="O248" s="16"/>
      <c r="P248" s="3"/>
      <c r="Q248" s="3"/>
      <c r="R248" s="3"/>
    </row>
    <row r="249" spans="1:18" x14ac:dyDescent="0.2">
      <c r="A249" s="79" t="s">
        <v>90</v>
      </c>
      <c r="B249" s="18" t="s">
        <v>71</v>
      </c>
      <c r="C249" s="18" t="s">
        <v>32</v>
      </c>
      <c r="D249" s="18" t="s">
        <v>91</v>
      </c>
      <c r="E249" s="19" t="s">
        <v>222</v>
      </c>
      <c r="F249" s="17" t="s">
        <v>512</v>
      </c>
      <c r="G249" s="17" t="str">
        <f t="shared" si="13"/>
        <v>3</v>
      </c>
      <c r="H249" s="17" t="str">
        <f t="shared" si="14"/>
        <v>a</v>
      </c>
      <c r="I249" s="20" t="str">
        <f t="shared" si="15"/>
        <v>Investigation</v>
      </c>
      <c r="J249" s="21" t="str">
        <f t="shared" si="16"/>
        <v>Identify critical issues of complex engineering problems to form testable hypotheses and design experiments.</v>
      </c>
      <c r="K249" s="3"/>
      <c r="L249" s="3"/>
      <c r="M249" s="3"/>
      <c r="N249" s="3"/>
      <c r="O249" s="16"/>
      <c r="P249" s="3"/>
      <c r="Q249" s="3"/>
      <c r="R249" s="3"/>
    </row>
    <row r="250" spans="1:18" x14ac:dyDescent="0.2">
      <c r="A250" s="79" t="s">
        <v>90</v>
      </c>
      <c r="B250" s="18" t="s">
        <v>71</v>
      </c>
      <c r="C250" s="18" t="s">
        <v>32</v>
      </c>
      <c r="D250" s="18" t="s">
        <v>91</v>
      </c>
      <c r="E250" s="19" t="s">
        <v>221</v>
      </c>
      <c r="F250" s="17" t="s">
        <v>513</v>
      </c>
      <c r="G250" s="17" t="str">
        <f t="shared" si="13"/>
        <v>3</v>
      </c>
      <c r="H250" s="17" t="str">
        <f t="shared" si="14"/>
        <v>b</v>
      </c>
      <c r="I250" s="20" t="str">
        <f t="shared" si="15"/>
        <v>Investigation</v>
      </c>
      <c r="J250" s="21" t="str">
        <f t="shared" si="16"/>
        <v>Conduct experiments and gather and process data.</v>
      </c>
      <c r="K250" s="3"/>
      <c r="L250" s="3"/>
      <c r="M250" s="3"/>
      <c r="N250" s="3"/>
      <c r="O250" s="16"/>
      <c r="P250" s="3"/>
      <c r="Q250" s="3"/>
      <c r="R250" s="3"/>
    </row>
    <row r="251" spans="1:18" x14ac:dyDescent="0.2">
      <c r="A251" s="79" t="s">
        <v>90</v>
      </c>
      <c r="B251" s="18" t="s">
        <v>71</v>
      </c>
      <c r="C251" s="18" t="s">
        <v>32</v>
      </c>
      <c r="D251" s="18" t="s">
        <v>91</v>
      </c>
      <c r="E251" s="19" t="s">
        <v>149</v>
      </c>
      <c r="F251" s="17" t="s">
        <v>516</v>
      </c>
      <c r="G251" s="17" t="str">
        <f t="shared" si="13"/>
        <v>4</v>
      </c>
      <c r="H251" s="17" t="str">
        <f t="shared" si="14"/>
        <v>b</v>
      </c>
      <c r="I251" s="20" t="str">
        <f t="shared" si="15"/>
        <v>Design</v>
      </c>
      <c r="J251" s="21" t="str">
        <f t="shared" si="16"/>
        <v>Generate and implement solutions to complex open-ended problems</v>
      </c>
      <c r="K251" s="3"/>
      <c r="L251" s="3"/>
      <c r="M251" s="3"/>
      <c r="N251" s="3"/>
      <c r="O251" s="16"/>
      <c r="P251" s="3"/>
      <c r="Q251" s="3"/>
      <c r="R251" s="3"/>
    </row>
    <row r="252" spans="1:18" x14ac:dyDescent="0.2">
      <c r="A252" s="79" t="s">
        <v>90</v>
      </c>
      <c r="B252" s="18" t="s">
        <v>71</v>
      </c>
      <c r="C252" s="18" t="s">
        <v>32</v>
      </c>
      <c r="D252" s="18" t="s">
        <v>91</v>
      </c>
      <c r="E252" s="19" t="s">
        <v>150</v>
      </c>
      <c r="F252" s="17" t="s">
        <v>517</v>
      </c>
      <c r="G252" s="17" t="str">
        <f t="shared" si="13"/>
        <v>4</v>
      </c>
      <c r="H252" s="17" t="str">
        <f t="shared" si="14"/>
        <v>c</v>
      </c>
      <c r="I252" s="20" t="str">
        <f t="shared" si="15"/>
        <v>Design</v>
      </c>
      <c r="J252" s="21" t="str">
        <f t="shared" si="16"/>
        <v>Evaluate/test solutions and refine designs to better meet requirements</v>
      </c>
      <c r="K252" s="3"/>
      <c r="L252" s="3"/>
      <c r="M252" s="3"/>
      <c r="N252" s="3"/>
      <c r="O252" s="16"/>
      <c r="P252" s="3"/>
      <c r="Q252" s="3"/>
      <c r="R252" s="3"/>
    </row>
    <row r="253" spans="1:18" x14ac:dyDescent="0.2">
      <c r="A253" s="79" t="s">
        <v>90</v>
      </c>
      <c r="B253" s="18" t="s">
        <v>71</v>
      </c>
      <c r="C253" s="18" t="s">
        <v>32</v>
      </c>
      <c r="D253" s="18" t="s">
        <v>91</v>
      </c>
      <c r="E253" s="19" t="s">
        <v>185</v>
      </c>
      <c r="F253" s="17" t="s">
        <v>518</v>
      </c>
      <c r="G253" s="17" t="str">
        <f t="shared" si="13"/>
        <v>5</v>
      </c>
      <c r="H253" s="17" t="str">
        <f t="shared" si="14"/>
        <v>a</v>
      </c>
      <c r="I253" s="20" t="str">
        <f t="shared" si="15"/>
        <v>Use of Engineering Tools</v>
      </c>
      <c r="J253" s="21" t="str">
        <f t="shared" si="16"/>
        <v>Select appropriate engineering tools8, considering their limitations</v>
      </c>
      <c r="K253" s="3"/>
      <c r="L253" s="3"/>
      <c r="M253" s="3"/>
      <c r="N253" s="3"/>
      <c r="O253" s="16"/>
      <c r="P253" s="3"/>
      <c r="Q253" s="3"/>
      <c r="R253" s="3"/>
    </row>
    <row r="254" spans="1:18" x14ac:dyDescent="0.2">
      <c r="A254" s="79" t="s">
        <v>90</v>
      </c>
      <c r="B254" s="18" t="s">
        <v>71</v>
      </c>
      <c r="C254" s="18" t="s">
        <v>32</v>
      </c>
      <c r="D254" s="18" t="s">
        <v>91</v>
      </c>
      <c r="E254" s="19" t="s">
        <v>454</v>
      </c>
      <c r="F254" s="17" t="s">
        <v>526</v>
      </c>
      <c r="G254" s="17" t="str">
        <f t="shared" si="13"/>
        <v>6</v>
      </c>
      <c r="H254" s="17" t="str">
        <f t="shared" si="14"/>
        <v>a</v>
      </c>
      <c r="I254" s="20" t="str">
        <f t="shared" si="15"/>
        <v>Individual and team work</v>
      </c>
      <c r="J254" s="21" t="str">
        <f t="shared" si="16"/>
        <v>Contribute as an active team member or leader to complete individual tasks</v>
      </c>
      <c r="K254" s="3"/>
      <c r="L254" s="3"/>
      <c r="M254" s="3"/>
      <c r="N254" s="3"/>
      <c r="O254" s="16"/>
      <c r="P254" s="3"/>
      <c r="Q254" s="3"/>
      <c r="R254" s="3"/>
    </row>
    <row r="255" spans="1:18" x14ac:dyDescent="0.2">
      <c r="A255" s="79" t="s">
        <v>90</v>
      </c>
      <c r="B255" s="18" t="s">
        <v>71</v>
      </c>
      <c r="C255" s="18" t="s">
        <v>32</v>
      </c>
      <c r="D255" s="18" t="s">
        <v>91</v>
      </c>
      <c r="E255" s="19" t="s">
        <v>458</v>
      </c>
      <c r="F255" s="17" t="s">
        <v>526</v>
      </c>
      <c r="G255" s="17" t="str">
        <f t="shared" si="13"/>
        <v>6</v>
      </c>
      <c r="H255" s="17" t="str">
        <f t="shared" si="14"/>
        <v>a</v>
      </c>
      <c r="I255" s="20" t="str">
        <f t="shared" si="15"/>
        <v>Individual and team work</v>
      </c>
      <c r="J255" s="21" t="str">
        <f t="shared" si="16"/>
        <v>Contribute as an active team member or leader to complete individual tasks</v>
      </c>
      <c r="K255" s="3"/>
      <c r="L255" s="3"/>
      <c r="M255" s="3"/>
      <c r="N255" s="3"/>
      <c r="O255" s="16"/>
      <c r="P255" s="3"/>
      <c r="Q255" s="3"/>
      <c r="R255" s="3"/>
    </row>
    <row r="256" spans="1:18" x14ac:dyDescent="0.2">
      <c r="A256" s="79" t="s">
        <v>90</v>
      </c>
      <c r="B256" s="18" t="s">
        <v>71</v>
      </c>
      <c r="C256" s="18" t="s">
        <v>32</v>
      </c>
      <c r="D256" s="18" t="s">
        <v>91</v>
      </c>
      <c r="E256" s="19" t="s">
        <v>456</v>
      </c>
      <c r="F256" s="17" t="s">
        <v>526</v>
      </c>
      <c r="G256" s="17" t="str">
        <f t="shared" si="13"/>
        <v>6</v>
      </c>
      <c r="H256" s="17" t="str">
        <f t="shared" si="14"/>
        <v>a</v>
      </c>
      <c r="I256" s="20" t="str">
        <f t="shared" si="15"/>
        <v>Individual and team work</v>
      </c>
      <c r="J256" s="21" t="str">
        <f t="shared" si="16"/>
        <v>Contribute as an active team member or leader to complete individual tasks</v>
      </c>
      <c r="K256" s="3"/>
      <c r="L256" s="3"/>
      <c r="M256" s="3"/>
      <c r="N256" s="3"/>
      <c r="O256" s="16"/>
      <c r="P256" s="3"/>
      <c r="Q256" s="3"/>
      <c r="R256" s="3"/>
    </row>
    <row r="257" spans="1:18" x14ac:dyDescent="0.2">
      <c r="A257" s="79" t="s">
        <v>90</v>
      </c>
      <c r="B257" s="18" t="s">
        <v>71</v>
      </c>
      <c r="C257" s="18" t="s">
        <v>32</v>
      </c>
      <c r="D257" s="18" t="s">
        <v>91</v>
      </c>
      <c r="E257" s="19" t="s">
        <v>459</v>
      </c>
      <c r="F257" s="17" t="s">
        <v>526</v>
      </c>
      <c r="G257" s="17" t="str">
        <f t="shared" si="13"/>
        <v>6</v>
      </c>
      <c r="H257" s="17" t="str">
        <f t="shared" si="14"/>
        <v>a</v>
      </c>
      <c r="I257" s="20" t="str">
        <f t="shared" si="15"/>
        <v>Individual and team work</v>
      </c>
      <c r="J257" s="21" t="str">
        <f t="shared" si="16"/>
        <v>Contribute as an active team member or leader to complete individual tasks</v>
      </c>
      <c r="K257" s="3"/>
      <c r="L257" s="3"/>
      <c r="M257" s="3"/>
      <c r="N257" s="3"/>
      <c r="O257" s="16"/>
      <c r="P257" s="3"/>
      <c r="Q257" s="3"/>
      <c r="R257" s="3"/>
    </row>
    <row r="258" spans="1:18" x14ac:dyDescent="0.2">
      <c r="A258" s="79" t="s">
        <v>90</v>
      </c>
      <c r="B258" s="18" t="s">
        <v>71</v>
      </c>
      <c r="C258" s="18" t="s">
        <v>32</v>
      </c>
      <c r="D258" s="18" t="s">
        <v>91</v>
      </c>
      <c r="E258" s="19" t="s">
        <v>455</v>
      </c>
      <c r="F258" s="17" t="s">
        <v>527</v>
      </c>
      <c r="G258" s="17" t="str">
        <f t="shared" ref="G258:G321" si="17">IF(LEN(F258)=2,LEFT(F258,1),LEFT(F258,2))</f>
        <v>6</v>
      </c>
      <c r="H258" s="17" t="str">
        <f t="shared" ref="H258:H321" si="18">RIGHT(F258,1)</f>
        <v>b</v>
      </c>
      <c r="I258" s="20" t="str">
        <f t="shared" ref="I258:I321" si="19">IFERROR(VLOOKUP(F258,$N$2:$Q$39,4,FALSE),0)</f>
        <v>Individual and team work</v>
      </c>
      <c r="J258" s="21" t="str">
        <f t="shared" ref="J258:J321" si="20">IFERROR(VLOOKUP(F258,$N$2:$O$39,2,FALSE),0)</f>
        <v>Collaborate with others to complete tasks effectively as a team</v>
      </c>
      <c r="K258" s="3"/>
      <c r="L258" s="3"/>
      <c r="M258" s="3"/>
      <c r="N258" s="3"/>
      <c r="O258" s="16"/>
      <c r="P258" s="3"/>
      <c r="Q258" s="3"/>
      <c r="R258" s="3"/>
    </row>
    <row r="259" spans="1:18" x14ac:dyDescent="0.2">
      <c r="A259" s="79" t="s">
        <v>90</v>
      </c>
      <c r="B259" s="18" t="s">
        <v>71</v>
      </c>
      <c r="C259" s="18" t="s">
        <v>32</v>
      </c>
      <c r="D259" s="18" t="s">
        <v>91</v>
      </c>
      <c r="E259" s="19" t="s">
        <v>457</v>
      </c>
      <c r="F259" s="17" t="s">
        <v>527</v>
      </c>
      <c r="G259" s="17" t="str">
        <f t="shared" si="17"/>
        <v>6</v>
      </c>
      <c r="H259" s="17" t="str">
        <f t="shared" si="18"/>
        <v>b</v>
      </c>
      <c r="I259" s="20" t="str">
        <f t="shared" si="19"/>
        <v>Individual and team work</v>
      </c>
      <c r="J259" s="21" t="str">
        <f t="shared" si="20"/>
        <v>Collaborate with others to complete tasks effectively as a team</v>
      </c>
      <c r="K259" s="3"/>
      <c r="L259" s="3"/>
      <c r="M259" s="3"/>
      <c r="N259" s="3"/>
      <c r="O259" s="16"/>
      <c r="P259" s="3"/>
      <c r="Q259" s="3"/>
      <c r="R259" s="3"/>
    </row>
    <row r="260" spans="1:18" x14ac:dyDescent="0.2">
      <c r="A260" s="79" t="s">
        <v>90</v>
      </c>
      <c r="B260" s="18" t="s">
        <v>71</v>
      </c>
      <c r="C260" s="18" t="s">
        <v>32</v>
      </c>
      <c r="D260" s="18" t="s">
        <v>91</v>
      </c>
      <c r="E260" s="19" t="s">
        <v>87</v>
      </c>
      <c r="F260" s="17" t="s">
        <v>528</v>
      </c>
      <c r="G260" s="17" t="str">
        <f t="shared" si="17"/>
        <v>7</v>
      </c>
      <c r="H260" s="17" t="str">
        <f t="shared" si="18"/>
        <v>b</v>
      </c>
      <c r="I260" s="20" t="str">
        <f t="shared" si="19"/>
        <v>Communication Skills</v>
      </c>
      <c r="J260" s="21" t="str">
        <f t="shared" si="20"/>
        <v>Orally present information within the profession and to society at large</v>
      </c>
      <c r="K260" s="3"/>
      <c r="L260" s="3"/>
      <c r="M260" s="3"/>
      <c r="N260" s="3"/>
      <c r="O260" s="16"/>
      <c r="P260" s="3"/>
      <c r="Q260" s="3"/>
      <c r="R260" s="3"/>
    </row>
    <row r="261" spans="1:18" x14ac:dyDescent="0.2">
      <c r="A261" s="79" t="s">
        <v>90</v>
      </c>
      <c r="B261" s="18" t="s">
        <v>71</v>
      </c>
      <c r="C261" s="18" t="s">
        <v>32</v>
      </c>
      <c r="D261" s="18" t="s">
        <v>91</v>
      </c>
      <c r="E261" s="19" t="s">
        <v>529</v>
      </c>
      <c r="F261" s="17" t="s">
        <v>530</v>
      </c>
      <c r="G261" s="17" t="str">
        <f t="shared" si="17"/>
        <v>7</v>
      </c>
      <c r="H261" s="17" t="str">
        <f t="shared" si="18"/>
        <v>a</v>
      </c>
      <c r="I261" s="20" t="str">
        <f t="shared" si="19"/>
        <v>Communication Skills</v>
      </c>
      <c r="J261" s="21" t="str">
        <f t="shared" si="20"/>
        <v>Generate appropriate documentation to communicate within the profession and to society at large</v>
      </c>
      <c r="K261" s="3"/>
      <c r="L261" s="3"/>
      <c r="M261" s="3"/>
      <c r="N261" s="3"/>
      <c r="O261" s="16"/>
      <c r="P261" s="3"/>
      <c r="Q261" s="3"/>
      <c r="R261" s="3"/>
    </row>
    <row r="262" spans="1:18" x14ac:dyDescent="0.2">
      <c r="A262" s="79" t="s">
        <v>90</v>
      </c>
      <c r="B262" s="18" t="s">
        <v>71</v>
      </c>
      <c r="C262" s="18" t="s">
        <v>32</v>
      </c>
      <c r="D262" s="18" t="s">
        <v>91</v>
      </c>
      <c r="E262" s="19" t="s">
        <v>93</v>
      </c>
      <c r="F262" s="17" t="s">
        <v>530</v>
      </c>
      <c r="G262" s="17" t="str">
        <f t="shared" si="17"/>
        <v>7</v>
      </c>
      <c r="H262" s="17" t="str">
        <f t="shared" si="18"/>
        <v>a</v>
      </c>
      <c r="I262" s="20" t="str">
        <f t="shared" si="19"/>
        <v>Communication Skills</v>
      </c>
      <c r="J262" s="21" t="str">
        <f t="shared" si="20"/>
        <v>Generate appropriate documentation to communicate within the profession and to society at large</v>
      </c>
      <c r="K262" s="3"/>
      <c r="L262" s="3"/>
      <c r="M262" s="3"/>
      <c r="N262" s="3"/>
      <c r="O262" s="16"/>
      <c r="P262" s="3"/>
      <c r="Q262" s="3"/>
      <c r="R262" s="3"/>
    </row>
    <row r="263" spans="1:18" x14ac:dyDescent="0.2">
      <c r="A263" s="79" t="s">
        <v>90</v>
      </c>
      <c r="B263" s="18" t="s">
        <v>71</v>
      </c>
      <c r="C263" s="18" t="s">
        <v>32</v>
      </c>
      <c r="D263" s="18" t="s">
        <v>91</v>
      </c>
      <c r="E263" s="19" t="s">
        <v>92</v>
      </c>
      <c r="F263" s="17" t="s">
        <v>530</v>
      </c>
      <c r="G263" s="17" t="str">
        <f t="shared" si="17"/>
        <v>7</v>
      </c>
      <c r="H263" s="17" t="str">
        <f t="shared" si="18"/>
        <v>a</v>
      </c>
      <c r="I263" s="20" t="str">
        <f t="shared" si="19"/>
        <v>Communication Skills</v>
      </c>
      <c r="J263" s="21" t="str">
        <f t="shared" si="20"/>
        <v>Generate appropriate documentation to communicate within the profession and to society at large</v>
      </c>
      <c r="K263" s="3"/>
      <c r="L263" s="3"/>
      <c r="M263" s="3"/>
      <c r="N263" s="3"/>
      <c r="O263" s="16"/>
      <c r="P263" s="3"/>
      <c r="Q263" s="3"/>
      <c r="R263" s="3"/>
    </row>
    <row r="264" spans="1:18" x14ac:dyDescent="0.2">
      <c r="A264" s="79" t="s">
        <v>90</v>
      </c>
      <c r="B264" s="18" t="s">
        <v>71</v>
      </c>
      <c r="C264" s="18" t="s">
        <v>32</v>
      </c>
      <c r="D264" s="18" t="s">
        <v>91</v>
      </c>
      <c r="E264" s="19" t="s">
        <v>86</v>
      </c>
      <c r="F264" s="17" t="s">
        <v>530</v>
      </c>
      <c r="G264" s="17" t="str">
        <f t="shared" si="17"/>
        <v>7</v>
      </c>
      <c r="H264" s="17" t="str">
        <f t="shared" si="18"/>
        <v>a</v>
      </c>
      <c r="I264" s="20" t="str">
        <f t="shared" si="19"/>
        <v>Communication Skills</v>
      </c>
      <c r="J264" s="21" t="str">
        <f t="shared" si="20"/>
        <v>Generate appropriate documentation to communicate within the profession and to society at large</v>
      </c>
      <c r="K264" s="3"/>
      <c r="L264" s="3"/>
      <c r="M264" s="3"/>
      <c r="N264" s="3"/>
      <c r="O264" s="16"/>
      <c r="P264" s="3"/>
      <c r="Q264" s="3"/>
      <c r="R264" s="3"/>
    </row>
    <row r="265" spans="1:18" x14ac:dyDescent="0.2">
      <c r="A265" s="79" t="s">
        <v>90</v>
      </c>
      <c r="B265" s="18" t="s">
        <v>71</v>
      </c>
      <c r="C265" s="18" t="s">
        <v>32</v>
      </c>
      <c r="D265" s="18" t="s">
        <v>91</v>
      </c>
      <c r="E265" s="19" t="s">
        <v>439</v>
      </c>
      <c r="F265" s="17" t="s">
        <v>545</v>
      </c>
      <c r="G265" s="17" t="str">
        <f t="shared" si="17"/>
        <v>8</v>
      </c>
      <c r="H265" s="17" t="str">
        <f t="shared" si="18"/>
        <v>a</v>
      </c>
      <c r="I265" s="20" t="str">
        <f t="shared" si="19"/>
        <v>Professionalism</v>
      </c>
      <c r="J265" s="21" t="str">
        <f t="shared" si="20"/>
        <v>Articulate the roles and responsibilities of the professional engineer in society with reference to the protection of the public and its interest</v>
      </c>
      <c r="K265" s="3"/>
      <c r="L265" s="3"/>
      <c r="M265" s="3"/>
      <c r="N265" s="3"/>
      <c r="O265" s="16"/>
      <c r="P265" s="3"/>
      <c r="Q265" s="3"/>
      <c r="R265" s="3"/>
    </row>
    <row r="266" spans="1:18" x14ac:dyDescent="0.2">
      <c r="A266" s="79" t="s">
        <v>90</v>
      </c>
      <c r="B266" s="18" t="s">
        <v>71</v>
      </c>
      <c r="C266" s="18" t="s">
        <v>32</v>
      </c>
      <c r="D266" s="18" t="s">
        <v>91</v>
      </c>
      <c r="E266" s="19" t="s">
        <v>59</v>
      </c>
      <c r="F266" s="17" t="s">
        <v>545</v>
      </c>
      <c r="G266" s="17" t="str">
        <f t="shared" si="17"/>
        <v>8</v>
      </c>
      <c r="H266" s="17" t="str">
        <f t="shared" si="18"/>
        <v>a</v>
      </c>
      <c r="I266" s="20" t="str">
        <f t="shared" si="19"/>
        <v>Professionalism</v>
      </c>
      <c r="J266" s="21" t="str">
        <f t="shared" si="20"/>
        <v>Articulate the roles and responsibilities of the professional engineer in society with reference to the protection of the public and its interest</v>
      </c>
      <c r="K266" s="3"/>
      <c r="L266" s="3"/>
      <c r="M266" s="3"/>
      <c r="N266" s="3"/>
      <c r="O266" s="16"/>
      <c r="P266" s="3"/>
      <c r="Q266" s="3"/>
      <c r="R266" s="3"/>
    </row>
    <row r="267" spans="1:18" x14ac:dyDescent="0.2">
      <c r="A267" s="79" t="s">
        <v>90</v>
      </c>
      <c r="B267" s="18" t="s">
        <v>71</v>
      </c>
      <c r="C267" s="18" t="s">
        <v>32</v>
      </c>
      <c r="D267" s="18" t="s">
        <v>91</v>
      </c>
      <c r="E267" s="19" t="s">
        <v>200</v>
      </c>
      <c r="F267" s="17" t="s">
        <v>511</v>
      </c>
      <c r="G267" s="17" t="str">
        <f t="shared" si="17"/>
        <v>9</v>
      </c>
      <c r="H267" s="17" t="str">
        <f t="shared" si="18"/>
        <v>a</v>
      </c>
      <c r="I267" s="20" t="str">
        <f t="shared" si="19"/>
        <v>Impact of engineering</v>
      </c>
      <c r="J267" s="21" t="str">
        <f t="shared" si="20"/>
        <v>Identify the relevance of and uncertainty associated with the different aspects (social, cultural, economic, health, safety, legal, environmental) of an engineering project</v>
      </c>
      <c r="K267" s="3"/>
      <c r="L267" s="3"/>
      <c r="M267" s="3"/>
      <c r="N267" s="3"/>
      <c r="O267" s="16"/>
      <c r="P267" s="3"/>
      <c r="Q267" s="3"/>
      <c r="R267" s="3"/>
    </row>
    <row r="268" spans="1:18" x14ac:dyDescent="0.2">
      <c r="A268" s="79" t="s">
        <v>90</v>
      </c>
      <c r="B268" s="18" t="s">
        <v>71</v>
      </c>
      <c r="C268" s="18" t="s">
        <v>32</v>
      </c>
      <c r="D268" s="18" t="s">
        <v>91</v>
      </c>
      <c r="E268" s="19" t="s">
        <v>199</v>
      </c>
      <c r="F268" s="17" t="s">
        <v>511</v>
      </c>
      <c r="G268" s="17" t="str">
        <f t="shared" si="17"/>
        <v>9</v>
      </c>
      <c r="H268" s="17" t="str">
        <f t="shared" si="18"/>
        <v>a</v>
      </c>
      <c r="I268" s="20" t="str">
        <f t="shared" si="19"/>
        <v>Impact of engineering</v>
      </c>
      <c r="J268" s="21" t="str">
        <f t="shared" si="20"/>
        <v>Identify the relevance of and uncertainty associated with the different aspects (social, cultural, economic, health, safety, legal, environmental) of an engineering project</v>
      </c>
      <c r="K268" s="3"/>
      <c r="L268" s="3"/>
      <c r="M268" s="3"/>
      <c r="N268" s="3"/>
      <c r="O268" s="16"/>
      <c r="P268" s="3"/>
      <c r="Q268" s="3"/>
      <c r="R268" s="3"/>
    </row>
    <row r="269" spans="1:18" ht="30" x14ac:dyDescent="0.2">
      <c r="A269" s="79" t="s">
        <v>90</v>
      </c>
      <c r="B269" s="18" t="s">
        <v>71</v>
      </c>
      <c r="C269" s="18" t="s">
        <v>32</v>
      </c>
      <c r="D269" s="18" t="s">
        <v>91</v>
      </c>
      <c r="E269" s="19" t="s">
        <v>198</v>
      </c>
      <c r="F269" s="17" t="s">
        <v>511</v>
      </c>
      <c r="G269" s="17" t="str">
        <f t="shared" si="17"/>
        <v>9</v>
      </c>
      <c r="H269" s="17" t="str">
        <f t="shared" si="18"/>
        <v>a</v>
      </c>
      <c r="I269" s="20" t="str">
        <f t="shared" si="19"/>
        <v>Impact of engineering</v>
      </c>
      <c r="J269" s="21" t="str">
        <f t="shared" si="20"/>
        <v>Identify the relevance of and uncertainty associated with the different aspects (social, cultural, economic, health, safety, legal, environmental) of an engineering project</v>
      </c>
      <c r="K269" s="3"/>
      <c r="L269" s="3"/>
      <c r="M269" s="3"/>
      <c r="N269" s="3"/>
      <c r="O269" s="16"/>
      <c r="P269" s="3"/>
      <c r="Q269" s="3"/>
      <c r="R269" s="3"/>
    </row>
    <row r="270" spans="1:18" x14ac:dyDescent="0.2">
      <c r="A270" s="79" t="s">
        <v>94</v>
      </c>
      <c r="B270" s="18" t="s">
        <v>74</v>
      </c>
      <c r="C270" s="18" t="s">
        <v>33</v>
      </c>
      <c r="D270" s="18" t="s">
        <v>85</v>
      </c>
      <c r="E270" s="19" t="s">
        <v>302</v>
      </c>
      <c r="F270" s="17" t="s">
        <v>494</v>
      </c>
      <c r="G270" s="17" t="str">
        <f t="shared" si="17"/>
        <v>1</v>
      </c>
      <c r="H270" s="17" t="str">
        <f t="shared" si="18"/>
        <v>d</v>
      </c>
      <c r="I270" s="20" t="str">
        <f t="shared" si="19"/>
        <v>Knowledge base for engineering</v>
      </c>
      <c r="J270" s="21" t="str">
        <f t="shared" si="20"/>
        <v>Demonstrate understanding of specialized engineering knowledge</v>
      </c>
      <c r="K270" s="3"/>
      <c r="L270" s="3"/>
      <c r="M270" s="3"/>
      <c r="N270" s="3"/>
      <c r="O270" s="16"/>
      <c r="P270" s="3"/>
      <c r="Q270" s="3"/>
      <c r="R270" s="3"/>
    </row>
    <row r="271" spans="1:18" ht="30" x14ac:dyDescent="0.2">
      <c r="A271" s="79" t="s">
        <v>94</v>
      </c>
      <c r="B271" s="18" t="s">
        <v>74</v>
      </c>
      <c r="C271" s="18" t="s">
        <v>33</v>
      </c>
      <c r="D271" s="18" t="s">
        <v>85</v>
      </c>
      <c r="E271" s="19" t="s">
        <v>402</v>
      </c>
      <c r="F271" s="17" t="s">
        <v>510</v>
      </c>
      <c r="G271" s="17" t="str">
        <f t="shared" si="17"/>
        <v>2</v>
      </c>
      <c r="H271" s="17" t="str">
        <f t="shared" si="18"/>
        <v>c</v>
      </c>
      <c r="I271" s="20" t="str">
        <f t="shared" si="19"/>
        <v xml:space="preserve">Problem Analysis </v>
      </c>
      <c r="J271" s="21" t="str">
        <f t="shared" si="20"/>
        <v>Evaluate solutions of complex engineering problems to reach substantiated conclusions</v>
      </c>
      <c r="K271" s="3"/>
      <c r="L271" s="3"/>
      <c r="M271" s="3"/>
      <c r="N271" s="3"/>
      <c r="O271" s="16"/>
      <c r="P271" s="3"/>
      <c r="Q271" s="3"/>
      <c r="R271" s="3"/>
    </row>
    <row r="272" spans="1:18" ht="30" x14ac:dyDescent="0.2">
      <c r="A272" s="79" t="s">
        <v>94</v>
      </c>
      <c r="B272" s="18" t="s">
        <v>74</v>
      </c>
      <c r="C272" s="18" t="s">
        <v>33</v>
      </c>
      <c r="D272" s="18" t="s">
        <v>85</v>
      </c>
      <c r="E272" s="19" t="s">
        <v>223</v>
      </c>
      <c r="F272" s="17" t="s">
        <v>513</v>
      </c>
      <c r="G272" s="17" t="str">
        <f t="shared" si="17"/>
        <v>3</v>
      </c>
      <c r="H272" s="17" t="str">
        <f t="shared" si="18"/>
        <v>b</v>
      </c>
      <c r="I272" s="20" t="str">
        <f t="shared" si="19"/>
        <v>Investigation</v>
      </c>
      <c r="J272" s="21" t="str">
        <f t="shared" si="20"/>
        <v>Conduct experiments and gather and process data.</v>
      </c>
      <c r="K272" s="3"/>
      <c r="L272" s="3"/>
      <c r="M272" s="3"/>
      <c r="N272" s="3"/>
      <c r="O272" s="16"/>
      <c r="P272" s="3"/>
      <c r="Q272" s="3"/>
      <c r="R272" s="3"/>
    </row>
    <row r="273" spans="1:18" x14ac:dyDescent="0.2">
      <c r="A273" s="79" t="s">
        <v>94</v>
      </c>
      <c r="B273" s="18" t="s">
        <v>74</v>
      </c>
      <c r="C273" s="18" t="s">
        <v>33</v>
      </c>
      <c r="D273" s="18" t="s">
        <v>85</v>
      </c>
      <c r="E273" s="19" t="s">
        <v>95</v>
      </c>
      <c r="F273" s="17" t="s">
        <v>530</v>
      </c>
      <c r="G273" s="17" t="str">
        <f t="shared" si="17"/>
        <v>7</v>
      </c>
      <c r="H273" s="17" t="str">
        <f t="shared" si="18"/>
        <v>a</v>
      </c>
      <c r="I273" s="20" t="str">
        <f t="shared" si="19"/>
        <v>Communication Skills</v>
      </c>
      <c r="J273" s="21" t="str">
        <f t="shared" si="20"/>
        <v>Generate appropriate documentation to communicate within the profession and to society at large</v>
      </c>
      <c r="K273" s="3"/>
      <c r="L273" s="3"/>
      <c r="M273" s="3"/>
      <c r="N273" s="3"/>
      <c r="O273" s="16"/>
      <c r="P273" s="3"/>
      <c r="Q273" s="3"/>
      <c r="R273" s="3"/>
    </row>
    <row r="274" spans="1:18" x14ac:dyDescent="0.2">
      <c r="A274" s="79" t="s">
        <v>94</v>
      </c>
      <c r="B274" s="18" t="s">
        <v>74</v>
      </c>
      <c r="C274" s="18" t="s">
        <v>33</v>
      </c>
      <c r="D274" s="18" t="s">
        <v>85</v>
      </c>
      <c r="E274" s="19" t="s">
        <v>96</v>
      </c>
      <c r="F274" s="17" t="s">
        <v>530</v>
      </c>
      <c r="G274" s="17" t="str">
        <f t="shared" si="17"/>
        <v>7</v>
      </c>
      <c r="H274" s="17" t="str">
        <f t="shared" si="18"/>
        <v>a</v>
      </c>
      <c r="I274" s="20" t="str">
        <f t="shared" si="19"/>
        <v>Communication Skills</v>
      </c>
      <c r="J274" s="21" t="str">
        <f t="shared" si="20"/>
        <v>Generate appropriate documentation to communicate within the profession and to society at large</v>
      </c>
      <c r="K274" s="3"/>
      <c r="L274" s="3"/>
      <c r="M274" s="3"/>
      <c r="N274" s="3"/>
      <c r="O274" s="16"/>
      <c r="P274" s="3"/>
      <c r="Q274" s="3"/>
      <c r="R274" s="3"/>
    </row>
    <row r="275" spans="1:18" x14ac:dyDescent="0.2">
      <c r="A275" s="79" t="s">
        <v>94</v>
      </c>
      <c r="B275" s="18" t="s">
        <v>74</v>
      </c>
      <c r="C275" s="18" t="s">
        <v>33</v>
      </c>
      <c r="D275" s="18" t="s">
        <v>85</v>
      </c>
      <c r="E275" s="19" t="s">
        <v>544</v>
      </c>
      <c r="F275" s="17" t="s">
        <v>542</v>
      </c>
      <c r="G275" s="17" t="str">
        <f t="shared" si="17"/>
        <v>7</v>
      </c>
      <c r="H275" s="17" t="str">
        <f t="shared" si="18"/>
        <v>c</v>
      </c>
      <c r="I275" s="20" t="str">
        <f t="shared" si="19"/>
        <v>Communication Skills</v>
      </c>
      <c r="J275" s="21" t="str">
        <f t="shared" si="20"/>
        <v>Comprehend and Interpret information, including solutions, results and instructions</v>
      </c>
      <c r="K275" s="3"/>
      <c r="L275" s="3"/>
      <c r="M275" s="3"/>
      <c r="N275" s="3"/>
      <c r="O275" s="16"/>
      <c r="P275" s="3"/>
      <c r="Q275" s="3"/>
      <c r="R275" s="3"/>
    </row>
    <row r="276" spans="1:18" x14ac:dyDescent="0.2">
      <c r="A276" s="79" t="s">
        <v>201</v>
      </c>
      <c r="B276" s="18" t="s">
        <v>67</v>
      </c>
      <c r="C276" s="18" t="s">
        <v>33</v>
      </c>
      <c r="D276" s="18" t="s">
        <v>127</v>
      </c>
      <c r="E276" s="19" t="s">
        <v>305</v>
      </c>
      <c r="F276" s="17" t="s">
        <v>494</v>
      </c>
      <c r="G276" s="17" t="str">
        <f t="shared" si="17"/>
        <v>1</v>
      </c>
      <c r="H276" s="17" t="str">
        <f t="shared" si="18"/>
        <v>d</v>
      </c>
      <c r="I276" s="20" t="str">
        <f t="shared" si="19"/>
        <v>Knowledge base for engineering</v>
      </c>
      <c r="J276" s="21" t="str">
        <f t="shared" si="20"/>
        <v>Demonstrate understanding of specialized engineering knowledge</v>
      </c>
      <c r="K276" s="3"/>
      <c r="L276" s="3"/>
      <c r="M276" s="3"/>
      <c r="N276" s="3"/>
      <c r="O276" s="16"/>
      <c r="P276" s="3"/>
      <c r="Q276" s="3"/>
      <c r="R276" s="3"/>
    </row>
    <row r="277" spans="1:18" x14ac:dyDescent="0.2">
      <c r="A277" s="79" t="s">
        <v>201</v>
      </c>
      <c r="B277" s="18" t="s">
        <v>67</v>
      </c>
      <c r="C277" s="18" t="s">
        <v>33</v>
      </c>
      <c r="D277" s="18" t="s">
        <v>127</v>
      </c>
      <c r="E277" s="19" t="s">
        <v>304</v>
      </c>
      <c r="F277" s="17" t="s">
        <v>494</v>
      </c>
      <c r="G277" s="17" t="str">
        <f t="shared" si="17"/>
        <v>1</v>
      </c>
      <c r="H277" s="17" t="str">
        <f t="shared" si="18"/>
        <v>d</v>
      </c>
      <c r="I277" s="20" t="str">
        <f t="shared" si="19"/>
        <v>Knowledge base for engineering</v>
      </c>
      <c r="J277" s="21" t="str">
        <f t="shared" si="20"/>
        <v>Demonstrate understanding of specialized engineering knowledge</v>
      </c>
      <c r="K277" s="3"/>
      <c r="L277" s="3"/>
      <c r="M277" s="3"/>
      <c r="N277" s="3"/>
      <c r="O277" s="16"/>
      <c r="P277" s="3"/>
      <c r="Q277" s="3"/>
      <c r="R277" s="3"/>
    </row>
    <row r="278" spans="1:18" x14ac:dyDescent="0.2">
      <c r="A278" s="79" t="s">
        <v>201</v>
      </c>
      <c r="B278" s="18" t="s">
        <v>67</v>
      </c>
      <c r="C278" s="18" t="s">
        <v>33</v>
      </c>
      <c r="D278" s="18" t="s">
        <v>127</v>
      </c>
      <c r="E278" s="19" t="s">
        <v>303</v>
      </c>
      <c r="F278" s="17" t="s">
        <v>494</v>
      </c>
      <c r="G278" s="17" t="str">
        <f t="shared" si="17"/>
        <v>1</v>
      </c>
      <c r="H278" s="17" t="str">
        <f t="shared" si="18"/>
        <v>d</v>
      </c>
      <c r="I278" s="20" t="str">
        <f t="shared" si="19"/>
        <v>Knowledge base for engineering</v>
      </c>
      <c r="J278" s="21" t="str">
        <f t="shared" si="20"/>
        <v>Demonstrate understanding of specialized engineering knowledge</v>
      </c>
      <c r="K278" s="3"/>
      <c r="L278" s="3"/>
      <c r="M278" s="3"/>
      <c r="N278" s="3"/>
      <c r="O278" s="16"/>
      <c r="P278" s="3"/>
      <c r="Q278" s="3"/>
      <c r="R278" s="3"/>
    </row>
    <row r="279" spans="1:18" x14ac:dyDescent="0.2">
      <c r="A279" s="79" t="s">
        <v>201</v>
      </c>
      <c r="B279" s="18" t="s">
        <v>67</v>
      </c>
      <c r="C279" s="18" t="s">
        <v>33</v>
      </c>
      <c r="D279" s="18" t="s">
        <v>127</v>
      </c>
      <c r="E279" s="19" t="s">
        <v>403</v>
      </c>
      <c r="F279" s="17" t="s">
        <v>510</v>
      </c>
      <c r="G279" s="17" t="str">
        <f t="shared" si="17"/>
        <v>2</v>
      </c>
      <c r="H279" s="17" t="str">
        <f t="shared" si="18"/>
        <v>c</v>
      </c>
      <c r="I279" s="20" t="str">
        <f t="shared" si="19"/>
        <v xml:space="preserve">Problem Analysis </v>
      </c>
      <c r="J279" s="21" t="str">
        <f t="shared" si="20"/>
        <v>Evaluate solutions of complex engineering problems to reach substantiated conclusions</v>
      </c>
      <c r="K279" s="3"/>
      <c r="L279" s="3"/>
      <c r="M279" s="3"/>
      <c r="N279" s="3"/>
      <c r="O279" s="16"/>
      <c r="P279" s="3"/>
      <c r="Q279" s="3"/>
      <c r="R279" s="3"/>
    </row>
    <row r="280" spans="1:18" x14ac:dyDescent="0.2">
      <c r="A280" s="79" t="s">
        <v>201</v>
      </c>
      <c r="B280" s="18" t="s">
        <v>67</v>
      </c>
      <c r="C280" s="18" t="s">
        <v>33</v>
      </c>
      <c r="D280" s="18" t="s">
        <v>127</v>
      </c>
      <c r="E280" s="19" t="s">
        <v>404</v>
      </c>
      <c r="F280" s="17" t="s">
        <v>510</v>
      </c>
      <c r="G280" s="17" t="str">
        <f t="shared" si="17"/>
        <v>2</v>
      </c>
      <c r="H280" s="17" t="str">
        <f t="shared" si="18"/>
        <v>c</v>
      </c>
      <c r="I280" s="20" t="str">
        <f t="shared" si="19"/>
        <v xml:space="preserve">Problem Analysis </v>
      </c>
      <c r="J280" s="21" t="str">
        <f t="shared" si="20"/>
        <v>Evaluate solutions of complex engineering problems to reach substantiated conclusions</v>
      </c>
      <c r="K280" s="3"/>
      <c r="L280" s="3"/>
      <c r="M280" s="3"/>
      <c r="N280" s="3"/>
      <c r="O280" s="16"/>
      <c r="P280" s="3"/>
      <c r="Q280" s="3"/>
      <c r="R280" s="3"/>
    </row>
    <row r="281" spans="1:18" x14ac:dyDescent="0.2">
      <c r="A281" s="79" t="s">
        <v>201</v>
      </c>
      <c r="B281" s="18" t="s">
        <v>67</v>
      </c>
      <c r="C281" s="18" t="s">
        <v>33</v>
      </c>
      <c r="D281" s="18" t="s">
        <v>127</v>
      </c>
      <c r="E281" s="19" t="s">
        <v>202</v>
      </c>
      <c r="F281" s="17" t="s">
        <v>511</v>
      </c>
      <c r="G281" s="17" t="str">
        <f t="shared" si="17"/>
        <v>9</v>
      </c>
      <c r="H281" s="17" t="str">
        <f t="shared" si="18"/>
        <v>a</v>
      </c>
      <c r="I281" s="20" t="str">
        <f t="shared" si="19"/>
        <v>Impact of engineering</v>
      </c>
      <c r="J281" s="21" t="str">
        <f t="shared" si="20"/>
        <v>Identify the relevance of and uncertainty associated with the different aspects (social, cultural, economic, health, safety, legal, environmental) of an engineering project</v>
      </c>
      <c r="K281" s="3"/>
      <c r="L281" s="3"/>
      <c r="M281" s="3"/>
      <c r="N281" s="3"/>
      <c r="O281" s="16"/>
      <c r="P281" s="3"/>
      <c r="Q281" s="3"/>
      <c r="R281" s="3"/>
    </row>
    <row r="282" spans="1:18" x14ac:dyDescent="0.2">
      <c r="A282" s="79" t="s">
        <v>97</v>
      </c>
      <c r="B282" s="18" t="s">
        <v>71</v>
      </c>
      <c r="C282" s="18" t="s">
        <v>32</v>
      </c>
      <c r="D282" s="18" t="s">
        <v>77</v>
      </c>
      <c r="E282" s="19" t="s">
        <v>306</v>
      </c>
      <c r="F282" s="17" t="s">
        <v>491</v>
      </c>
      <c r="G282" s="17" t="str">
        <f t="shared" si="17"/>
        <v>1</v>
      </c>
      <c r="H282" s="17" t="str">
        <f t="shared" si="18"/>
        <v>a</v>
      </c>
      <c r="I282" s="20" t="str">
        <f t="shared" si="19"/>
        <v>Knowledge base for engineering</v>
      </c>
      <c r="J282" s="21" t="str">
        <f t="shared" si="20"/>
        <v>Demonstrate understanding of mathematics</v>
      </c>
      <c r="K282" s="3"/>
      <c r="L282" s="3"/>
      <c r="M282" s="3"/>
      <c r="N282" s="3"/>
      <c r="O282" s="16"/>
      <c r="P282" s="3"/>
      <c r="Q282" s="3"/>
      <c r="R282" s="3"/>
    </row>
    <row r="283" spans="1:18" x14ac:dyDescent="0.2">
      <c r="A283" s="79" t="s">
        <v>97</v>
      </c>
      <c r="B283" s="18" t="s">
        <v>71</v>
      </c>
      <c r="C283" s="18" t="s">
        <v>32</v>
      </c>
      <c r="D283" s="18" t="s">
        <v>77</v>
      </c>
      <c r="E283" s="19" t="s">
        <v>307</v>
      </c>
      <c r="F283" s="17" t="s">
        <v>494</v>
      </c>
      <c r="G283" s="17" t="str">
        <f t="shared" si="17"/>
        <v>1</v>
      </c>
      <c r="H283" s="17" t="str">
        <f t="shared" si="18"/>
        <v>d</v>
      </c>
      <c r="I283" s="20" t="str">
        <f t="shared" si="19"/>
        <v>Knowledge base for engineering</v>
      </c>
      <c r="J283" s="21" t="str">
        <f t="shared" si="20"/>
        <v>Demonstrate understanding of specialized engineering knowledge</v>
      </c>
      <c r="K283" s="3"/>
      <c r="L283" s="3"/>
      <c r="M283" s="3"/>
      <c r="N283" s="3"/>
      <c r="O283" s="16"/>
      <c r="P283" s="3"/>
      <c r="Q283" s="3"/>
      <c r="R283" s="3"/>
    </row>
    <row r="284" spans="1:18" x14ac:dyDescent="0.2">
      <c r="A284" s="79" t="s">
        <v>97</v>
      </c>
      <c r="B284" s="18" t="s">
        <v>71</v>
      </c>
      <c r="C284" s="18" t="s">
        <v>32</v>
      </c>
      <c r="D284" s="18" t="s">
        <v>77</v>
      </c>
      <c r="E284" s="19" t="s">
        <v>308</v>
      </c>
      <c r="F284" s="17" t="s">
        <v>494</v>
      </c>
      <c r="G284" s="17" t="str">
        <f t="shared" si="17"/>
        <v>1</v>
      </c>
      <c r="H284" s="17" t="str">
        <f t="shared" si="18"/>
        <v>d</v>
      </c>
      <c r="I284" s="20" t="str">
        <f t="shared" si="19"/>
        <v>Knowledge base for engineering</v>
      </c>
      <c r="J284" s="21" t="str">
        <f t="shared" si="20"/>
        <v>Demonstrate understanding of specialized engineering knowledge</v>
      </c>
      <c r="K284" s="3"/>
      <c r="L284" s="3"/>
      <c r="M284" s="3"/>
      <c r="N284" s="3"/>
      <c r="O284" s="16"/>
      <c r="P284" s="3"/>
      <c r="Q284" s="3"/>
      <c r="R284" s="3"/>
    </row>
    <row r="285" spans="1:18" ht="30" x14ac:dyDescent="0.2">
      <c r="A285" s="79" t="s">
        <v>97</v>
      </c>
      <c r="B285" s="18" t="s">
        <v>71</v>
      </c>
      <c r="C285" s="18" t="s">
        <v>32</v>
      </c>
      <c r="D285" s="18" t="s">
        <v>77</v>
      </c>
      <c r="E285" s="19" t="s">
        <v>405</v>
      </c>
      <c r="F285" s="17" t="s">
        <v>510</v>
      </c>
      <c r="G285" s="17" t="str">
        <f t="shared" si="17"/>
        <v>2</v>
      </c>
      <c r="H285" s="17" t="str">
        <f t="shared" si="18"/>
        <v>c</v>
      </c>
      <c r="I285" s="20" t="str">
        <f t="shared" si="19"/>
        <v xml:space="preserve">Problem Analysis </v>
      </c>
      <c r="J285" s="21" t="str">
        <f t="shared" si="20"/>
        <v>Evaluate solutions of complex engineering problems to reach substantiated conclusions</v>
      </c>
      <c r="K285" s="3"/>
      <c r="L285" s="3"/>
      <c r="M285" s="3"/>
      <c r="N285" s="3"/>
      <c r="O285" s="16"/>
      <c r="P285" s="3"/>
      <c r="Q285" s="3"/>
      <c r="R285" s="3"/>
    </row>
    <row r="286" spans="1:18" ht="30" x14ac:dyDescent="0.2">
      <c r="A286" s="79" t="s">
        <v>97</v>
      </c>
      <c r="B286" s="18" t="s">
        <v>71</v>
      </c>
      <c r="C286" s="18" t="s">
        <v>32</v>
      </c>
      <c r="D286" s="18" t="s">
        <v>77</v>
      </c>
      <c r="E286" s="19" t="s">
        <v>151</v>
      </c>
      <c r="F286" s="17" t="s">
        <v>516</v>
      </c>
      <c r="G286" s="17" t="str">
        <f t="shared" si="17"/>
        <v>4</v>
      </c>
      <c r="H286" s="17" t="str">
        <f t="shared" si="18"/>
        <v>b</v>
      </c>
      <c r="I286" s="20" t="str">
        <f t="shared" si="19"/>
        <v>Design</v>
      </c>
      <c r="J286" s="21" t="str">
        <f t="shared" si="20"/>
        <v>Generate and implement solutions to complex open-ended problems</v>
      </c>
      <c r="K286" s="3"/>
      <c r="L286" s="3"/>
      <c r="M286" s="3"/>
      <c r="N286" s="3"/>
      <c r="O286" s="16"/>
      <c r="P286" s="3"/>
      <c r="Q286" s="3"/>
      <c r="R286" s="3"/>
    </row>
    <row r="287" spans="1:18" ht="30" x14ac:dyDescent="0.2">
      <c r="A287" s="79" t="s">
        <v>97</v>
      </c>
      <c r="B287" s="18" t="s">
        <v>71</v>
      </c>
      <c r="C287" s="18" t="s">
        <v>32</v>
      </c>
      <c r="D287" s="18" t="s">
        <v>77</v>
      </c>
      <c r="E287" s="19" t="s">
        <v>186</v>
      </c>
      <c r="F287" s="17" t="s">
        <v>520</v>
      </c>
      <c r="G287" s="17" t="str">
        <f t="shared" si="17"/>
        <v>5</v>
      </c>
      <c r="H287" s="17" t="str">
        <f t="shared" si="18"/>
        <v>b</v>
      </c>
      <c r="I287" s="20" t="str">
        <f t="shared" si="19"/>
        <v>Use of Engineering Tools</v>
      </c>
      <c r="J287" s="21" t="str">
        <f t="shared" si="20"/>
        <v>Modify and/or create appropriate engineering tools, identifying their limitations</v>
      </c>
      <c r="K287" s="3"/>
      <c r="L287" s="3"/>
      <c r="M287" s="3"/>
      <c r="N287" s="3"/>
      <c r="O287" s="16"/>
      <c r="P287" s="3"/>
      <c r="Q287" s="3"/>
      <c r="R287" s="3"/>
    </row>
    <row r="288" spans="1:18" x14ac:dyDescent="0.2">
      <c r="A288" s="79" t="s">
        <v>97</v>
      </c>
      <c r="B288" s="18" t="s">
        <v>71</v>
      </c>
      <c r="C288" s="18" t="s">
        <v>32</v>
      </c>
      <c r="D288" s="18" t="s">
        <v>77</v>
      </c>
      <c r="E288" s="19" t="s">
        <v>187</v>
      </c>
      <c r="F288" s="17" t="s">
        <v>520</v>
      </c>
      <c r="G288" s="17" t="str">
        <f t="shared" si="17"/>
        <v>5</v>
      </c>
      <c r="H288" s="17" t="str">
        <f t="shared" si="18"/>
        <v>b</v>
      </c>
      <c r="I288" s="20" t="str">
        <f t="shared" si="19"/>
        <v>Use of Engineering Tools</v>
      </c>
      <c r="J288" s="21" t="str">
        <f t="shared" si="20"/>
        <v>Modify and/or create appropriate engineering tools, identifying their limitations</v>
      </c>
      <c r="K288" s="3"/>
      <c r="L288" s="3"/>
      <c r="M288" s="3"/>
      <c r="N288" s="3"/>
      <c r="O288" s="16"/>
      <c r="P288" s="3"/>
      <c r="Q288" s="3"/>
      <c r="R288" s="3"/>
    </row>
    <row r="289" spans="1:18" ht="30" x14ac:dyDescent="0.2">
      <c r="A289" s="79" t="s">
        <v>97</v>
      </c>
      <c r="B289" s="18" t="s">
        <v>71</v>
      </c>
      <c r="C289" s="18" t="s">
        <v>32</v>
      </c>
      <c r="D289" s="18" t="s">
        <v>77</v>
      </c>
      <c r="E289" s="19" t="s">
        <v>98</v>
      </c>
      <c r="F289" s="17" t="s">
        <v>530</v>
      </c>
      <c r="G289" s="17" t="str">
        <f t="shared" si="17"/>
        <v>7</v>
      </c>
      <c r="H289" s="17" t="str">
        <f t="shared" si="18"/>
        <v>a</v>
      </c>
      <c r="I289" s="20" t="str">
        <f t="shared" si="19"/>
        <v>Communication Skills</v>
      </c>
      <c r="J289" s="21" t="str">
        <f t="shared" si="20"/>
        <v>Generate appropriate documentation to communicate within the profession and to society at large</v>
      </c>
      <c r="K289" s="3"/>
      <c r="L289" s="3"/>
      <c r="M289" s="3"/>
      <c r="N289" s="3"/>
      <c r="O289" s="16"/>
      <c r="P289" s="3"/>
      <c r="Q289" s="3"/>
      <c r="R289" s="3"/>
    </row>
    <row r="290" spans="1:18" ht="45" x14ac:dyDescent="0.2">
      <c r="A290" s="79" t="s">
        <v>99</v>
      </c>
      <c r="B290" s="18" t="s">
        <v>71</v>
      </c>
      <c r="C290" s="18" t="s">
        <v>33</v>
      </c>
      <c r="D290" s="18" t="s">
        <v>91</v>
      </c>
      <c r="E290" s="19" t="s">
        <v>309</v>
      </c>
      <c r="F290" s="17" t="s">
        <v>494</v>
      </c>
      <c r="G290" s="17" t="str">
        <f t="shared" si="17"/>
        <v>1</v>
      </c>
      <c r="H290" s="17" t="str">
        <f t="shared" si="18"/>
        <v>d</v>
      </c>
      <c r="I290" s="20" t="str">
        <f t="shared" si="19"/>
        <v>Knowledge base for engineering</v>
      </c>
      <c r="J290" s="21" t="str">
        <f t="shared" si="20"/>
        <v>Demonstrate understanding of specialized engineering knowledge</v>
      </c>
      <c r="K290" s="3"/>
      <c r="L290" s="3"/>
      <c r="M290" s="3"/>
      <c r="N290" s="3"/>
      <c r="O290" s="16"/>
      <c r="P290" s="3"/>
      <c r="Q290" s="3"/>
      <c r="R290" s="3"/>
    </row>
    <row r="291" spans="1:18" ht="30" x14ac:dyDescent="0.2">
      <c r="A291" s="79" t="s">
        <v>99</v>
      </c>
      <c r="B291" s="18" t="s">
        <v>71</v>
      </c>
      <c r="C291" s="18" t="s">
        <v>33</v>
      </c>
      <c r="D291" s="18" t="s">
        <v>91</v>
      </c>
      <c r="E291" s="19" t="s">
        <v>406</v>
      </c>
      <c r="F291" s="17" t="s">
        <v>510</v>
      </c>
      <c r="G291" s="17" t="str">
        <f t="shared" si="17"/>
        <v>2</v>
      </c>
      <c r="H291" s="17" t="str">
        <f t="shared" si="18"/>
        <v>c</v>
      </c>
      <c r="I291" s="20" t="str">
        <f t="shared" si="19"/>
        <v xml:space="preserve">Problem Analysis </v>
      </c>
      <c r="J291" s="21" t="str">
        <f t="shared" si="20"/>
        <v>Evaluate solutions of complex engineering problems to reach substantiated conclusions</v>
      </c>
      <c r="K291" s="3"/>
      <c r="L291" s="3"/>
      <c r="M291" s="3"/>
      <c r="N291" s="3"/>
      <c r="O291" s="16"/>
      <c r="P291" s="3"/>
      <c r="Q291" s="3"/>
      <c r="R291" s="3"/>
    </row>
    <row r="292" spans="1:18" ht="30" x14ac:dyDescent="0.2">
      <c r="A292" s="79" t="s">
        <v>99</v>
      </c>
      <c r="B292" s="18" t="s">
        <v>71</v>
      </c>
      <c r="C292" s="18" t="s">
        <v>33</v>
      </c>
      <c r="D292" s="18" t="s">
        <v>91</v>
      </c>
      <c r="E292" s="19" t="s">
        <v>407</v>
      </c>
      <c r="F292" s="17" t="s">
        <v>510</v>
      </c>
      <c r="G292" s="17" t="str">
        <f t="shared" si="17"/>
        <v>2</v>
      </c>
      <c r="H292" s="17" t="str">
        <f t="shared" si="18"/>
        <v>c</v>
      </c>
      <c r="I292" s="20" t="str">
        <f t="shared" si="19"/>
        <v xml:space="preserve">Problem Analysis </v>
      </c>
      <c r="J292" s="21" t="str">
        <f t="shared" si="20"/>
        <v>Evaluate solutions of complex engineering problems to reach substantiated conclusions</v>
      </c>
      <c r="K292" s="3"/>
      <c r="L292" s="3"/>
      <c r="M292" s="3"/>
      <c r="N292" s="3"/>
      <c r="O292" s="16"/>
      <c r="P292" s="3"/>
      <c r="Q292" s="3"/>
      <c r="R292" s="3"/>
    </row>
    <row r="293" spans="1:18" ht="30" x14ac:dyDescent="0.2">
      <c r="A293" s="79" t="s">
        <v>99</v>
      </c>
      <c r="B293" s="18" t="s">
        <v>71</v>
      </c>
      <c r="C293" s="18" t="s">
        <v>33</v>
      </c>
      <c r="D293" s="18" t="s">
        <v>91</v>
      </c>
      <c r="E293" s="19" t="s">
        <v>152</v>
      </c>
      <c r="F293" s="17" t="s">
        <v>516</v>
      </c>
      <c r="G293" s="17" t="str">
        <f t="shared" si="17"/>
        <v>4</v>
      </c>
      <c r="H293" s="17" t="str">
        <f t="shared" si="18"/>
        <v>b</v>
      </c>
      <c r="I293" s="20" t="str">
        <f t="shared" si="19"/>
        <v>Design</v>
      </c>
      <c r="J293" s="21" t="str">
        <f t="shared" si="20"/>
        <v>Generate and implement solutions to complex open-ended problems</v>
      </c>
      <c r="K293" s="3"/>
      <c r="L293" s="3"/>
      <c r="M293" s="3"/>
      <c r="N293" s="3"/>
      <c r="O293" s="16"/>
      <c r="P293" s="3"/>
      <c r="Q293" s="3"/>
      <c r="R293" s="3"/>
    </row>
    <row r="294" spans="1:18" x14ac:dyDescent="0.2">
      <c r="A294" s="79" t="s">
        <v>99</v>
      </c>
      <c r="B294" s="18" t="s">
        <v>71</v>
      </c>
      <c r="C294" s="18" t="s">
        <v>33</v>
      </c>
      <c r="D294" s="18" t="s">
        <v>91</v>
      </c>
      <c r="E294" s="19" t="s">
        <v>101</v>
      </c>
      <c r="F294" s="17" t="s">
        <v>528</v>
      </c>
      <c r="G294" s="17" t="str">
        <f t="shared" si="17"/>
        <v>7</v>
      </c>
      <c r="H294" s="17" t="str">
        <f t="shared" si="18"/>
        <v>b</v>
      </c>
      <c r="I294" s="20" t="str">
        <f t="shared" si="19"/>
        <v>Communication Skills</v>
      </c>
      <c r="J294" s="21" t="str">
        <f t="shared" si="20"/>
        <v>Orally present information within the profession and to society at large</v>
      </c>
      <c r="K294" s="3"/>
      <c r="L294" s="3"/>
      <c r="M294" s="3"/>
      <c r="N294" s="3"/>
      <c r="O294" s="16"/>
      <c r="P294" s="3"/>
      <c r="Q294" s="3"/>
      <c r="R294" s="3"/>
    </row>
    <row r="295" spans="1:18" ht="30" x14ac:dyDescent="0.2">
      <c r="A295" s="79" t="s">
        <v>99</v>
      </c>
      <c r="B295" s="18" t="s">
        <v>71</v>
      </c>
      <c r="C295" s="18" t="s">
        <v>33</v>
      </c>
      <c r="D295" s="18" t="s">
        <v>91</v>
      </c>
      <c r="E295" s="19" t="s">
        <v>100</v>
      </c>
      <c r="F295" s="17" t="s">
        <v>530</v>
      </c>
      <c r="G295" s="17" t="str">
        <f t="shared" si="17"/>
        <v>7</v>
      </c>
      <c r="H295" s="17" t="str">
        <f t="shared" si="18"/>
        <v>a</v>
      </c>
      <c r="I295" s="20" t="str">
        <f t="shared" si="19"/>
        <v>Communication Skills</v>
      </c>
      <c r="J295" s="21" t="str">
        <f t="shared" si="20"/>
        <v>Generate appropriate documentation to communicate within the profession and to society at large</v>
      </c>
      <c r="K295" s="3"/>
      <c r="L295" s="3"/>
      <c r="M295" s="3"/>
      <c r="N295" s="3"/>
      <c r="O295" s="16"/>
      <c r="P295" s="3"/>
      <c r="Q295" s="3"/>
      <c r="R295" s="3"/>
    </row>
    <row r="296" spans="1:18" x14ac:dyDescent="0.2">
      <c r="A296" s="79" t="s">
        <v>102</v>
      </c>
      <c r="B296" s="18" t="s">
        <v>74</v>
      </c>
      <c r="C296" s="18" t="s">
        <v>32</v>
      </c>
      <c r="D296" s="18" t="s">
        <v>85</v>
      </c>
      <c r="E296" s="19" t="s">
        <v>310</v>
      </c>
      <c r="F296" s="17" t="s">
        <v>494</v>
      </c>
      <c r="G296" s="17" t="str">
        <f t="shared" si="17"/>
        <v>1</v>
      </c>
      <c r="H296" s="17" t="str">
        <f t="shared" si="18"/>
        <v>d</v>
      </c>
      <c r="I296" s="20" t="str">
        <f t="shared" si="19"/>
        <v>Knowledge base for engineering</v>
      </c>
      <c r="J296" s="21" t="str">
        <f t="shared" si="20"/>
        <v>Demonstrate understanding of specialized engineering knowledge</v>
      </c>
      <c r="K296" s="3"/>
      <c r="L296" s="3"/>
      <c r="M296" s="3"/>
      <c r="N296" s="3"/>
      <c r="O296" s="16"/>
      <c r="P296" s="3"/>
      <c r="Q296" s="3"/>
      <c r="R296" s="3"/>
    </row>
    <row r="297" spans="1:18" ht="30" x14ac:dyDescent="0.2">
      <c r="A297" s="79" t="s">
        <v>102</v>
      </c>
      <c r="B297" s="18" t="s">
        <v>74</v>
      </c>
      <c r="C297" s="18" t="s">
        <v>32</v>
      </c>
      <c r="D297" s="18" t="s">
        <v>85</v>
      </c>
      <c r="E297" s="19" t="s">
        <v>316</v>
      </c>
      <c r="F297" s="17" t="s">
        <v>494</v>
      </c>
      <c r="G297" s="17" t="str">
        <f t="shared" si="17"/>
        <v>1</v>
      </c>
      <c r="H297" s="17" t="str">
        <f t="shared" si="18"/>
        <v>d</v>
      </c>
      <c r="I297" s="20" t="str">
        <f t="shared" si="19"/>
        <v>Knowledge base for engineering</v>
      </c>
      <c r="J297" s="21" t="str">
        <f t="shared" si="20"/>
        <v>Demonstrate understanding of specialized engineering knowledge</v>
      </c>
      <c r="K297" s="3"/>
      <c r="L297" s="3"/>
      <c r="M297" s="3"/>
      <c r="N297" s="3"/>
      <c r="O297" s="16"/>
      <c r="P297" s="3"/>
      <c r="Q297" s="3"/>
      <c r="R297" s="3"/>
    </row>
    <row r="298" spans="1:18" x14ac:dyDescent="0.2">
      <c r="A298" s="79" t="s">
        <v>102</v>
      </c>
      <c r="B298" s="18" t="s">
        <v>74</v>
      </c>
      <c r="C298" s="18" t="s">
        <v>32</v>
      </c>
      <c r="D298" s="18" t="s">
        <v>85</v>
      </c>
      <c r="E298" s="19" t="s">
        <v>313</v>
      </c>
      <c r="F298" s="17" t="s">
        <v>494</v>
      </c>
      <c r="G298" s="17" t="str">
        <f t="shared" si="17"/>
        <v>1</v>
      </c>
      <c r="H298" s="17" t="str">
        <f t="shared" si="18"/>
        <v>d</v>
      </c>
      <c r="I298" s="20" t="str">
        <f t="shared" si="19"/>
        <v>Knowledge base for engineering</v>
      </c>
      <c r="J298" s="21" t="str">
        <f t="shared" si="20"/>
        <v>Demonstrate understanding of specialized engineering knowledge</v>
      </c>
      <c r="K298" s="3"/>
      <c r="L298" s="3"/>
      <c r="M298" s="3"/>
      <c r="N298" s="3"/>
      <c r="O298" s="16"/>
      <c r="P298" s="3"/>
      <c r="Q298" s="3"/>
      <c r="R298" s="3"/>
    </row>
    <row r="299" spans="1:18" x14ac:dyDescent="0.2">
      <c r="A299" s="79" t="s">
        <v>102</v>
      </c>
      <c r="B299" s="18" t="s">
        <v>74</v>
      </c>
      <c r="C299" s="18" t="s">
        <v>32</v>
      </c>
      <c r="D299" s="18" t="s">
        <v>85</v>
      </c>
      <c r="E299" s="19" t="s">
        <v>314</v>
      </c>
      <c r="F299" s="17" t="s">
        <v>494</v>
      </c>
      <c r="G299" s="17" t="str">
        <f t="shared" si="17"/>
        <v>1</v>
      </c>
      <c r="H299" s="17" t="str">
        <f t="shared" si="18"/>
        <v>d</v>
      </c>
      <c r="I299" s="20" t="str">
        <f t="shared" si="19"/>
        <v>Knowledge base for engineering</v>
      </c>
      <c r="J299" s="21" t="str">
        <f t="shared" si="20"/>
        <v>Demonstrate understanding of specialized engineering knowledge</v>
      </c>
      <c r="K299" s="3"/>
      <c r="L299" s="3"/>
      <c r="M299" s="3"/>
      <c r="N299" s="3"/>
      <c r="O299" s="16"/>
      <c r="P299" s="3"/>
      <c r="Q299" s="3"/>
      <c r="R299" s="3"/>
    </row>
    <row r="300" spans="1:18" x14ac:dyDescent="0.2">
      <c r="A300" s="79" t="s">
        <v>102</v>
      </c>
      <c r="B300" s="18" t="s">
        <v>74</v>
      </c>
      <c r="C300" s="18" t="s">
        <v>32</v>
      </c>
      <c r="D300" s="18" t="s">
        <v>85</v>
      </c>
      <c r="E300" s="19" t="s">
        <v>312</v>
      </c>
      <c r="F300" s="17" t="s">
        <v>494</v>
      </c>
      <c r="G300" s="17" t="str">
        <f t="shared" si="17"/>
        <v>1</v>
      </c>
      <c r="H300" s="17" t="str">
        <f t="shared" si="18"/>
        <v>d</v>
      </c>
      <c r="I300" s="20" t="str">
        <f t="shared" si="19"/>
        <v>Knowledge base for engineering</v>
      </c>
      <c r="J300" s="21" t="str">
        <f t="shared" si="20"/>
        <v>Demonstrate understanding of specialized engineering knowledge</v>
      </c>
      <c r="K300" s="3"/>
      <c r="L300" s="3"/>
      <c r="M300" s="3"/>
      <c r="N300" s="3"/>
      <c r="O300" s="16"/>
      <c r="P300" s="3"/>
      <c r="Q300" s="3"/>
      <c r="R300" s="3"/>
    </row>
    <row r="301" spans="1:18" x14ac:dyDescent="0.2">
      <c r="A301" s="79" t="s">
        <v>102</v>
      </c>
      <c r="B301" s="18" t="s">
        <v>74</v>
      </c>
      <c r="C301" s="18" t="s">
        <v>32</v>
      </c>
      <c r="D301" s="18" t="s">
        <v>85</v>
      </c>
      <c r="E301" s="19" t="s">
        <v>311</v>
      </c>
      <c r="F301" s="17" t="s">
        <v>494</v>
      </c>
      <c r="G301" s="17" t="str">
        <f t="shared" si="17"/>
        <v>1</v>
      </c>
      <c r="H301" s="17" t="str">
        <f t="shared" si="18"/>
        <v>d</v>
      </c>
      <c r="I301" s="20" t="str">
        <f t="shared" si="19"/>
        <v>Knowledge base for engineering</v>
      </c>
      <c r="J301" s="21" t="str">
        <f t="shared" si="20"/>
        <v>Demonstrate understanding of specialized engineering knowledge</v>
      </c>
      <c r="K301" s="3"/>
      <c r="L301" s="3"/>
      <c r="M301" s="3"/>
      <c r="N301" s="3"/>
      <c r="O301" s="16"/>
      <c r="P301" s="3"/>
      <c r="Q301" s="3"/>
      <c r="R301" s="3"/>
    </row>
    <row r="302" spans="1:18" x14ac:dyDescent="0.2">
      <c r="A302" s="79" t="s">
        <v>102</v>
      </c>
      <c r="B302" s="18" t="s">
        <v>74</v>
      </c>
      <c r="C302" s="18" t="s">
        <v>32</v>
      </c>
      <c r="D302" s="18" t="s">
        <v>85</v>
      </c>
      <c r="E302" s="19" t="s">
        <v>315</v>
      </c>
      <c r="F302" s="17" t="s">
        <v>494</v>
      </c>
      <c r="G302" s="17" t="str">
        <f t="shared" si="17"/>
        <v>1</v>
      </c>
      <c r="H302" s="17" t="str">
        <f t="shared" si="18"/>
        <v>d</v>
      </c>
      <c r="I302" s="20" t="str">
        <f t="shared" si="19"/>
        <v>Knowledge base for engineering</v>
      </c>
      <c r="J302" s="21" t="str">
        <f t="shared" si="20"/>
        <v>Demonstrate understanding of specialized engineering knowledge</v>
      </c>
      <c r="K302" s="3"/>
      <c r="L302" s="3"/>
      <c r="M302" s="3"/>
      <c r="N302" s="3"/>
      <c r="O302" s="16"/>
      <c r="P302" s="3"/>
      <c r="Q302" s="3"/>
      <c r="R302" s="3"/>
    </row>
    <row r="303" spans="1:18" x14ac:dyDescent="0.2">
      <c r="A303" s="79" t="s">
        <v>102</v>
      </c>
      <c r="B303" s="18" t="s">
        <v>74</v>
      </c>
      <c r="C303" s="18" t="s">
        <v>32</v>
      </c>
      <c r="D303" s="18" t="s">
        <v>85</v>
      </c>
      <c r="E303" s="19" t="s">
        <v>408</v>
      </c>
      <c r="F303" s="17" t="s">
        <v>510</v>
      </c>
      <c r="G303" s="17" t="str">
        <f t="shared" si="17"/>
        <v>2</v>
      </c>
      <c r="H303" s="17" t="str">
        <f t="shared" si="18"/>
        <v>c</v>
      </c>
      <c r="I303" s="20" t="str">
        <f t="shared" si="19"/>
        <v xml:space="preserve">Problem Analysis </v>
      </c>
      <c r="J303" s="21" t="str">
        <f t="shared" si="20"/>
        <v>Evaluate solutions of complex engineering problems to reach substantiated conclusions</v>
      </c>
      <c r="K303" s="3"/>
      <c r="L303" s="3"/>
      <c r="M303" s="3"/>
      <c r="N303" s="3"/>
      <c r="O303" s="16"/>
      <c r="P303" s="3"/>
      <c r="Q303" s="3"/>
      <c r="R303" s="3"/>
    </row>
    <row r="304" spans="1:18" x14ac:dyDescent="0.2">
      <c r="A304" s="79" t="s">
        <v>102</v>
      </c>
      <c r="B304" s="18" t="s">
        <v>74</v>
      </c>
      <c r="C304" s="18" t="s">
        <v>32</v>
      </c>
      <c r="D304" s="18" t="s">
        <v>85</v>
      </c>
      <c r="E304" s="19" t="s">
        <v>409</v>
      </c>
      <c r="F304" s="17" t="s">
        <v>510</v>
      </c>
      <c r="G304" s="17" t="str">
        <f t="shared" si="17"/>
        <v>2</v>
      </c>
      <c r="H304" s="17" t="str">
        <f t="shared" si="18"/>
        <v>c</v>
      </c>
      <c r="I304" s="20" t="str">
        <f t="shared" si="19"/>
        <v xml:space="preserve">Problem Analysis </v>
      </c>
      <c r="J304" s="21" t="str">
        <f t="shared" si="20"/>
        <v>Evaluate solutions of complex engineering problems to reach substantiated conclusions</v>
      </c>
      <c r="K304" s="3"/>
      <c r="L304" s="3"/>
      <c r="M304" s="3"/>
      <c r="N304" s="3"/>
      <c r="O304" s="16"/>
      <c r="P304" s="3"/>
      <c r="Q304" s="3"/>
      <c r="R304" s="3"/>
    </row>
    <row r="305" spans="1:18" ht="30" x14ac:dyDescent="0.2">
      <c r="A305" s="79" t="s">
        <v>102</v>
      </c>
      <c r="B305" s="18" t="s">
        <v>74</v>
      </c>
      <c r="C305" s="18" t="s">
        <v>32</v>
      </c>
      <c r="D305" s="18" t="s">
        <v>85</v>
      </c>
      <c r="E305" s="19" t="s">
        <v>531</v>
      </c>
      <c r="F305" s="17" t="s">
        <v>528</v>
      </c>
      <c r="G305" s="17" t="str">
        <f t="shared" si="17"/>
        <v>7</v>
      </c>
      <c r="H305" s="17" t="str">
        <f t="shared" si="18"/>
        <v>b</v>
      </c>
      <c r="I305" s="20" t="str">
        <f t="shared" si="19"/>
        <v>Communication Skills</v>
      </c>
      <c r="J305" s="21" t="str">
        <f t="shared" si="20"/>
        <v>Orally present information within the profession and to society at large</v>
      </c>
      <c r="K305" s="3"/>
      <c r="L305" s="3"/>
      <c r="M305" s="3"/>
      <c r="N305" s="3"/>
      <c r="O305" s="16"/>
      <c r="P305" s="3"/>
      <c r="Q305" s="3"/>
      <c r="R305" s="3"/>
    </row>
    <row r="306" spans="1:18" x14ac:dyDescent="0.2">
      <c r="A306" s="79" t="s">
        <v>103</v>
      </c>
      <c r="B306" s="18" t="s">
        <v>71</v>
      </c>
      <c r="C306" s="18" t="s">
        <v>33</v>
      </c>
      <c r="D306" s="18" t="s">
        <v>91</v>
      </c>
      <c r="E306" s="19" t="s">
        <v>317</v>
      </c>
      <c r="F306" s="17" t="s">
        <v>494</v>
      </c>
      <c r="G306" s="17" t="str">
        <f t="shared" si="17"/>
        <v>1</v>
      </c>
      <c r="H306" s="17" t="str">
        <f t="shared" si="18"/>
        <v>d</v>
      </c>
      <c r="I306" s="20" t="str">
        <f t="shared" si="19"/>
        <v>Knowledge base for engineering</v>
      </c>
      <c r="J306" s="21" t="str">
        <f t="shared" si="20"/>
        <v>Demonstrate understanding of specialized engineering knowledge</v>
      </c>
      <c r="K306" s="3"/>
      <c r="L306" s="3"/>
      <c r="M306" s="3"/>
      <c r="N306" s="3"/>
      <c r="O306" s="16"/>
      <c r="P306" s="3"/>
      <c r="Q306" s="3"/>
      <c r="R306" s="3"/>
    </row>
    <row r="307" spans="1:18" x14ac:dyDescent="0.2">
      <c r="A307" s="79" t="s">
        <v>103</v>
      </c>
      <c r="B307" s="18" t="s">
        <v>71</v>
      </c>
      <c r="C307" s="18" t="s">
        <v>33</v>
      </c>
      <c r="D307" s="18" t="s">
        <v>91</v>
      </c>
      <c r="E307" s="19" t="s">
        <v>318</v>
      </c>
      <c r="F307" s="17" t="s">
        <v>494</v>
      </c>
      <c r="G307" s="17" t="str">
        <f t="shared" si="17"/>
        <v>1</v>
      </c>
      <c r="H307" s="17" t="str">
        <f t="shared" si="18"/>
        <v>d</v>
      </c>
      <c r="I307" s="20" t="str">
        <f t="shared" si="19"/>
        <v>Knowledge base for engineering</v>
      </c>
      <c r="J307" s="21" t="str">
        <f t="shared" si="20"/>
        <v>Demonstrate understanding of specialized engineering knowledge</v>
      </c>
      <c r="K307" s="3"/>
      <c r="L307" s="3"/>
      <c r="M307" s="3"/>
      <c r="N307" s="3"/>
      <c r="O307" s="16"/>
      <c r="P307" s="3"/>
      <c r="Q307" s="3"/>
      <c r="R307" s="3"/>
    </row>
    <row r="308" spans="1:18" x14ac:dyDescent="0.2">
      <c r="A308" s="79" t="s">
        <v>103</v>
      </c>
      <c r="B308" s="18" t="s">
        <v>71</v>
      </c>
      <c r="C308" s="18" t="s">
        <v>33</v>
      </c>
      <c r="D308" s="18" t="s">
        <v>91</v>
      </c>
      <c r="E308" s="19" t="s">
        <v>410</v>
      </c>
      <c r="F308" s="17" t="s">
        <v>509</v>
      </c>
      <c r="G308" s="17" t="str">
        <f t="shared" si="17"/>
        <v>2</v>
      </c>
      <c r="H308" s="17" t="str">
        <f t="shared" si="18"/>
        <v>b</v>
      </c>
      <c r="I308" s="20" t="str">
        <f t="shared" si="19"/>
        <v xml:space="preserve">Problem Analysis </v>
      </c>
      <c r="J308" s="21" t="str">
        <f t="shared" si="20"/>
        <v>Develop / solve models of engineering problems including identifying approximations, assumptions, and constraints</v>
      </c>
      <c r="K308" s="3"/>
      <c r="L308" s="3"/>
      <c r="M308" s="3"/>
      <c r="N308" s="3"/>
      <c r="O308" s="16"/>
      <c r="P308" s="3"/>
      <c r="Q308" s="3"/>
      <c r="R308" s="3"/>
    </row>
    <row r="309" spans="1:18" x14ac:dyDescent="0.2">
      <c r="A309" s="79" t="s">
        <v>103</v>
      </c>
      <c r="B309" s="18" t="s">
        <v>71</v>
      </c>
      <c r="C309" s="18" t="s">
        <v>33</v>
      </c>
      <c r="D309" s="18" t="s">
        <v>91</v>
      </c>
      <c r="E309" s="19" t="s">
        <v>411</v>
      </c>
      <c r="F309" s="17" t="s">
        <v>510</v>
      </c>
      <c r="G309" s="17" t="str">
        <f t="shared" si="17"/>
        <v>2</v>
      </c>
      <c r="H309" s="17" t="str">
        <f t="shared" si="18"/>
        <v>c</v>
      </c>
      <c r="I309" s="20" t="str">
        <f t="shared" si="19"/>
        <v xml:space="preserve">Problem Analysis </v>
      </c>
      <c r="J309" s="21" t="str">
        <f t="shared" si="20"/>
        <v>Evaluate solutions of complex engineering problems to reach substantiated conclusions</v>
      </c>
      <c r="K309" s="3"/>
      <c r="L309" s="3"/>
      <c r="M309" s="3"/>
      <c r="N309" s="3"/>
      <c r="O309" s="16"/>
      <c r="P309" s="3"/>
      <c r="Q309" s="3"/>
      <c r="R309" s="3"/>
    </row>
    <row r="310" spans="1:18" ht="30" x14ac:dyDescent="0.2">
      <c r="A310" s="79" t="s">
        <v>103</v>
      </c>
      <c r="B310" s="18" t="s">
        <v>71</v>
      </c>
      <c r="C310" s="18" t="s">
        <v>33</v>
      </c>
      <c r="D310" s="18" t="s">
        <v>91</v>
      </c>
      <c r="E310" s="19" t="s">
        <v>153</v>
      </c>
      <c r="F310" s="17" t="s">
        <v>516</v>
      </c>
      <c r="G310" s="17" t="str">
        <f t="shared" si="17"/>
        <v>4</v>
      </c>
      <c r="H310" s="17" t="str">
        <f t="shared" si="18"/>
        <v>b</v>
      </c>
      <c r="I310" s="20" t="str">
        <f t="shared" si="19"/>
        <v>Design</v>
      </c>
      <c r="J310" s="21" t="str">
        <f t="shared" si="20"/>
        <v>Generate and implement solutions to complex open-ended problems</v>
      </c>
      <c r="K310" s="3"/>
      <c r="L310" s="3"/>
      <c r="M310" s="3"/>
      <c r="N310" s="3"/>
      <c r="O310" s="16"/>
      <c r="P310" s="3"/>
      <c r="Q310" s="3"/>
      <c r="R310" s="3"/>
    </row>
    <row r="311" spans="1:18" ht="30" x14ac:dyDescent="0.2">
      <c r="A311" s="79" t="s">
        <v>103</v>
      </c>
      <c r="B311" s="18" t="s">
        <v>71</v>
      </c>
      <c r="C311" s="18" t="s">
        <v>33</v>
      </c>
      <c r="D311" s="18" t="s">
        <v>91</v>
      </c>
      <c r="E311" s="19" t="s">
        <v>57</v>
      </c>
      <c r="F311" s="17" t="s">
        <v>520</v>
      </c>
      <c r="G311" s="17" t="str">
        <f t="shared" si="17"/>
        <v>5</v>
      </c>
      <c r="H311" s="17" t="str">
        <f t="shared" si="18"/>
        <v>b</v>
      </c>
      <c r="I311" s="20" t="str">
        <f t="shared" si="19"/>
        <v>Use of Engineering Tools</v>
      </c>
      <c r="J311" s="21" t="str">
        <f t="shared" si="20"/>
        <v>Modify and/or create appropriate engineering tools, identifying their limitations</v>
      </c>
      <c r="K311" s="3"/>
      <c r="L311" s="3"/>
      <c r="M311" s="3"/>
      <c r="N311" s="3"/>
      <c r="O311" s="16"/>
      <c r="P311" s="3"/>
      <c r="Q311" s="3"/>
      <c r="R311" s="3"/>
    </row>
    <row r="312" spans="1:18" ht="30" x14ac:dyDescent="0.2">
      <c r="A312" s="79" t="s">
        <v>103</v>
      </c>
      <c r="B312" s="18" t="s">
        <v>71</v>
      </c>
      <c r="C312" s="18" t="s">
        <v>33</v>
      </c>
      <c r="D312" s="18" t="s">
        <v>91</v>
      </c>
      <c r="E312" s="19" t="s">
        <v>104</v>
      </c>
      <c r="F312" s="17" t="s">
        <v>530</v>
      </c>
      <c r="G312" s="17" t="str">
        <f t="shared" si="17"/>
        <v>7</v>
      </c>
      <c r="H312" s="17" t="str">
        <f t="shared" si="18"/>
        <v>a</v>
      </c>
      <c r="I312" s="20" t="str">
        <f t="shared" si="19"/>
        <v>Communication Skills</v>
      </c>
      <c r="J312" s="21" t="str">
        <f t="shared" si="20"/>
        <v>Generate appropriate documentation to communicate within the profession and to society at large</v>
      </c>
      <c r="K312" s="3"/>
      <c r="L312" s="3"/>
      <c r="M312" s="3"/>
      <c r="N312" s="3"/>
      <c r="O312" s="16"/>
      <c r="P312" s="3"/>
      <c r="Q312" s="3"/>
      <c r="R312" s="3"/>
    </row>
    <row r="313" spans="1:18" x14ac:dyDescent="0.2">
      <c r="A313" s="79" t="s">
        <v>105</v>
      </c>
      <c r="B313" s="18" t="s">
        <v>71</v>
      </c>
      <c r="C313" s="18" t="s">
        <v>33</v>
      </c>
      <c r="D313" s="18" t="s">
        <v>91</v>
      </c>
      <c r="E313" s="19" t="s">
        <v>319</v>
      </c>
      <c r="F313" s="17" t="s">
        <v>494</v>
      </c>
      <c r="G313" s="17" t="str">
        <f t="shared" si="17"/>
        <v>1</v>
      </c>
      <c r="H313" s="17" t="str">
        <f t="shared" si="18"/>
        <v>d</v>
      </c>
      <c r="I313" s="20" t="str">
        <f t="shared" si="19"/>
        <v>Knowledge base for engineering</v>
      </c>
      <c r="J313" s="21" t="str">
        <f t="shared" si="20"/>
        <v>Demonstrate understanding of specialized engineering knowledge</v>
      </c>
      <c r="K313" s="3"/>
      <c r="L313" s="3"/>
      <c r="M313" s="3"/>
      <c r="N313" s="3"/>
      <c r="O313" s="16"/>
      <c r="P313" s="3"/>
      <c r="Q313" s="3"/>
      <c r="R313" s="3"/>
    </row>
    <row r="314" spans="1:18" ht="30" x14ac:dyDescent="0.2">
      <c r="A314" s="79" t="s">
        <v>105</v>
      </c>
      <c r="B314" s="18" t="s">
        <v>71</v>
      </c>
      <c r="C314" s="18" t="s">
        <v>33</v>
      </c>
      <c r="D314" s="18" t="s">
        <v>91</v>
      </c>
      <c r="E314" s="19" t="s">
        <v>320</v>
      </c>
      <c r="F314" s="17" t="s">
        <v>494</v>
      </c>
      <c r="G314" s="17" t="str">
        <f t="shared" si="17"/>
        <v>1</v>
      </c>
      <c r="H314" s="17" t="str">
        <f t="shared" si="18"/>
        <v>d</v>
      </c>
      <c r="I314" s="20" t="str">
        <f t="shared" si="19"/>
        <v>Knowledge base for engineering</v>
      </c>
      <c r="J314" s="21" t="str">
        <f t="shared" si="20"/>
        <v>Demonstrate understanding of specialized engineering knowledge</v>
      </c>
      <c r="K314" s="3"/>
      <c r="L314" s="3"/>
      <c r="M314" s="3"/>
      <c r="N314" s="3"/>
      <c r="O314" s="16"/>
      <c r="P314" s="3"/>
      <c r="Q314" s="3"/>
      <c r="R314" s="3"/>
    </row>
    <row r="315" spans="1:18" x14ac:dyDescent="0.2">
      <c r="A315" s="79" t="s">
        <v>105</v>
      </c>
      <c r="B315" s="18" t="s">
        <v>71</v>
      </c>
      <c r="C315" s="18" t="s">
        <v>33</v>
      </c>
      <c r="D315" s="18" t="s">
        <v>91</v>
      </c>
      <c r="E315" s="19" t="s">
        <v>413</v>
      </c>
      <c r="F315" s="17" t="s">
        <v>508</v>
      </c>
      <c r="G315" s="17" t="str">
        <f t="shared" si="17"/>
        <v>2</v>
      </c>
      <c r="H315" s="17" t="str">
        <f t="shared" si="18"/>
        <v>a</v>
      </c>
      <c r="I315" s="20" t="str">
        <f t="shared" si="19"/>
        <v xml:space="preserve">Problem Analysis </v>
      </c>
      <c r="J315" s="21" t="str">
        <f t="shared" si="20"/>
        <v>Identify / define a problem</v>
      </c>
      <c r="K315" s="3"/>
      <c r="L315" s="3"/>
      <c r="M315" s="3"/>
      <c r="N315" s="3"/>
      <c r="O315" s="16"/>
      <c r="P315" s="3"/>
      <c r="Q315" s="3"/>
      <c r="R315" s="3"/>
    </row>
    <row r="316" spans="1:18" ht="30" x14ac:dyDescent="0.2">
      <c r="A316" s="79" t="s">
        <v>105</v>
      </c>
      <c r="B316" s="18" t="s">
        <v>71</v>
      </c>
      <c r="C316" s="18" t="s">
        <v>33</v>
      </c>
      <c r="D316" s="18" t="s">
        <v>91</v>
      </c>
      <c r="E316" s="19" t="s">
        <v>414</v>
      </c>
      <c r="F316" s="17" t="s">
        <v>508</v>
      </c>
      <c r="G316" s="17" t="str">
        <f t="shared" si="17"/>
        <v>2</v>
      </c>
      <c r="H316" s="17" t="str">
        <f t="shared" si="18"/>
        <v>a</v>
      </c>
      <c r="I316" s="20" t="str">
        <f t="shared" si="19"/>
        <v xml:space="preserve">Problem Analysis </v>
      </c>
      <c r="J316" s="21" t="str">
        <f t="shared" si="20"/>
        <v>Identify / define a problem</v>
      </c>
      <c r="K316" s="3"/>
      <c r="L316" s="3"/>
      <c r="M316" s="3"/>
      <c r="N316" s="3"/>
      <c r="O316" s="16"/>
      <c r="P316" s="3"/>
      <c r="Q316" s="3"/>
      <c r="R316" s="3"/>
    </row>
    <row r="317" spans="1:18" x14ac:dyDescent="0.2">
      <c r="A317" s="79" t="s">
        <v>105</v>
      </c>
      <c r="B317" s="18" t="s">
        <v>71</v>
      </c>
      <c r="C317" s="18" t="s">
        <v>33</v>
      </c>
      <c r="D317" s="18" t="s">
        <v>91</v>
      </c>
      <c r="E317" s="19" t="s">
        <v>412</v>
      </c>
      <c r="F317" s="17" t="s">
        <v>510</v>
      </c>
      <c r="G317" s="17" t="str">
        <f t="shared" si="17"/>
        <v>2</v>
      </c>
      <c r="H317" s="17" t="str">
        <f t="shared" si="18"/>
        <v>c</v>
      </c>
      <c r="I317" s="20" t="str">
        <f t="shared" si="19"/>
        <v xml:space="preserve">Problem Analysis </v>
      </c>
      <c r="J317" s="21" t="str">
        <f t="shared" si="20"/>
        <v>Evaluate solutions of complex engineering problems to reach substantiated conclusions</v>
      </c>
      <c r="K317" s="3"/>
      <c r="L317" s="3"/>
      <c r="M317" s="3"/>
      <c r="N317" s="3"/>
      <c r="O317" s="16"/>
      <c r="P317" s="3"/>
      <c r="Q317" s="3"/>
      <c r="R317" s="3"/>
    </row>
    <row r="318" spans="1:18" x14ac:dyDescent="0.2">
      <c r="A318" s="79" t="s">
        <v>105</v>
      </c>
      <c r="B318" s="18" t="s">
        <v>71</v>
      </c>
      <c r="C318" s="18" t="s">
        <v>33</v>
      </c>
      <c r="D318" s="18" t="s">
        <v>91</v>
      </c>
      <c r="E318" s="19" t="s">
        <v>225</v>
      </c>
      <c r="F318" s="17" t="s">
        <v>513</v>
      </c>
      <c r="G318" s="17" t="str">
        <f t="shared" si="17"/>
        <v>3</v>
      </c>
      <c r="H318" s="17" t="str">
        <f t="shared" si="18"/>
        <v>b</v>
      </c>
      <c r="I318" s="20" t="str">
        <f t="shared" si="19"/>
        <v>Investigation</v>
      </c>
      <c r="J318" s="21" t="str">
        <f t="shared" si="20"/>
        <v>Conduct experiments and gather and process data.</v>
      </c>
      <c r="K318" s="3"/>
      <c r="L318" s="3"/>
      <c r="M318" s="3"/>
      <c r="N318" s="3"/>
      <c r="O318" s="16"/>
      <c r="P318" s="3"/>
      <c r="Q318" s="3"/>
      <c r="R318" s="3"/>
    </row>
    <row r="319" spans="1:18" x14ac:dyDescent="0.2">
      <c r="A319" s="79" t="s">
        <v>105</v>
      </c>
      <c r="B319" s="18" t="s">
        <v>71</v>
      </c>
      <c r="C319" s="18" t="s">
        <v>33</v>
      </c>
      <c r="D319" s="18" t="s">
        <v>91</v>
      </c>
      <c r="E319" s="19" t="s">
        <v>224</v>
      </c>
      <c r="F319" s="17" t="s">
        <v>513</v>
      </c>
      <c r="G319" s="17" t="str">
        <f t="shared" si="17"/>
        <v>3</v>
      </c>
      <c r="H319" s="17" t="str">
        <f t="shared" si="18"/>
        <v>b</v>
      </c>
      <c r="I319" s="20" t="str">
        <f t="shared" si="19"/>
        <v>Investigation</v>
      </c>
      <c r="J319" s="21" t="str">
        <f t="shared" si="20"/>
        <v>Conduct experiments and gather and process data.</v>
      </c>
      <c r="K319" s="3"/>
      <c r="L319" s="3"/>
      <c r="M319" s="3"/>
      <c r="N319" s="3"/>
      <c r="O319" s="16"/>
      <c r="P319" s="3"/>
      <c r="Q319" s="3"/>
      <c r="R319" s="3"/>
    </row>
    <row r="320" spans="1:18" x14ac:dyDescent="0.2">
      <c r="A320" s="79" t="s">
        <v>105</v>
      </c>
      <c r="B320" s="18" t="s">
        <v>71</v>
      </c>
      <c r="C320" s="18" t="s">
        <v>33</v>
      </c>
      <c r="D320" s="18" t="s">
        <v>91</v>
      </c>
      <c r="E320" s="19" t="s">
        <v>155</v>
      </c>
      <c r="F320" s="17" t="s">
        <v>515</v>
      </c>
      <c r="G320" s="17" t="str">
        <f t="shared" si="17"/>
        <v>4</v>
      </c>
      <c r="H320" s="17" t="str">
        <f t="shared" si="18"/>
        <v>a</v>
      </c>
      <c r="I320" s="20" t="str">
        <f t="shared" si="19"/>
        <v>Design</v>
      </c>
      <c r="J320" s="21" t="str">
        <f t="shared" si="20"/>
        <v>Follow an engineering design methodology</v>
      </c>
      <c r="K320" s="3"/>
      <c r="L320" s="3"/>
      <c r="M320" s="3"/>
      <c r="N320" s="3"/>
      <c r="O320" s="16"/>
      <c r="P320" s="3"/>
      <c r="Q320" s="3"/>
      <c r="R320" s="3"/>
    </row>
    <row r="321" spans="1:18" x14ac:dyDescent="0.2">
      <c r="A321" s="79" t="s">
        <v>105</v>
      </c>
      <c r="B321" s="18" t="s">
        <v>71</v>
      </c>
      <c r="C321" s="18" t="s">
        <v>33</v>
      </c>
      <c r="D321" s="18" t="s">
        <v>91</v>
      </c>
      <c r="E321" s="19" t="s">
        <v>154</v>
      </c>
      <c r="F321" s="17" t="s">
        <v>515</v>
      </c>
      <c r="G321" s="17" t="str">
        <f t="shared" si="17"/>
        <v>4</v>
      </c>
      <c r="H321" s="17" t="str">
        <f t="shared" si="18"/>
        <v>a</v>
      </c>
      <c r="I321" s="20" t="str">
        <f t="shared" si="19"/>
        <v>Design</v>
      </c>
      <c r="J321" s="21" t="str">
        <f t="shared" si="20"/>
        <v>Follow an engineering design methodology</v>
      </c>
      <c r="K321" s="3"/>
      <c r="L321" s="3"/>
      <c r="M321" s="3"/>
      <c r="N321" s="3"/>
      <c r="O321" s="16"/>
      <c r="P321" s="3"/>
      <c r="Q321" s="3"/>
      <c r="R321" s="3"/>
    </row>
    <row r="322" spans="1:18" x14ac:dyDescent="0.2">
      <c r="A322" s="79" t="s">
        <v>105</v>
      </c>
      <c r="B322" s="18" t="s">
        <v>71</v>
      </c>
      <c r="C322" s="18" t="s">
        <v>33</v>
      </c>
      <c r="D322" s="18" t="s">
        <v>91</v>
      </c>
      <c r="E322" s="19" t="s">
        <v>156</v>
      </c>
      <c r="F322" s="17" t="s">
        <v>516</v>
      </c>
      <c r="G322" s="17" t="str">
        <f t="shared" ref="G322:G385" si="21">IF(LEN(F322)=2,LEFT(F322,1),LEFT(F322,2))</f>
        <v>4</v>
      </c>
      <c r="H322" s="17" t="str">
        <f t="shared" ref="H322:H385" si="22">RIGHT(F322,1)</f>
        <v>b</v>
      </c>
      <c r="I322" s="20" t="str">
        <f t="shared" ref="I322:I385" si="23">IFERROR(VLOOKUP(F322,$N$2:$Q$39,4,FALSE),0)</f>
        <v>Design</v>
      </c>
      <c r="J322" s="21" t="str">
        <f t="shared" ref="J322:J385" si="24">IFERROR(VLOOKUP(F322,$N$2:$O$39,2,FALSE),0)</f>
        <v>Generate and implement solutions to complex open-ended problems</v>
      </c>
      <c r="K322" s="3"/>
      <c r="L322" s="3"/>
      <c r="M322" s="3"/>
      <c r="N322" s="3"/>
      <c r="O322" s="16"/>
      <c r="P322" s="3"/>
      <c r="Q322" s="3"/>
      <c r="R322" s="3"/>
    </row>
    <row r="323" spans="1:18" x14ac:dyDescent="0.2">
      <c r="A323" s="79" t="s">
        <v>105</v>
      </c>
      <c r="B323" s="18" t="s">
        <v>71</v>
      </c>
      <c r="C323" s="18" t="s">
        <v>33</v>
      </c>
      <c r="D323" s="18" t="s">
        <v>91</v>
      </c>
      <c r="E323" s="19" t="s">
        <v>190</v>
      </c>
      <c r="F323" s="17" t="s">
        <v>518</v>
      </c>
      <c r="G323" s="17" t="str">
        <f t="shared" si="21"/>
        <v>5</v>
      </c>
      <c r="H323" s="17" t="str">
        <f t="shared" si="22"/>
        <v>a</v>
      </c>
      <c r="I323" s="20" t="str">
        <f t="shared" si="23"/>
        <v>Use of Engineering Tools</v>
      </c>
      <c r="J323" s="21" t="str">
        <f t="shared" si="24"/>
        <v>Select appropriate engineering tools8, considering their limitations</v>
      </c>
      <c r="K323" s="3"/>
      <c r="L323" s="3"/>
      <c r="M323" s="3"/>
      <c r="N323" s="3"/>
      <c r="O323" s="16"/>
      <c r="P323" s="3"/>
      <c r="Q323" s="3"/>
      <c r="R323" s="3"/>
    </row>
    <row r="324" spans="1:18" x14ac:dyDescent="0.2">
      <c r="A324" s="79" t="s">
        <v>105</v>
      </c>
      <c r="B324" s="18" t="s">
        <v>71</v>
      </c>
      <c r="C324" s="18" t="s">
        <v>33</v>
      </c>
      <c r="D324" s="18" t="s">
        <v>91</v>
      </c>
      <c r="E324" s="19" t="s">
        <v>188</v>
      </c>
      <c r="F324" s="17" t="s">
        <v>518</v>
      </c>
      <c r="G324" s="17" t="str">
        <f t="shared" si="21"/>
        <v>5</v>
      </c>
      <c r="H324" s="17" t="str">
        <f t="shared" si="22"/>
        <v>a</v>
      </c>
      <c r="I324" s="20" t="str">
        <f t="shared" si="23"/>
        <v>Use of Engineering Tools</v>
      </c>
      <c r="J324" s="21" t="str">
        <f t="shared" si="24"/>
        <v>Select appropriate engineering tools8, considering their limitations</v>
      </c>
      <c r="K324" s="3"/>
      <c r="L324" s="3"/>
      <c r="M324" s="3"/>
      <c r="N324" s="3"/>
      <c r="O324" s="16"/>
      <c r="P324" s="3"/>
      <c r="Q324" s="3"/>
      <c r="R324" s="3"/>
    </row>
    <row r="325" spans="1:18" x14ac:dyDescent="0.2">
      <c r="A325" s="79" t="s">
        <v>105</v>
      </c>
      <c r="B325" s="18" t="s">
        <v>71</v>
      </c>
      <c r="C325" s="18" t="s">
        <v>33</v>
      </c>
      <c r="D325" s="18" t="s">
        <v>91</v>
      </c>
      <c r="E325" s="19" t="s">
        <v>189</v>
      </c>
      <c r="F325" s="81" t="s">
        <v>520</v>
      </c>
      <c r="G325" s="17" t="str">
        <f t="shared" si="21"/>
        <v>5</v>
      </c>
      <c r="H325" s="17" t="str">
        <f t="shared" si="22"/>
        <v>b</v>
      </c>
      <c r="I325" s="20" t="str">
        <f t="shared" si="23"/>
        <v>Use of Engineering Tools</v>
      </c>
      <c r="J325" s="21" t="str">
        <f t="shared" si="24"/>
        <v>Modify and/or create appropriate engineering tools, identifying their limitations</v>
      </c>
      <c r="K325" s="3"/>
      <c r="L325" s="3"/>
      <c r="M325" s="3"/>
      <c r="N325" s="3"/>
      <c r="O325" s="16"/>
      <c r="P325" s="3"/>
      <c r="Q325" s="3"/>
      <c r="R325" s="3"/>
    </row>
    <row r="326" spans="1:18" x14ac:dyDescent="0.2">
      <c r="A326" s="79" t="s">
        <v>105</v>
      </c>
      <c r="B326" s="18" t="s">
        <v>71</v>
      </c>
      <c r="C326" s="18" t="s">
        <v>33</v>
      </c>
      <c r="D326" s="18" t="s">
        <v>91</v>
      </c>
      <c r="E326" s="19" t="s">
        <v>460</v>
      </c>
      <c r="F326" s="17" t="s">
        <v>527</v>
      </c>
      <c r="G326" s="17" t="str">
        <f t="shared" si="21"/>
        <v>6</v>
      </c>
      <c r="H326" s="17" t="str">
        <f t="shared" si="22"/>
        <v>b</v>
      </c>
      <c r="I326" s="20" t="str">
        <f t="shared" si="23"/>
        <v>Individual and team work</v>
      </c>
      <c r="J326" s="21" t="str">
        <f t="shared" si="24"/>
        <v>Collaborate with others to complete tasks effectively as a team</v>
      </c>
      <c r="K326" s="3"/>
      <c r="L326" s="3"/>
      <c r="M326" s="3"/>
      <c r="N326" s="3"/>
      <c r="O326" s="16"/>
      <c r="P326" s="3"/>
      <c r="Q326" s="3"/>
      <c r="R326" s="3"/>
    </row>
    <row r="327" spans="1:18" x14ac:dyDescent="0.2">
      <c r="A327" s="79" t="s">
        <v>105</v>
      </c>
      <c r="B327" s="18" t="s">
        <v>71</v>
      </c>
      <c r="C327" s="18" t="s">
        <v>33</v>
      </c>
      <c r="D327" s="18" t="s">
        <v>91</v>
      </c>
      <c r="E327" s="19" t="s">
        <v>532</v>
      </c>
      <c r="F327" s="17" t="s">
        <v>528</v>
      </c>
      <c r="G327" s="17" t="str">
        <f t="shared" si="21"/>
        <v>7</v>
      </c>
      <c r="H327" s="17" t="str">
        <f t="shared" si="22"/>
        <v>b</v>
      </c>
      <c r="I327" s="20" t="str">
        <f t="shared" si="23"/>
        <v>Communication Skills</v>
      </c>
      <c r="J327" s="21" t="str">
        <f t="shared" si="24"/>
        <v>Orally present information within the profession and to society at large</v>
      </c>
      <c r="K327" s="3"/>
      <c r="L327" s="3"/>
      <c r="M327" s="3"/>
      <c r="N327" s="3"/>
      <c r="O327" s="16"/>
      <c r="P327" s="3"/>
      <c r="Q327" s="3"/>
      <c r="R327" s="3"/>
    </row>
    <row r="328" spans="1:18" x14ac:dyDescent="0.2">
      <c r="A328" s="79" t="s">
        <v>105</v>
      </c>
      <c r="B328" s="18" t="s">
        <v>71</v>
      </c>
      <c r="C328" s="18" t="s">
        <v>33</v>
      </c>
      <c r="D328" s="18" t="s">
        <v>91</v>
      </c>
      <c r="E328" s="19" t="s">
        <v>106</v>
      </c>
      <c r="F328" s="17" t="s">
        <v>528</v>
      </c>
      <c r="G328" s="17" t="str">
        <f t="shared" si="21"/>
        <v>7</v>
      </c>
      <c r="H328" s="17" t="str">
        <f t="shared" si="22"/>
        <v>b</v>
      </c>
      <c r="I328" s="20" t="str">
        <f t="shared" si="23"/>
        <v>Communication Skills</v>
      </c>
      <c r="J328" s="21" t="str">
        <f t="shared" si="24"/>
        <v>Orally present information within the profession and to society at large</v>
      </c>
      <c r="K328" s="3"/>
      <c r="L328" s="3"/>
      <c r="M328" s="3"/>
      <c r="N328" s="3"/>
      <c r="O328" s="16"/>
      <c r="P328" s="3"/>
      <c r="Q328" s="3"/>
      <c r="R328" s="3"/>
    </row>
    <row r="329" spans="1:18" x14ac:dyDescent="0.2">
      <c r="A329" s="79" t="s">
        <v>105</v>
      </c>
      <c r="B329" s="18" t="s">
        <v>71</v>
      </c>
      <c r="C329" s="18" t="s">
        <v>33</v>
      </c>
      <c r="D329" s="18" t="s">
        <v>91</v>
      </c>
      <c r="E329" s="19" t="s">
        <v>110</v>
      </c>
      <c r="F329" s="17" t="s">
        <v>528</v>
      </c>
      <c r="G329" s="17" t="str">
        <f t="shared" si="21"/>
        <v>7</v>
      </c>
      <c r="H329" s="17" t="str">
        <f t="shared" si="22"/>
        <v>b</v>
      </c>
      <c r="I329" s="20" t="str">
        <f t="shared" si="23"/>
        <v>Communication Skills</v>
      </c>
      <c r="J329" s="21" t="str">
        <f t="shared" si="24"/>
        <v>Orally present information within the profession and to society at large</v>
      </c>
      <c r="K329" s="3"/>
      <c r="L329" s="3"/>
      <c r="M329" s="3"/>
      <c r="N329" s="3"/>
      <c r="O329" s="16"/>
      <c r="P329" s="3"/>
      <c r="Q329" s="3"/>
      <c r="R329" s="3"/>
    </row>
    <row r="330" spans="1:18" x14ac:dyDescent="0.2">
      <c r="A330" s="79" t="s">
        <v>105</v>
      </c>
      <c r="B330" s="18" t="s">
        <v>71</v>
      </c>
      <c r="C330" s="18" t="s">
        <v>33</v>
      </c>
      <c r="D330" s="18" t="s">
        <v>91</v>
      </c>
      <c r="E330" s="19" t="s">
        <v>108</v>
      </c>
      <c r="F330" s="17" t="s">
        <v>530</v>
      </c>
      <c r="G330" s="17" t="str">
        <f t="shared" si="21"/>
        <v>7</v>
      </c>
      <c r="H330" s="17" t="str">
        <f t="shared" si="22"/>
        <v>a</v>
      </c>
      <c r="I330" s="20" t="str">
        <f t="shared" si="23"/>
        <v>Communication Skills</v>
      </c>
      <c r="J330" s="21" t="str">
        <f t="shared" si="24"/>
        <v>Generate appropriate documentation to communicate within the profession and to society at large</v>
      </c>
      <c r="K330" s="3"/>
      <c r="L330" s="3"/>
      <c r="M330" s="3"/>
      <c r="N330" s="3"/>
      <c r="O330" s="16"/>
      <c r="P330" s="3"/>
      <c r="Q330" s="3"/>
      <c r="R330" s="3"/>
    </row>
    <row r="331" spans="1:18" x14ac:dyDescent="0.2">
      <c r="A331" s="79" t="s">
        <v>105</v>
      </c>
      <c r="B331" s="18" t="s">
        <v>71</v>
      </c>
      <c r="C331" s="18" t="s">
        <v>33</v>
      </c>
      <c r="D331" s="18" t="s">
        <v>91</v>
      </c>
      <c r="E331" s="19" t="s">
        <v>107</v>
      </c>
      <c r="F331" s="17" t="s">
        <v>530</v>
      </c>
      <c r="G331" s="17" t="str">
        <f t="shared" si="21"/>
        <v>7</v>
      </c>
      <c r="H331" s="17" t="str">
        <f t="shared" si="22"/>
        <v>a</v>
      </c>
      <c r="I331" s="20" t="str">
        <f t="shared" si="23"/>
        <v>Communication Skills</v>
      </c>
      <c r="J331" s="21" t="str">
        <f t="shared" si="24"/>
        <v>Generate appropriate documentation to communicate within the profession and to society at large</v>
      </c>
      <c r="K331" s="3"/>
      <c r="L331" s="3"/>
      <c r="M331" s="3"/>
      <c r="N331" s="3"/>
      <c r="O331" s="16"/>
      <c r="P331" s="3"/>
      <c r="Q331" s="3"/>
      <c r="R331" s="3"/>
    </row>
    <row r="332" spans="1:18" x14ac:dyDescent="0.2">
      <c r="A332" s="79" t="s">
        <v>105</v>
      </c>
      <c r="B332" s="18" t="s">
        <v>71</v>
      </c>
      <c r="C332" s="18" t="s">
        <v>33</v>
      </c>
      <c r="D332" s="18" t="s">
        <v>91</v>
      </c>
      <c r="E332" s="19" t="s">
        <v>109</v>
      </c>
      <c r="F332" s="17" t="s">
        <v>530</v>
      </c>
      <c r="G332" s="17" t="str">
        <f t="shared" si="21"/>
        <v>7</v>
      </c>
      <c r="H332" s="17" t="str">
        <f t="shared" si="22"/>
        <v>a</v>
      </c>
      <c r="I332" s="20" t="str">
        <f t="shared" si="23"/>
        <v>Communication Skills</v>
      </c>
      <c r="J332" s="21" t="str">
        <f t="shared" si="24"/>
        <v>Generate appropriate documentation to communicate within the profession and to society at large</v>
      </c>
      <c r="K332" s="3"/>
      <c r="L332" s="3"/>
      <c r="M332" s="3"/>
      <c r="N332" s="3"/>
      <c r="O332" s="16"/>
      <c r="P332" s="3"/>
      <c r="Q332" s="3"/>
      <c r="R332" s="3"/>
    </row>
    <row r="333" spans="1:18" x14ac:dyDescent="0.2">
      <c r="A333" s="79" t="s">
        <v>111</v>
      </c>
      <c r="B333" s="18" t="s">
        <v>71</v>
      </c>
      <c r="C333" s="18" t="s">
        <v>33</v>
      </c>
      <c r="D333" s="18" t="s">
        <v>91</v>
      </c>
      <c r="E333" s="19" t="s">
        <v>321</v>
      </c>
      <c r="F333" s="17" t="s">
        <v>494</v>
      </c>
      <c r="G333" s="17" t="str">
        <f t="shared" si="21"/>
        <v>1</v>
      </c>
      <c r="H333" s="17" t="str">
        <f t="shared" si="22"/>
        <v>d</v>
      </c>
      <c r="I333" s="20" t="str">
        <f t="shared" si="23"/>
        <v>Knowledge base for engineering</v>
      </c>
      <c r="J333" s="21" t="str">
        <f t="shared" si="24"/>
        <v>Demonstrate understanding of specialized engineering knowledge</v>
      </c>
      <c r="K333" s="3"/>
      <c r="L333" s="3"/>
      <c r="M333" s="3"/>
      <c r="N333" s="3"/>
      <c r="O333" s="16"/>
      <c r="P333" s="3"/>
      <c r="Q333" s="3"/>
      <c r="R333" s="3"/>
    </row>
    <row r="334" spans="1:18" ht="30" x14ac:dyDescent="0.2">
      <c r="A334" s="79" t="s">
        <v>111</v>
      </c>
      <c r="B334" s="18" t="s">
        <v>71</v>
      </c>
      <c r="C334" s="18" t="s">
        <v>33</v>
      </c>
      <c r="D334" s="18" t="s">
        <v>91</v>
      </c>
      <c r="E334" s="19" t="s">
        <v>415</v>
      </c>
      <c r="F334" s="17" t="s">
        <v>508</v>
      </c>
      <c r="G334" s="17" t="str">
        <f t="shared" si="21"/>
        <v>2</v>
      </c>
      <c r="H334" s="17" t="str">
        <f t="shared" si="22"/>
        <v>a</v>
      </c>
      <c r="I334" s="20" t="str">
        <f t="shared" si="23"/>
        <v xml:space="preserve">Problem Analysis </v>
      </c>
      <c r="J334" s="21" t="str">
        <f t="shared" si="24"/>
        <v>Identify / define a problem</v>
      </c>
      <c r="K334" s="3"/>
      <c r="L334" s="3"/>
      <c r="M334" s="3"/>
      <c r="N334" s="3"/>
      <c r="O334" s="16"/>
      <c r="P334" s="3"/>
      <c r="Q334" s="3"/>
      <c r="R334" s="3"/>
    </row>
    <row r="335" spans="1:18" ht="30" x14ac:dyDescent="0.2">
      <c r="A335" s="79" t="s">
        <v>111</v>
      </c>
      <c r="B335" s="18" t="s">
        <v>71</v>
      </c>
      <c r="C335" s="18" t="s">
        <v>33</v>
      </c>
      <c r="D335" s="18" t="s">
        <v>91</v>
      </c>
      <c r="E335" s="19" t="s">
        <v>416</v>
      </c>
      <c r="F335" s="17" t="s">
        <v>508</v>
      </c>
      <c r="G335" s="17" t="str">
        <f t="shared" si="21"/>
        <v>2</v>
      </c>
      <c r="H335" s="17" t="str">
        <f t="shared" si="22"/>
        <v>a</v>
      </c>
      <c r="I335" s="20" t="str">
        <f t="shared" si="23"/>
        <v xml:space="preserve">Problem Analysis </v>
      </c>
      <c r="J335" s="21" t="str">
        <f t="shared" si="24"/>
        <v>Identify / define a problem</v>
      </c>
      <c r="K335" s="3"/>
      <c r="L335" s="3"/>
      <c r="M335" s="3"/>
      <c r="N335" s="3"/>
      <c r="O335" s="16"/>
      <c r="P335" s="3"/>
      <c r="Q335" s="3"/>
      <c r="R335" s="3"/>
    </row>
    <row r="336" spans="1:18" ht="30" x14ac:dyDescent="0.2">
      <c r="A336" s="79" t="s">
        <v>111</v>
      </c>
      <c r="B336" s="18" t="s">
        <v>71</v>
      </c>
      <c r="C336" s="18" t="s">
        <v>33</v>
      </c>
      <c r="D336" s="18" t="s">
        <v>91</v>
      </c>
      <c r="E336" s="19" t="s">
        <v>417</v>
      </c>
      <c r="F336" s="17" t="s">
        <v>510</v>
      </c>
      <c r="G336" s="17" t="str">
        <f t="shared" si="21"/>
        <v>2</v>
      </c>
      <c r="H336" s="17" t="str">
        <f t="shared" si="22"/>
        <v>c</v>
      </c>
      <c r="I336" s="20" t="str">
        <f t="shared" si="23"/>
        <v xml:space="preserve">Problem Analysis </v>
      </c>
      <c r="J336" s="21" t="str">
        <f t="shared" si="24"/>
        <v>Evaluate solutions of complex engineering problems to reach substantiated conclusions</v>
      </c>
      <c r="K336" s="3"/>
      <c r="L336" s="3"/>
      <c r="M336" s="3"/>
      <c r="N336" s="3"/>
      <c r="O336" s="16"/>
      <c r="P336" s="3"/>
      <c r="Q336" s="3"/>
      <c r="R336" s="3"/>
    </row>
    <row r="337" spans="1:18" x14ac:dyDescent="0.2">
      <c r="A337" s="79" t="s">
        <v>111</v>
      </c>
      <c r="B337" s="18" t="s">
        <v>71</v>
      </c>
      <c r="C337" s="18" t="s">
        <v>33</v>
      </c>
      <c r="D337" s="18" t="s">
        <v>91</v>
      </c>
      <c r="E337" s="19" t="s">
        <v>226</v>
      </c>
      <c r="F337" s="81" t="s">
        <v>514</v>
      </c>
      <c r="G337" s="17" t="str">
        <f t="shared" si="21"/>
        <v>3</v>
      </c>
      <c r="H337" s="17" t="str">
        <f t="shared" si="22"/>
        <v>c</v>
      </c>
      <c r="I337" s="20" t="str">
        <f t="shared" si="23"/>
        <v>Investigation</v>
      </c>
      <c r="J337" s="21" t="str">
        <f t="shared" si="24"/>
        <v>Analyze, synthesize, and interpret experimental and other data to reach valid conclusions.</v>
      </c>
      <c r="K337" s="3"/>
      <c r="L337" s="3"/>
      <c r="M337" s="3"/>
      <c r="N337" s="3"/>
      <c r="O337" s="16"/>
      <c r="P337" s="3"/>
      <c r="Q337" s="3"/>
      <c r="R337" s="3"/>
    </row>
    <row r="338" spans="1:18" x14ac:dyDescent="0.2">
      <c r="A338" s="79" t="s">
        <v>111</v>
      </c>
      <c r="B338" s="18" t="s">
        <v>71</v>
      </c>
      <c r="C338" s="18" t="s">
        <v>33</v>
      </c>
      <c r="D338" s="18" t="s">
        <v>91</v>
      </c>
      <c r="E338" s="19" t="s">
        <v>112</v>
      </c>
      <c r="F338" s="17" t="s">
        <v>528</v>
      </c>
      <c r="G338" s="17" t="str">
        <f t="shared" si="21"/>
        <v>7</v>
      </c>
      <c r="H338" s="17" t="str">
        <f t="shared" si="22"/>
        <v>b</v>
      </c>
      <c r="I338" s="20" t="str">
        <f t="shared" si="23"/>
        <v>Communication Skills</v>
      </c>
      <c r="J338" s="21" t="str">
        <f t="shared" si="24"/>
        <v>Orally present information within the profession and to society at large</v>
      </c>
      <c r="K338" s="3"/>
      <c r="L338" s="3"/>
      <c r="M338" s="3"/>
      <c r="N338" s="3"/>
      <c r="O338" s="16"/>
      <c r="P338" s="3"/>
      <c r="Q338" s="3"/>
      <c r="R338" s="3"/>
    </row>
    <row r="339" spans="1:18" ht="30" x14ac:dyDescent="0.2">
      <c r="A339" s="79" t="s">
        <v>111</v>
      </c>
      <c r="B339" s="18" t="s">
        <v>71</v>
      </c>
      <c r="C339" s="18" t="s">
        <v>33</v>
      </c>
      <c r="D339" s="18" t="s">
        <v>91</v>
      </c>
      <c r="E339" s="19" t="s">
        <v>113</v>
      </c>
      <c r="F339" s="17" t="s">
        <v>542</v>
      </c>
      <c r="G339" s="17" t="str">
        <f t="shared" si="21"/>
        <v>7</v>
      </c>
      <c r="H339" s="17" t="str">
        <f t="shared" si="22"/>
        <v>c</v>
      </c>
      <c r="I339" s="20" t="str">
        <f t="shared" si="23"/>
        <v>Communication Skills</v>
      </c>
      <c r="J339" s="21" t="str">
        <f t="shared" si="24"/>
        <v>Comprehend and Interpret information, including solutions, results and instructions</v>
      </c>
      <c r="K339" s="3"/>
      <c r="L339" s="3"/>
      <c r="M339" s="3"/>
      <c r="N339" s="3"/>
      <c r="O339" s="16"/>
      <c r="P339" s="3"/>
      <c r="Q339" s="3"/>
      <c r="R339" s="3"/>
    </row>
    <row r="340" spans="1:18" ht="30" x14ac:dyDescent="0.2">
      <c r="A340" s="79" t="s">
        <v>111</v>
      </c>
      <c r="B340" s="18" t="s">
        <v>71</v>
      </c>
      <c r="C340" s="18" t="s">
        <v>33</v>
      </c>
      <c r="D340" s="18" t="s">
        <v>91</v>
      </c>
      <c r="E340" s="19" t="s">
        <v>114</v>
      </c>
      <c r="F340" s="17" t="s">
        <v>542</v>
      </c>
      <c r="G340" s="17" t="str">
        <f t="shared" si="21"/>
        <v>7</v>
      </c>
      <c r="H340" s="17" t="str">
        <f t="shared" si="22"/>
        <v>c</v>
      </c>
      <c r="I340" s="20" t="str">
        <f t="shared" si="23"/>
        <v>Communication Skills</v>
      </c>
      <c r="J340" s="21" t="str">
        <f t="shared" si="24"/>
        <v>Comprehend and Interpret information, including solutions, results and instructions</v>
      </c>
      <c r="K340" s="3"/>
      <c r="L340" s="3"/>
      <c r="M340" s="3"/>
      <c r="N340" s="3"/>
      <c r="O340" s="16"/>
      <c r="P340" s="3"/>
      <c r="Q340" s="3"/>
      <c r="R340" s="3"/>
    </row>
    <row r="341" spans="1:18" ht="30" x14ac:dyDescent="0.2">
      <c r="A341" s="79" t="s">
        <v>111</v>
      </c>
      <c r="B341" s="18" t="s">
        <v>71</v>
      </c>
      <c r="C341" s="18" t="s">
        <v>33</v>
      </c>
      <c r="D341" s="18" t="s">
        <v>91</v>
      </c>
      <c r="E341" s="19" t="s">
        <v>203</v>
      </c>
      <c r="F341" s="17" t="s">
        <v>511</v>
      </c>
      <c r="G341" s="17" t="str">
        <f t="shared" si="21"/>
        <v>9</v>
      </c>
      <c r="H341" s="17" t="str">
        <f t="shared" si="22"/>
        <v>a</v>
      </c>
      <c r="I341" s="20" t="str">
        <f t="shared" si="23"/>
        <v>Impact of engineering</v>
      </c>
      <c r="J341" s="21" t="str">
        <f t="shared" si="24"/>
        <v>Identify the relevance of and uncertainty associated with the different aspects (social, cultural, economic, health, safety, legal, environmental) of an engineering project</v>
      </c>
      <c r="K341" s="3"/>
      <c r="L341" s="3"/>
      <c r="M341" s="3"/>
      <c r="N341" s="3"/>
      <c r="O341" s="16"/>
      <c r="P341" s="3"/>
      <c r="Q341" s="3"/>
      <c r="R341" s="3"/>
    </row>
    <row r="342" spans="1:18" ht="30" x14ac:dyDescent="0.2">
      <c r="A342" s="79" t="s">
        <v>111</v>
      </c>
      <c r="B342" s="18" t="s">
        <v>71</v>
      </c>
      <c r="C342" s="18" t="s">
        <v>33</v>
      </c>
      <c r="D342" s="18" t="s">
        <v>91</v>
      </c>
      <c r="E342" s="19" t="s">
        <v>204</v>
      </c>
      <c r="F342" s="17" t="s">
        <v>511</v>
      </c>
      <c r="G342" s="17" t="str">
        <f t="shared" si="21"/>
        <v>9</v>
      </c>
      <c r="H342" s="17" t="str">
        <f t="shared" si="22"/>
        <v>a</v>
      </c>
      <c r="I342" s="20" t="str">
        <f t="shared" si="23"/>
        <v>Impact of engineering</v>
      </c>
      <c r="J342" s="21" t="str">
        <f t="shared" si="24"/>
        <v>Identify the relevance of and uncertainty associated with the different aspects (social, cultural, economic, health, safety, legal, environmental) of an engineering project</v>
      </c>
      <c r="K342" s="3"/>
      <c r="L342" s="3"/>
      <c r="M342" s="3"/>
      <c r="N342" s="3"/>
      <c r="O342" s="16"/>
      <c r="P342" s="3"/>
      <c r="Q342" s="3"/>
      <c r="R342" s="3"/>
    </row>
    <row r="343" spans="1:18" ht="30" x14ac:dyDescent="0.2">
      <c r="A343" s="79" t="s">
        <v>115</v>
      </c>
      <c r="B343" s="18" t="s">
        <v>71</v>
      </c>
      <c r="C343" s="18" t="s">
        <v>32</v>
      </c>
      <c r="D343" s="18" t="s">
        <v>77</v>
      </c>
      <c r="E343" s="19" t="s">
        <v>323</v>
      </c>
      <c r="F343" s="17" t="s">
        <v>494</v>
      </c>
      <c r="G343" s="17" t="str">
        <f t="shared" si="21"/>
        <v>1</v>
      </c>
      <c r="H343" s="17" t="str">
        <f t="shared" si="22"/>
        <v>d</v>
      </c>
      <c r="I343" s="20" t="str">
        <f t="shared" si="23"/>
        <v>Knowledge base for engineering</v>
      </c>
      <c r="J343" s="21" t="str">
        <f t="shared" si="24"/>
        <v>Demonstrate understanding of specialized engineering knowledge</v>
      </c>
      <c r="K343" s="3"/>
      <c r="L343" s="3"/>
      <c r="M343" s="3"/>
      <c r="N343" s="3"/>
      <c r="O343" s="16"/>
      <c r="P343" s="3"/>
      <c r="Q343" s="3"/>
      <c r="R343" s="3"/>
    </row>
    <row r="344" spans="1:18" ht="30" x14ac:dyDescent="0.2">
      <c r="A344" s="79" t="s">
        <v>115</v>
      </c>
      <c r="B344" s="18" t="s">
        <v>71</v>
      </c>
      <c r="C344" s="18" t="s">
        <v>32</v>
      </c>
      <c r="D344" s="18" t="s">
        <v>77</v>
      </c>
      <c r="E344" s="19" t="s">
        <v>322</v>
      </c>
      <c r="F344" s="17" t="s">
        <v>494</v>
      </c>
      <c r="G344" s="17" t="str">
        <f t="shared" si="21"/>
        <v>1</v>
      </c>
      <c r="H344" s="17" t="str">
        <f t="shared" si="22"/>
        <v>d</v>
      </c>
      <c r="I344" s="20" t="str">
        <f t="shared" si="23"/>
        <v>Knowledge base for engineering</v>
      </c>
      <c r="J344" s="21" t="str">
        <f t="shared" si="24"/>
        <v>Demonstrate understanding of specialized engineering knowledge</v>
      </c>
      <c r="K344" s="3"/>
      <c r="L344" s="3"/>
      <c r="M344" s="3"/>
      <c r="N344" s="3"/>
      <c r="O344" s="16"/>
      <c r="P344" s="3"/>
      <c r="Q344" s="3"/>
      <c r="R344" s="3"/>
    </row>
    <row r="345" spans="1:18" x14ac:dyDescent="0.2">
      <c r="A345" s="79" t="s">
        <v>115</v>
      </c>
      <c r="B345" s="18" t="s">
        <v>71</v>
      </c>
      <c r="C345" s="18" t="s">
        <v>32</v>
      </c>
      <c r="D345" s="18" t="s">
        <v>77</v>
      </c>
      <c r="E345" s="19" t="s">
        <v>419</v>
      </c>
      <c r="F345" s="17" t="s">
        <v>508</v>
      </c>
      <c r="G345" s="17" t="str">
        <f t="shared" si="21"/>
        <v>2</v>
      </c>
      <c r="H345" s="17" t="str">
        <f t="shared" si="22"/>
        <v>a</v>
      </c>
      <c r="I345" s="20" t="str">
        <f t="shared" si="23"/>
        <v xml:space="preserve">Problem Analysis </v>
      </c>
      <c r="J345" s="21" t="str">
        <f t="shared" si="24"/>
        <v>Identify / define a problem</v>
      </c>
      <c r="K345" s="3"/>
      <c r="L345" s="3"/>
      <c r="M345" s="3"/>
      <c r="N345" s="3"/>
      <c r="O345" s="16"/>
      <c r="P345" s="3"/>
      <c r="Q345" s="3"/>
      <c r="R345" s="3"/>
    </row>
    <row r="346" spans="1:18" x14ac:dyDescent="0.2">
      <c r="A346" s="79" t="s">
        <v>115</v>
      </c>
      <c r="B346" s="18" t="s">
        <v>71</v>
      </c>
      <c r="C346" s="18" t="s">
        <v>32</v>
      </c>
      <c r="D346" s="18" t="s">
        <v>77</v>
      </c>
      <c r="E346" s="19" t="s">
        <v>420</v>
      </c>
      <c r="F346" s="17" t="s">
        <v>508</v>
      </c>
      <c r="G346" s="17" t="str">
        <f t="shared" si="21"/>
        <v>2</v>
      </c>
      <c r="H346" s="17" t="str">
        <f t="shared" si="22"/>
        <v>a</v>
      </c>
      <c r="I346" s="20" t="str">
        <f t="shared" si="23"/>
        <v xml:space="preserve">Problem Analysis </v>
      </c>
      <c r="J346" s="21" t="str">
        <f t="shared" si="24"/>
        <v>Identify / define a problem</v>
      </c>
      <c r="K346" s="3"/>
      <c r="L346" s="3"/>
      <c r="M346" s="3"/>
      <c r="N346" s="3"/>
      <c r="O346" s="16"/>
      <c r="P346" s="3"/>
      <c r="Q346" s="3"/>
      <c r="R346" s="3"/>
    </row>
    <row r="347" spans="1:18" x14ac:dyDescent="0.2">
      <c r="A347" s="79" t="s">
        <v>115</v>
      </c>
      <c r="B347" s="18" t="s">
        <v>71</v>
      </c>
      <c r="C347" s="18" t="s">
        <v>32</v>
      </c>
      <c r="D347" s="18" t="s">
        <v>77</v>
      </c>
      <c r="E347" s="19" t="s">
        <v>418</v>
      </c>
      <c r="F347" s="17" t="s">
        <v>510</v>
      </c>
      <c r="G347" s="17" t="str">
        <f t="shared" si="21"/>
        <v>2</v>
      </c>
      <c r="H347" s="17" t="str">
        <f t="shared" si="22"/>
        <v>c</v>
      </c>
      <c r="I347" s="20" t="str">
        <f t="shared" si="23"/>
        <v xml:space="preserve">Problem Analysis </v>
      </c>
      <c r="J347" s="21" t="str">
        <f t="shared" si="24"/>
        <v>Evaluate solutions of complex engineering problems to reach substantiated conclusions</v>
      </c>
      <c r="K347" s="3"/>
      <c r="L347" s="3"/>
      <c r="M347" s="3"/>
      <c r="N347" s="3"/>
      <c r="O347" s="16"/>
      <c r="P347" s="3"/>
      <c r="Q347" s="3"/>
      <c r="R347" s="3"/>
    </row>
    <row r="348" spans="1:18" x14ac:dyDescent="0.2">
      <c r="A348" s="79" t="s">
        <v>115</v>
      </c>
      <c r="B348" s="18" t="s">
        <v>71</v>
      </c>
      <c r="C348" s="18" t="s">
        <v>32</v>
      </c>
      <c r="D348" s="18" t="s">
        <v>77</v>
      </c>
      <c r="E348" s="19" t="s">
        <v>227</v>
      </c>
      <c r="F348" s="17" t="s">
        <v>513</v>
      </c>
      <c r="G348" s="17" t="str">
        <f t="shared" si="21"/>
        <v>3</v>
      </c>
      <c r="H348" s="17" t="str">
        <f t="shared" si="22"/>
        <v>b</v>
      </c>
      <c r="I348" s="20" t="str">
        <f t="shared" si="23"/>
        <v>Investigation</v>
      </c>
      <c r="J348" s="21" t="str">
        <f t="shared" si="24"/>
        <v>Conduct experiments and gather and process data.</v>
      </c>
      <c r="K348" s="3"/>
      <c r="L348" s="3"/>
      <c r="M348" s="3"/>
      <c r="N348" s="3"/>
      <c r="O348" s="16"/>
      <c r="P348" s="3"/>
      <c r="Q348" s="3"/>
      <c r="R348" s="3"/>
    </row>
    <row r="349" spans="1:18" ht="30" x14ac:dyDescent="0.2">
      <c r="A349" s="79" t="s">
        <v>115</v>
      </c>
      <c r="B349" s="18" t="s">
        <v>71</v>
      </c>
      <c r="C349" s="18" t="s">
        <v>32</v>
      </c>
      <c r="D349" s="18" t="s">
        <v>77</v>
      </c>
      <c r="E349" s="19" t="s">
        <v>157</v>
      </c>
      <c r="F349" s="17" t="s">
        <v>515</v>
      </c>
      <c r="G349" s="17" t="str">
        <f t="shared" si="21"/>
        <v>4</v>
      </c>
      <c r="H349" s="17" t="str">
        <f t="shared" si="22"/>
        <v>a</v>
      </c>
      <c r="I349" s="20" t="str">
        <f t="shared" si="23"/>
        <v>Design</v>
      </c>
      <c r="J349" s="21" t="str">
        <f t="shared" si="24"/>
        <v>Follow an engineering design methodology</v>
      </c>
      <c r="K349" s="3"/>
      <c r="L349" s="3"/>
      <c r="M349" s="3"/>
      <c r="N349" s="3"/>
      <c r="O349" s="16"/>
      <c r="P349" s="3"/>
      <c r="Q349" s="3"/>
      <c r="R349" s="3"/>
    </row>
    <row r="350" spans="1:18" x14ac:dyDescent="0.2">
      <c r="A350" s="79" t="s">
        <v>115</v>
      </c>
      <c r="B350" s="18" t="s">
        <v>71</v>
      </c>
      <c r="C350" s="18" t="s">
        <v>32</v>
      </c>
      <c r="D350" s="18" t="s">
        <v>77</v>
      </c>
      <c r="E350" s="19" t="s">
        <v>191</v>
      </c>
      <c r="F350" s="17" t="s">
        <v>524</v>
      </c>
      <c r="G350" s="17" t="str">
        <f t="shared" si="21"/>
        <v>5</v>
      </c>
      <c r="H350" s="17" t="str">
        <f t="shared" si="22"/>
        <v>c</v>
      </c>
      <c r="I350" s="20" t="str">
        <f t="shared" si="23"/>
        <v>Use of Engineering Tools</v>
      </c>
      <c r="J350" s="21" t="str">
        <f t="shared" si="24"/>
        <v>Use appropriate engineering tools</v>
      </c>
      <c r="K350" s="3"/>
      <c r="L350" s="3"/>
      <c r="M350" s="3"/>
      <c r="N350" s="3"/>
      <c r="O350" s="16"/>
      <c r="P350" s="3"/>
      <c r="Q350" s="3"/>
      <c r="R350" s="3"/>
    </row>
    <row r="351" spans="1:18" x14ac:dyDescent="0.2">
      <c r="A351" s="79" t="s">
        <v>115</v>
      </c>
      <c r="B351" s="18" t="s">
        <v>71</v>
      </c>
      <c r="C351" s="18" t="s">
        <v>32</v>
      </c>
      <c r="D351" s="18" t="s">
        <v>77</v>
      </c>
      <c r="E351" s="19" t="s">
        <v>117</v>
      </c>
      <c r="F351" s="17" t="s">
        <v>528</v>
      </c>
      <c r="G351" s="17" t="str">
        <f t="shared" si="21"/>
        <v>7</v>
      </c>
      <c r="H351" s="17" t="str">
        <f t="shared" si="22"/>
        <v>b</v>
      </c>
      <c r="I351" s="20" t="str">
        <f t="shared" si="23"/>
        <v>Communication Skills</v>
      </c>
      <c r="J351" s="21" t="str">
        <f t="shared" si="24"/>
        <v>Orally present information within the profession and to society at large</v>
      </c>
      <c r="K351" s="3"/>
      <c r="L351" s="3"/>
      <c r="M351" s="3"/>
      <c r="N351" s="3"/>
      <c r="O351" s="16"/>
      <c r="P351" s="3"/>
      <c r="Q351" s="3"/>
      <c r="R351" s="3"/>
    </row>
    <row r="352" spans="1:18" ht="30" x14ac:dyDescent="0.2">
      <c r="A352" s="79" t="s">
        <v>115</v>
      </c>
      <c r="B352" s="18" t="s">
        <v>71</v>
      </c>
      <c r="C352" s="18" t="s">
        <v>32</v>
      </c>
      <c r="D352" s="18" t="s">
        <v>77</v>
      </c>
      <c r="E352" s="19" t="s">
        <v>116</v>
      </c>
      <c r="F352" s="17" t="s">
        <v>530</v>
      </c>
      <c r="G352" s="17" t="str">
        <f t="shared" si="21"/>
        <v>7</v>
      </c>
      <c r="H352" s="17" t="str">
        <f t="shared" si="22"/>
        <v>a</v>
      </c>
      <c r="I352" s="20" t="str">
        <f t="shared" si="23"/>
        <v>Communication Skills</v>
      </c>
      <c r="J352" s="21" t="str">
        <f t="shared" si="24"/>
        <v>Generate appropriate documentation to communicate within the profession and to society at large</v>
      </c>
      <c r="K352" s="3"/>
      <c r="L352" s="3"/>
      <c r="M352" s="3"/>
      <c r="N352" s="3"/>
      <c r="O352" s="16"/>
      <c r="P352" s="3"/>
      <c r="Q352" s="3"/>
      <c r="R352" s="3"/>
    </row>
    <row r="353" spans="1:18" x14ac:dyDescent="0.2">
      <c r="A353" s="79" t="s">
        <v>158</v>
      </c>
      <c r="B353" s="18" t="s">
        <v>67</v>
      </c>
      <c r="C353" s="18" t="s">
        <v>33</v>
      </c>
      <c r="D353" s="18" t="s">
        <v>127</v>
      </c>
      <c r="E353" s="19" t="s">
        <v>324</v>
      </c>
      <c r="F353" s="17" t="s">
        <v>494</v>
      </c>
      <c r="G353" s="17" t="str">
        <f t="shared" si="21"/>
        <v>1</v>
      </c>
      <c r="H353" s="17" t="str">
        <f t="shared" si="22"/>
        <v>d</v>
      </c>
      <c r="I353" s="20" t="str">
        <f t="shared" si="23"/>
        <v>Knowledge base for engineering</v>
      </c>
      <c r="J353" s="21" t="str">
        <f t="shared" si="24"/>
        <v>Demonstrate understanding of specialized engineering knowledge</v>
      </c>
      <c r="K353" s="3"/>
      <c r="L353" s="3"/>
      <c r="M353" s="3"/>
      <c r="N353" s="3"/>
      <c r="O353" s="16"/>
      <c r="P353" s="3"/>
      <c r="Q353" s="3"/>
      <c r="R353" s="3"/>
    </row>
    <row r="354" spans="1:18" x14ac:dyDescent="0.2">
      <c r="A354" s="79" t="s">
        <v>158</v>
      </c>
      <c r="B354" s="18" t="s">
        <v>67</v>
      </c>
      <c r="C354" s="18" t="s">
        <v>33</v>
      </c>
      <c r="D354" s="18" t="s">
        <v>127</v>
      </c>
      <c r="E354" s="19" t="s">
        <v>421</v>
      </c>
      <c r="F354" s="17" t="s">
        <v>510</v>
      </c>
      <c r="G354" s="17" t="str">
        <f t="shared" si="21"/>
        <v>2</v>
      </c>
      <c r="H354" s="17" t="str">
        <f t="shared" si="22"/>
        <v>c</v>
      </c>
      <c r="I354" s="20" t="str">
        <f t="shared" si="23"/>
        <v xml:space="preserve">Problem Analysis </v>
      </c>
      <c r="J354" s="21" t="str">
        <f t="shared" si="24"/>
        <v>Evaluate solutions of complex engineering problems to reach substantiated conclusions</v>
      </c>
      <c r="K354" s="3"/>
      <c r="L354" s="3"/>
      <c r="M354" s="3"/>
      <c r="N354" s="3"/>
      <c r="O354" s="16"/>
      <c r="P354" s="3"/>
      <c r="Q354" s="3"/>
      <c r="R354" s="3"/>
    </row>
    <row r="355" spans="1:18" ht="30" x14ac:dyDescent="0.2">
      <c r="A355" s="79" t="s">
        <v>158</v>
      </c>
      <c r="B355" s="18" t="s">
        <v>67</v>
      </c>
      <c r="C355" s="18" t="s">
        <v>33</v>
      </c>
      <c r="D355" s="18" t="s">
        <v>127</v>
      </c>
      <c r="E355" s="19" t="s">
        <v>56</v>
      </c>
      <c r="F355" s="17" t="s">
        <v>516</v>
      </c>
      <c r="G355" s="17" t="str">
        <f t="shared" si="21"/>
        <v>4</v>
      </c>
      <c r="H355" s="17" t="str">
        <f t="shared" si="22"/>
        <v>b</v>
      </c>
      <c r="I355" s="20" t="str">
        <f t="shared" si="23"/>
        <v>Design</v>
      </c>
      <c r="J355" s="21" t="str">
        <f t="shared" si="24"/>
        <v>Generate and implement solutions to complex open-ended problems</v>
      </c>
      <c r="K355" s="3"/>
      <c r="L355" s="3"/>
      <c r="M355" s="3"/>
      <c r="N355" s="3"/>
      <c r="O355" s="16"/>
      <c r="P355" s="3"/>
      <c r="Q355" s="3"/>
      <c r="R355" s="3"/>
    </row>
    <row r="356" spans="1:18" x14ac:dyDescent="0.2">
      <c r="A356" s="79" t="s">
        <v>192</v>
      </c>
      <c r="B356" s="18" t="s">
        <v>74</v>
      </c>
      <c r="C356" s="18" t="s">
        <v>33</v>
      </c>
      <c r="D356" s="18" t="s">
        <v>85</v>
      </c>
      <c r="E356" s="19" t="s">
        <v>326</v>
      </c>
      <c r="F356" s="17" t="s">
        <v>494</v>
      </c>
      <c r="G356" s="17" t="str">
        <f t="shared" si="21"/>
        <v>1</v>
      </c>
      <c r="H356" s="17" t="str">
        <f t="shared" si="22"/>
        <v>d</v>
      </c>
      <c r="I356" s="20" t="str">
        <f t="shared" si="23"/>
        <v>Knowledge base for engineering</v>
      </c>
      <c r="J356" s="21" t="str">
        <f t="shared" si="24"/>
        <v>Demonstrate understanding of specialized engineering knowledge</v>
      </c>
      <c r="K356" s="3"/>
      <c r="L356" s="3"/>
      <c r="M356" s="3"/>
      <c r="N356" s="3"/>
      <c r="O356" s="16"/>
      <c r="P356" s="3"/>
      <c r="Q356" s="3"/>
      <c r="R356" s="3"/>
    </row>
    <row r="357" spans="1:18" x14ac:dyDescent="0.2">
      <c r="A357" s="79" t="s">
        <v>192</v>
      </c>
      <c r="B357" s="18" t="s">
        <v>74</v>
      </c>
      <c r="C357" s="18" t="s">
        <v>33</v>
      </c>
      <c r="D357" s="18" t="s">
        <v>85</v>
      </c>
      <c r="E357" s="19" t="s">
        <v>325</v>
      </c>
      <c r="F357" s="17" t="s">
        <v>494</v>
      </c>
      <c r="G357" s="17" t="str">
        <f t="shared" si="21"/>
        <v>1</v>
      </c>
      <c r="H357" s="17" t="str">
        <f t="shared" si="22"/>
        <v>d</v>
      </c>
      <c r="I357" s="20" t="str">
        <f t="shared" si="23"/>
        <v>Knowledge base for engineering</v>
      </c>
      <c r="J357" s="21" t="str">
        <f t="shared" si="24"/>
        <v>Demonstrate understanding of specialized engineering knowledge</v>
      </c>
      <c r="K357" s="3"/>
      <c r="L357" s="3"/>
      <c r="M357" s="3"/>
      <c r="N357" s="3"/>
      <c r="O357" s="16"/>
      <c r="P357" s="3"/>
      <c r="Q357" s="3"/>
      <c r="R357" s="3"/>
    </row>
    <row r="358" spans="1:18" x14ac:dyDescent="0.2">
      <c r="A358" s="79" t="s">
        <v>192</v>
      </c>
      <c r="B358" s="18" t="s">
        <v>74</v>
      </c>
      <c r="C358" s="18" t="s">
        <v>33</v>
      </c>
      <c r="D358" s="18" t="s">
        <v>85</v>
      </c>
      <c r="E358" s="19" t="s">
        <v>328</v>
      </c>
      <c r="F358" s="17" t="s">
        <v>494</v>
      </c>
      <c r="G358" s="17" t="str">
        <f t="shared" si="21"/>
        <v>1</v>
      </c>
      <c r="H358" s="17" t="str">
        <f t="shared" si="22"/>
        <v>d</v>
      </c>
      <c r="I358" s="20" t="str">
        <f t="shared" si="23"/>
        <v>Knowledge base for engineering</v>
      </c>
      <c r="J358" s="21" t="str">
        <f t="shared" si="24"/>
        <v>Demonstrate understanding of specialized engineering knowledge</v>
      </c>
      <c r="K358" s="3"/>
      <c r="L358" s="3"/>
      <c r="M358" s="3"/>
      <c r="N358" s="3"/>
      <c r="O358" s="16"/>
      <c r="P358" s="3"/>
      <c r="Q358" s="3"/>
      <c r="R358" s="3"/>
    </row>
    <row r="359" spans="1:18" x14ac:dyDescent="0.2">
      <c r="A359" s="79" t="s">
        <v>192</v>
      </c>
      <c r="B359" s="18" t="s">
        <v>74</v>
      </c>
      <c r="C359" s="18" t="s">
        <v>33</v>
      </c>
      <c r="D359" s="18" t="s">
        <v>85</v>
      </c>
      <c r="E359" s="19" t="s">
        <v>329</v>
      </c>
      <c r="F359" s="17" t="s">
        <v>494</v>
      </c>
      <c r="G359" s="17" t="str">
        <f t="shared" si="21"/>
        <v>1</v>
      </c>
      <c r="H359" s="17" t="str">
        <f t="shared" si="22"/>
        <v>d</v>
      </c>
      <c r="I359" s="20" t="str">
        <f t="shared" si="23"/>
        <v>Knowledge base for engineering</v>
      </c>
      <c r="J359" s="21" t="str">
        <f t="shared" si="24"/>
        <v>Demonstrate understanding of specialized engineering knowledge</v>
      </c>
      <c r="K359" s="3"/>
      <c r="L359" s="3"/>
      <c r="M359" s="3"/>
      <c r="N359" s="3"/>
      <c r="O359" s="16"/>
      <c r="P359" s="3"/>
      <c r="Q359" s="3"/>
      <c r="R359" s="3"/>
    </row>
    <row r="360" spans="1:18" x14ac:dyDescent="0.2">
      <c r="A360" s="79" t="s">
        <v>192</v>
      </c>
      <c r="B360" s="18" t="s">
        <v>74</v>
      </c>
      <c r="C360" s="18" t="s">
        <v>33</v>
      </c>
      <c r="D360" s="18" t="s">
        <v>85</v>
      </c>
      <c r="E360" s="19" t="s">
        <v>327</v>
      </c>
      <c r="F360" s="17" t="s">
        <v>494</v>
      </c>
      <c r="G360" s="17" t="str">
        <f t="shared" si="21"/>
        <v>1</v>
      </c>
      <c r="H360" s="17" t="str">
        <f t="shared" si="22"/>
        <v>d</v>
      </c>
      <c r="I360" s="20" t="str">
        <f t="shared" si="23"/>
        <v>Knowledge base for engineering</v>
      </c>
      <c r="J360" s="21" t="str">
        <f t="shared" si="24"/>
        <v>Demonstrate understanding of specialized engineering knowledge</v>
      </c>
      <c r="K360" s="3"/>
      <c r="L360" s="3"/>
      <c r="M360" s="3"/>
      <c r="N360" s="3"/>
      <c r="O360" s="16"/>
      <c r="P360" s="3"/>
      <c r="Q360" s="3"/>
      <c r="R360" s="3"/>
    </row>
    <row r="361" spans="1:18" x14ac:dyDescent="0.2">
      <c r="A361" s="79" t="s">
        <v>192</v>
      </c>
      <c r="B361" s="18" t="s">
        <v>74</v>
      </c>
      <c r="C361" s="18" t="s">
        <v>33</v>
      </c>
      <c r="D361" s="18" t="s">
        <v>85</v>
      </c>
      <c r="E361" s="19" t="s">
        <v>422</v>
      </c>
      <c r="F361" s="17" t="s">
        <v>508</v>
      </c>
      <c r="G361" s="17" t="str">
        <f t="shared" si="21"/>
        <v>2</v>
      </c>
      <c r="H361" s="17" t="str">
        <f t="shared" si="22"/>
        <v>a</v>
      </c>
      <c r="I361" s="20" t="str">
        <f t="shared" si="23"/>
        <v xml:space="preserve">Problem Analysis </v>
      </c>
      <c r="J361" s="21" t="str">
        <f t="shared" si="24"/>
        <v>Identify / define a problem</v>
      </c>
      <c r="K361" s="3"/>
      <c r="L361" s="3"/>
      <c r="M361" s="3"/>
      <c r="N361" s="3"/>
      <c r="O361" s="16"/>
      <c r="P361" s="3"/>
      <c r="Q361" s="3"/>
      <c r="R361" s="3"/>
    </row>
    <row r="362" spans="1:18" x14ac:dyDescent="0.2">
      <c r="A362" s="79" t="s">
        <v>192</v>
      </c>
      <c r="B362" s="18" t="s">
        <v>74</v>
      </c>
      <c r="C362" s="18" t="s">
        <v>33</v>
      </c>
      <c r="D362" s="18" t="s">
        <v>85</v>
      </c>
      <c r="E362" s="19" t="s">
        <v>423</v>
      </c>
      <c r="F362" s="17" t="s">
        <v>510</v>
      </c>
      <c r="G362" s="17" t="str">
        <f t="shared" si="21"/>
        <v>2</v>
      </c>
      <c r="H362" s="17" t="str">
        <f t="shared" si="22"/>
        <v>c</v>
      </c>
      <c r="I362" s="20" t="str">
        <f t="shared" si="23"/>
        <v xml:space="preserve">Problem Analysis </v>
      </c>
      <c r="J362" s="21" t="str">
        <f t="shared" si="24"/>
        <v>Evaluate solutions of complex engineering problems to reach substantiated conclusions</v>
      </c>
      <c r="K362" s="3"/>
      <c r="L362" s="3"/>
      <c r="M362" s="3"/>
      <c r="N362" s="3"/>
      <c r="O362" s="16"/>
      <c r="P362" s="3"/>
      <c r="Q362" s="3"/>
      <c r="R362" s="3"/>
    </row>
    <row r="363" spans="1:18" x14ac:dyDescent="0.2">
      <c r="A363" s="79" t="s">
        <v>192</v>
      </c>
      <c r="B363" s="18" t="s">
        <v>74</v>
      </c>
      <c r="C363" s="18" t="s">
        <v>33</v>
      </c>
      <c r="D363" s="18" t="s">
        <v>85</v>
      </c>
      <c r="E363" s="19" t="s">
        <v>194</v>
      </c>
      <c r="F363" s="81" t="s">
        <v>524</v>
      </c>
      <c r="G363" s="17" t="str">
        <f t="shared" si="21"/>
        <v>5</v>
      </c>
      <c r="H363" s="17" t="str">
        <f t="shared" si="22"/>
        <v>c</v>
      </c>
      <c r="I363" s="20" t="str">
        <f t="shared" si="23"/>
        <v>Use of Engineering Tools</v>
      </c>
      <c r="J363" s="21" t="str">
        <f t="shared" si="24"/>
        <v>Use appropriate engineering tools</v>
      </c>
      <c r="K363" s="3"/>
      <c r="L363" s="3"/>
      <c r="M363" s="3"/>
      <c r="N363" s="3"/>
      <c r="O363" s="16"/>
      <c r="P363" s="3"/>
      <c r="Q363" s="3"/>
      <c r="R363" s="3"/>
    </row>
    <row r="364" spans="1:18" x14ac:dyDescent="0.2">
      <c r="A364" s="79" t="s">
        <v>192</v>
      </c>
      <c r="B364" s="18" t="s">
        <v>74</v>
      </c>
      <c r="C364" s="18" t="s">
        <v>33</v>
      </c>
      <c r="D364" s="18" t="s">
        <v>85</v>
      </c>
      <c r="E364" s="19" t="s">
        <v>193</v>
      </c>
      <c r="F364" s="81" t="s">
        <v>524</v>
      </c>
      <c r="G364" s="17" t="str">
        <f t="shared" si="21"/>
        <v>5</v>
      </c>
      <c r="H364" s="17" t="str">
        <f t="shared" si="22"/>
        <v>c</v>
      </c>
      <c r="I364" s="20" t="str">
        <f t="shared" si="23"/>
        <v>Use of Engineering Tools</v>
      </c>
      <c r="J364" s="21" t="str">
        <f t="shared" si="24"/>
        <v>Use appropriate engineering tools</v>
      </c>
      <c r="K364" s="3"/>
      <c r="L364" s="3"/>
      <c r="M364" s="3"/>
      <c r="N364" s="3"/>
      <c r="O364" s="16"/>
      <c r="P364" s="3"/>
      <c r="Q364" s="3"/>
      <c r="R364" s="3"/>
    </row>
    <row r="365" spans="1:18" ht="30" x14ac:dyDescent="0.2">
      <c r="A365" s="79" t="s">
        <v>118</v>
      </c>
      <c r="B365" s="18" t="s">
        <v>71</v>
      </c>
      <c r="C365" s="18" t="s">
        <v>33</v>
      </c>
      <c r="D365" s="18" t="s">
        <v>91</v>
      </c>
      <c r="E365" s="19" t="s">
        <v>330</v>
      </c>
      <c r="F365" s="17" t="s">
        <v>494</v>
      </c>
      <c r="G365" s="17" t="str">
        <f t="shared" si="21"/>
        <v>1</v>
      </c>
      <c r="H365" s="17" t="str">
        <f t="shared" si="22"/>
        <v>d</v>
      </c>
      <c r="I365" s="20" t="str">
        <f t="shared" si="23"/>
        <v>Knowledge base for engineering</v>
      </c>
      <c r="J365" s="21" t="str">
        <f t="shared" si="24"/>
        <v>Demonstrate understanding of specialized engineering knowledge</v>
      </c>
      <c r="K365" s="3"/>
      <c r="L365" s="3"/>
      <c r="M365" s="3"/>
      <c r="N365" s="3"/>
      <c r="O365" s="16"/>
      <c r="P365" s="3"/>
      <c r="Q365" s="3"/>
      <c r="R365" s="3"/>
    </row>
    <row r="366" spans="1:18" ht="30" x14ac:dyDescent="0.2">
      <c r="A366" s="79" t="s">
        <v>118</v>
      </c>
      <c r="B366" s="18" t="s">
        <v>71</v>
      </c>
      <c r="C366" s="18" t="s">
        <v>33</v>
      </c>
      <c r="D366" s="18" t="s">
        <v>91</v>
      </c>
      <c r="E366" s="19" t="s">
        <v>331</v>
      </c>
      <c r="F366" s="17" t="s">
        <v>494</v>
      </c>
      <c r="G366" s="17" t="str">
        <f t="shared" si="21"/>
        <v>1</v>
      </c>
      <c r="H366" s="17" t="str">
        <f t="shared" si="22"/>
        <v>d</v>
      </c>
      <c r="I366" s="20" t="str">
        <f t="shared" si="23"/>
        <v>Knowledge base for engineering</v>
      </c>
      <c r="J366" s="21" t="str">
        <f t="shared" si="24"/>
        <v>Demonstrate understanding of specialized engineering knowledge</v>
      </c>
      <c r="K366" s="3"/>
      <c r="L366" s="3"/>
      <c r="M366" s="3"/>
      <c r="N366" s="3"/>
      <c r="O366" s="16"/>
      <c r="P366" s="3"/>
      <c r="Q366" s="3"/>
      <c r="R366" s="3"/>
    </row>
    <row r="367" spans="1:18" x14ac:dyDescent="0.2">
      <c r="A367" s="79" t="s">
        <v>118</v>
      </c>
      <c r="B367" s="18" t="s">
        <v>71</v>
      </c>
      <c r="C367" s="18" t="s">
        <v>33</v>
      </c>
      <c r="D367" s="18" t="s">
        <v>91</v>
      </c>
      <c r="E367" s="19" t="s">
        <v>332</v>
      </c>
      <c r="F367" s="17" t="s">
        <v>494</v>
      </c>
      <c r="G367" s="17" t="str">
        <f t="shared" si="21"/>
        <v>1</v>
      </c>
      <c r="H367" s="17" t="str">
        <f t="shared" si="22"/>
        <v>d</v>
      </c>
      <c r="I367" s="20" t="str">
        <f t="shared" si="23"/>
        <v>Knowledge base for engineering</v>
      </c>
      <c r="J367" s="21" t="str">
        <f t="shared" si="24"/>
        <v>Demonstrate understanding of specialized engineering knowledge</v>
      </c>
      <c r="K367" s="3"/>
      <c r="L367" s="3"/>
      <c r="M367" s="3"/>
      <c r="N367" s="3"/>
      <c r="O367" s="16"/>
      <c r="P367" s="3"/>
      <c r="Q367" s="3"/>
      <c r="R367" s="3"/>
    </row>
    <row r="368" spans="1:18" x14ac:dyDescent="0.2">
      <c r="A368" s="79" t="s">
        <v>118</v>
      </c>
      <c r="B368" s="18" t="s">
        <v>71</v>
      </c>
      <c r="C368" s="18" t="s">
        <v>33</v>
      </c>
      <c r="D368" s="18" t="s">
        <v>91</v>
      </c>
      <c r="E368" s="19" t="s">
        <v>425</v>
      </c>
      <c r="F368" s="17" t="s">
        <v>510</v>
      </c>
      <c r="G368" s="17" t="str">
        <f t="shared" si="21"/>
        <v>2</v>
      </c>
      <c r="H368" s="17" t="str">
        <f t="shared" si="22"/>
        <v>c</v>
      </c>
      <c r="I368" s="20" t="str">
        <f t="shared" si="23"/>
        <v xml:space="preserve">Problem Analysis </v>
      </c>
      <c r="J368" s="21" t="str">
        <f t="shared" si="24"/>
        <v>Evaluate solutions of complex engineering problems to reach substantiated conclusions</v>
      </c>
      <c r="K368" s="3"/>
      <c r="L368" s="3"/>
      <c r="M368" s="3"/>
      <c r="N368" s="3"/>
      <c r="O368" s="16"/>
      <c r="P368" s="3"/>
      <c r="Q368" s="3"/>
      <c r="R368" s="3"/>
    </row>
    <row r="369" spans="1:18" x14ac:dyDescent="0.2">
      <c r="A369" s="79" t="s">
        <v>118</v>
      </c>
      <c r="B369" s="18" t="s">
        <v>71</v>
      </c>
      <c r="C369" s="18" t="s">
        <v>33</v>
      </c>
      <c r="D369" s="18" t="s">
        <v>91</v>
      </c>
      <c r="E369" s="19" t="s">
        <v>426</v>
      </c>
      <c r="F369" s="17" t="s">
        <v>510</v>
      </c>
      <c r="G369" s="17" t="str">
        <f t="shared" si="21"/>
        <v>2</v>
      </c>
      <c r="H369" s="17" t="str">
        <f t="shared" si="22"/>
        <v>c</v>
      </c>
      <c r="I369" s="20" t="str">
        <f t="shared" si="23"/>
        <v xml:space="preserve">Problem Analysis </v>
      </c>
      <c r="J369" s="21" t="str">
        <f t="shared" si="24"/>
        <v>Evaluate solutions of complex engineering problems to reach substantiated conclusions</v>
      </c>
      <c r="K369" s="3"/>
      <c r="L369" s="3"/>
      <c r="M369" s="3"/>
      <c r="N369" s="3"/>
      <c r="O369" s="16"/>
      <c r="P369" s="3"/>
      <c r="Q369" s="3"/>
      <c r="R369" s="3"/>
    </row>
    <row r="370" spans="1:18" x14ac:dyDescent="0.2">
      <c r="A370" s="79" t="s">
        <v>118</v>
      </c>
      <c r="B370" s="18" t="s">
        <v>71</v>
      </c>
      <c r="C370" s="18" t="s">
        <v>33</v>
      </c>
      <c r="D370" s="18" t="s">
        <v>91</v>
      </c>
      <c r="E370" s="19" t="s">
        <v>424</v>
      </c>
      <c r="F370" s="17" t="s">
        <v>510</v>
      </c>
      <c r="G370" s="17" t="str">
        <f t="shared" si="21"/>
        <v>2</v>
      </c>
      <c r="H370" s="17" t="str">
        <f t="shared" si="22"/>
        <v>c</v>
      </c>
      <c r="I370" s="20" t="str">
        <f t="shared" si="23"/>
        <v xml:space="preserve">Problem Analysis </v>
      </c>
      <c r="J370" s="21" t="str">
        <f t="shared" si="24"/>
        <v>Evaluate solutions of complex engineering problems to reach substantiated conclusions</v>
      </c>
      <c r="K370" s="3"/>
      <c r="L370" s="3"/>
      <c r="M370" s="3"/>
      <c r="N370" s="3"/>
      <c r="O370" s="16"/>
      <c r="P370" s="3"/>
      <c r="Q370" s="3"/>
      <c r="R370" s="3"/>
    </row>
    <row r="371" spans="1:18" x14ac:dyDescent="0.2">
      <c r="A371" s="79" t="s">
        <v>118</v>
      </c>
      <c r="B371" s="18" t="s">
        <v>71</v>
      </c>
      <c r="C371" s="18" t="s">
        <v>33</v>
      </c>
      <c r="D371" s="18" t="s">
        <v>91</v>
      </c>
      <c r="E371" s="19" t="s">
        <v>228</v>
      </c>
      <c r="F371" s="17" t="s">
        <v>513</v>
      </c>
      <c r="G371" s="17" t="str">
        <f t="shared" si="21"/>
        <v>3</v>
      </c>
      <c r="H371" s="17" t="str">
        <f t="shared" si="22"/>
        <v>b</v>
      </c>
      <c r="I371" s="20" t="str">
        <f t="shared" si="23"/>
        <v>Investigation</v>
      </c>
      <c r="J371" s="21" t="str">
        <f t="shared" si="24"/>
        <v>Conduct experiments and gather and process data.</v>
      </c>
      <c r="K371" s="3"/>
      <c r="L371" s="3"/>
      <c r="M371" s="3"/>
      <c r="N371" s="3"/>
      <c r="O371" s="16"/>
      <c r="P371" s="3"/>
      <c r="Q371" s="3"/>
      <c r="R371" s="3"/>
    </row>
    <row r="372" spans="1:18" x14ac:dyDescent="0.2">
      <c r="A372" s="79" t="s">
        <v>118</v>
      </c>
      <c r="B372" s="18" t="s">
        <v>71</v>
      </c>
      <c r="C372" s="18" t="s">
        <v>33</v>
      </c>
      <c r="D372" s="18" t="s">
        <v>91</v>
      </c>
      <c r="E372" s="19" t="s">
        <v>159</v>
      </c>
      <c r="F372" s="17" t="s">
        <v>515</v>
      </c>
      <c r="G372" s="17" t="str">
        <f t="shared" si="21"/>
        <v>4</v>
      </c>
      <c r="H372" s="17" t="str">
        <f t="shared" si="22"/>
        <v>a</v>
      </c>
      <c r="I372" s="20" t="str">
        <f t="shared" si="23"/>
        <v>Design</v>
      </c>
      <c r="J372" s="21" t="str">
        <f t="shared" si="24"/>
        <v>Follow an engineering design methodology</v>
      </c>
      <c r="K372" s="3"/>
      <c r="L372" s="3"/>
      <c r="M372" s="3"/>
      <c r="N372" s="3"/>
      <c r="O372" s="16"/>
      <c r="P372" s="3"/>
      <c r="Q372" s="3"/>
      <c r="R372" s="3"/>
    </row>
    <row r="373" spans="1:18" x14ac:dyDescent="0.2">
      <c r="A373" s="79" t="s">
        <v>118</v>
      </c>
      <c r="B373" s="18" t="s">
        <v>71</v>
      </c>
      <c r="C373" s="18" t="s">
        <v>33</v>
      </c>
      <c r="D373" s="18" t="s">
        <v>91</v>
      </c>
      <c r="E373" s="19" t="s">
        <v>120</v>
      </c>
      <c r="F373" s="17" t="s">
        <v>530</v>
      </c>
      <c r="G373" s="17" t="str">
        <f t="shared" si="21"/>
        <v>7</v>
      </c>
      <c r="H373" s="17" t="str">
        <f t="shared" si="22"/>
        <v>a</v>
      </c>
      <c r="I373" s="20" t="str">
        <f t="shared" si="23"/>
        <v>Communication Skills</v>
      </c>
      <c r="J373" s="21" t="str">
        <f t="shared" si="24"/>
        <v>Generate appropriate documentation to communicate within the profession and to society at large</v>
      </c>
      <c r="K373" s="3"/>
      <c r="L373" s="3"/>
      <c r="M373" s="3"/>
      <c r="N373" s="3"/>
      <c r="O373" s="16"/>
      <c r="P373" s="3"/>
      <c r="Q373" s="3"/>
      <c r="R373" s="3"/>
    </row>
    <row r="374" spans="1:18" x14ac:dyDescent="0.2">
      <c r="A374" s="79" t="s">
        <v>118</v>
      </c>
      <c r="B374" s="18" t="s">
        <v>71</v>
      </c>
      <c r="C374" s="18" t="s">
        <v>33</v>
      </c>
      <c r="D374" s="18" t="s">
        <v>91</v>
      </c>
      <c r="E374" s="19" t="s">
        <v>119</v>
      </c>
      <c r="F374" s="17" t="s">
        <v>542</v>
      </c>
      <c r="G374" s="17" t="str">
        <f t="shared" si="21"/>
        <v>7</v>
      </c>
      <c r="H374" s="17" t="str">
        <f t="shared" si="22"/>
        <v>c</v>
      </c>
      <c r="I374" s="20" t="str">
        <f t="shared" si="23"/>
        <v>Communication Skills</v>
      </c>
      <c r="J374" s="21" t="str">
        <f t="shared" si="24"/>
        <v>Comprehend and Interpret information, including solutions, results and instructions</v>
      </c>
      <c r="K374" s="3"/>
      <c r="L374" s="3"/>
      <c r="M374" s="3"/>
      <c r="N374" s="3"/>
      <c r="O374" s="16"/>
      <c r="P374" s="3"/>
      <c r="Q374" s="3"/>
      <c r="R374" s="3"/>
    </row>
    <row r="375" spans="1:18" x14ac:dyDescent="0.2">
      <c r="A375" s="79" t="s">
        <v>160</v>
      </c>
      <c r="B375" s="18" t="s">
        <v>71</v>
      </c>
      <c r="C375" s="18" t="s">
        <v>33</v>
      </c>
      <c r="D375" s="18" t="s">
        <v>91</v>
      </c>
      <c r="E375" s="19" t="s">
        <v>333</v>
      </c>
      <c r="F375" s="17" t="s">
        <v>494</v>
      </c>
      <c r="G375" s="17" t="str">
        <f t="shared" si="21"/>
        <v>1</v>
      </c>
      <c r="H375" s="17" t="str">
        <f t="shared" si="22"/>
        <v>d</v>
      </c>
      <c r="I375" s="20" t="str">
        <f t="shared" si="23"/>
        <v>Knowledge base for engineering</v>
      </c>
      <c r="J375" s="21" t="str">
        <f t="shared" si="24"/>
        <v>Demonstrate understanding of specialized engineering knowledge</v>
      </c>
      <c r="K375" s="3"/>
      <c r="L375" s="3"/>
      <c r="M375" s="3"/>
      <c r="N375" s="3"/>
      <c r="O375" s="16"/>
      <c r="P375" s="3"/>
      <c r="Q375" s="3"/>
      <c r="R375" s="3"/>
    </row>
    <row r="376" spans="1:18" ht="30" x14ac:dyDescent="0.2">
      <c r="A376" s="79" t="s">
        <v>160</v>
      </c>
      <c r="B376" s="18" t="s">
        <v>71</v>
      </c>
      <c r="C376" s="18" t="s">
        <v>33</v>
      </c>
      <c r="D376" s="18" t="s">
        <v>91</v>
      </c>
      <c r="E376" s="19" t="s">
        <v>427</v>
      </c>
      <c r="F376" s="17" t="s">
        <v>510</v>
      </c>
      <c r="G376" s="17" t="str">
        <f t="shared" si="21"/>
        <v>2</v>
      </c>
      <c r="H376" s="17" t="str">
        <f t="shared" si="22"/>
        <v>c</v>
      </c>
      <c r="I376" s="20" t="str">
        <f t="shared" si="23"/>
        <v xml:space="preserve">Problem Analysis </v>
      </c>
      <c r="J376" s="21" t="str">
        <f t="shared" si="24"/>
        <v>Evaluate solutions of complex engineering problems to reach substantiated conclusions</v>
      </c>
      <c r="K376" s="3"/>
      <c r="L376" s="3"/>
      <c r="M376" s="3"/>
      <c r="N376" s="3"/>
      <c r="O376" s="16"/>
      <c r="P376" s="3"/>
      <c r="Q376" s="3"/>
      <c r="R376" s="3"/>
    </row>
    <row r="377" spans="1:18" x14ac:dyDescent="0.2">
      <c r="A377" s="79" t="s">
        <v>160</v>
      </c>
      <c r="B377" s="18" t="s">
        <v>71</v>
      </c>
      <c r="C377" s="18" t="s">
        <v>33</v>
      </c>
      <c r="D377" s="18" t="s">
        <v>91</v>
      </c>
      <c r="E377" s="19" t="s">
        <v>428</v>
      </c>
      <c r="F377" s="17" t="s">
        <v>510</v>
      </c>
      <c r="G377" s="17" t="str">
        <f t="shared" si="21"/>
        <v>2</v>
      </c>
      <c r="H377" s="17" t="str">
        <f t="shared" si="22"/>
        <v>c</v>
      </c>
      <c r="I377" s="20" t="str">
        <f t="shared" si="23"/>
        <v xml:space="preserve">Problem Analysis </v>
      </c>
      <c r="J377" s="21" t="str">
        <f t="shared" si="24"/>
        <v>Evaluate solutions of complex engineering problems to reach substantiated conclusions</v>
      </c>
      <c r="K377" s="3"/>
      <c r="L377" s="3"/>
      <c r="M377" s="3"/>
      <c r="N377" s="3"/>
      <c r="O377" s="16"/>
      <c r="P377" s="3"/>
      <c r="Q377" s="3"/>
      <c r="R377" s="3"/>
    </row>
    <row r="378" spans="1:18" ht="30" x14ac:dyDescent="0.2">
      <c r="A378" s="79" t="s">
        <v>160</v>
      </c>
      <c r="B378" s="18" t="s">
        <v>71</v>
      </c>
      <c r="C378" s="18" t="s">
        <v>33</v>
      </c>
      <c r="D378" s="18" t="s">
        <v>91</v>
      </c>
      <c r="E378" s="19" t="s">
        <v>54</v>
      </c>
      <c r="F378" s="17" t="s">
        <v>512</v>
      </c>
      <c r="G378" s="17" t="str">
        <f t="shared" si="21"/>
        <v>3</v>
      </c>
      <c r="H378" s="17" t="str">
        <f t="shared" si="22"/>
        <v>a</v>
      </c>
      <c r="I378" s="20" t="str">
        <f t="shared" si="23"/>
        <v>Investigation</v>
      </c>
      <c r="J378" s="21" t="str">
        <f t="shared" si="24"/>
        <v>Identify critical issues of complex engineering problems to form testable hypotheses and design experiments.</v>
      </c>
      <c r="K378" s="3"/>
      <c r="L378" s="3"/>
      <c r="M378" s="3"/>
      <c r="N378" s="3"/>
      <c r="O378" s="16"/>
      <c r="P378" s="3"/>
      <c r="Q378" s="3"/>
      <c r="R378" s="3"/>
    </row>
    <row r="379" spans="1:18" x14ac:dyDescent="0.2">
      <c r="A379" s="79" t="s">
        <v>160</v>
      </c>
      <c r="B379" s="18" t="s">
        <v>71</v>
      </c>
      <c r="C379" s="18" t="s">
        <v>33</v>
      </c>
      <c r="D379" s="18" t="s">
        <v>91</v>
      </c>
      <c r="E379" s="19" t="s">
        <v>55</v>
      </c>
      <c r="F379" s="17" t="s">
        <v>517</v>
      </c>
      <c r="G379" s="17" t="str">
        <f t="shared" si="21"/>
        <v>4</v>
      </c>
      <c r="H379" s="17" t="str">
        <f t="shared" si="22"/>
        <v>c</v>
      </c>
      <c r="I379" s="20" t="str">
        <f t="shared" si="23"/>
        <v>Design</v>
      </c>
      <c r="J379" s="21" t="str">
        <f t="shared" si="24"/>
        <v>Evaluate/test solutions and refine designs to better meet requirements</v>
      </c>
      <c r="K379" s="3"/>
      <c r="L379" s="3"/>
      <c r="M379" s="3"/>
      <c r="N379" s="3"/>
      <c r="O379" s="16"/>
      <c r="P379" s="3"/>
      <c r="Q379" s="3"/>
      <c r="R379" s="3"/>
    </row>
    <row r="380" spans="1:18" ht="30" x14ac:dyDescent="0.2">
      <c r="A380" s="79" t="s">
        <v>334</v>
      </c>
      <c r="B380" s="18" t="s">
        <v>71</v>
      </c>
      <c r="C380" s="18" t="s">
        <v>33</v>
      </c>
      <c r="D380" s="18" t="s">
        <v>91</v>
      </c>
      <c r="E380" s="19" t="s">
        <v>335</v>
      </c>
      <c r="F380" s="17" t="s">
        <v>494</v>
      </c>
      <c r="G380" s="17" t="str">
        <f t="shared" si="21"/>
        <v>1</v>
      </c>
      <c r="H380" s="17" t="str">
        <f t="shared" si="22"/>
        <v>d</v>
      </c>
      <c r="I380" s="20" t="str">
        <f t="shared" si="23"/>
        <v>Knowledge base for engineering</v>
      </c>
      <c r="J380" s="21" t="str">
        <f t="shared" si="24"/>
        <v>Demonstrate understanding of specialized engineering knowledge</v>
      </c>
      <c r="K380" s="3"/>
      <c r="L380" s="3"/>
      <c r="M380" s="3"/>
      <c r="N380" s="3"/>
      <c r="O380" s="16"/>
      <c r="P380" s="3"/>
      <c r="Q380" s="3"/>
      <c r="R380" s="3"/>
    </row>
    <row r="381" spans="1:18" ht="45" x14ac:dyDescent="0.2">
      <c r="A381" s="79" t="s">
        <v>334</v>
      </c>
      <c r="B381" s="18" t="s">
        <v>71</v>
      </c>
      <c r="C381" s="18" t="s">
        <v>33</v>
      </c>
      <c r="D381" s="18" t="s">
        <v>91</v>
      </c>
      <c r="E381" s="19" t="s">
        <v>336</v>
      </c>
      <c r="F381" s="17" t="s">
        <v>494</v>
      </c>
      <c r="G381" s="17" t="str">
        <f t="shared" si="21"/>
        <v>1</v>
      </c>
      <c r="H381" s="17" t="str">
        <f t="shared" si="22"/>
        <v>d</v>
      </c>
      <c r="I381" s="20" t="str">
        <f t="shared" si="23"/>
        <v>Knowledge base for engineering</v>
      </c>
      <c r="J381" s="21" t="str">
        <f t="shared" si="24"/>
        <v>Demonstrate understanding of specialized engineering knowledge</v>
      </c>
      <c r="K381" s="3"/>
      <c r="L381" s="3"/>
      <c r="M381" s="3"/>
      <c r="N381" s="3"/>
      <c r="O381" s="16"/>
      <c r="P381" s="3"/>
      <c r="Q381" s="3"/>
      <c r="R381" s="3"/>
    </row>
    <row r="382" spans="1:18" ht="30" x14ac:dyDescent="0.2">
      <c r="A382" s="79" t="s">
        <v>334</v>
      </c>
      <c r="B382" s="18" t="s">
        <v>71</v>
      </c>
      <c r="C382" s="18" t="s">
        <v>33</v>
      </c>
      <c r="D382" s="18" t="s">
        <v>91</v>
      </c>
      <c r="E382" s="19" t="s">
        <v>429</v>
      </c>
      <c r="F382" s="17" t="s">
        <v>509</v>
      </c>
      <c r="G382" s="17" t="str">
        <f t="shared" si="21"/>
        <v>2</v>
      </c>
      <c r="H382" s="17" t="str">
        <f t="shared" si="22"/>
        <v>b</v>
      </c>
      <c r="I382" s="20" t="str">
        <f t="shared" si="23"/>
        <v xml:space="preserve">Problem Analysis </v>
      </c>
      <c r="J382" s="21" t="str">
        <f t="shared" si="24"/>
        <v>Develop / solve models of engineering problems including identifying approximations, assumptions, and constraints</v>
      </c>
      <c r="K382" s="3"/>
      <c r="L382" s="3"/>
      <c r="M382" s="3"/>
      <c r="N382" s="3"/>
      <c r="O382" s="16"/>
      <c r="P382" s="3"/>
      <c r="Q382" s="3"/>
      <c r="R382" s="3"/>
    </row>
    <row r="383" spans="1:18" x14ac:dyDescent="0.2">
      <c r="A383" s="79" t="s">
        <v>334</v>
      </c>
      <c r="B383" s="18" t="s">
        <v>71</v>
      </c>
      <c r="C383" s="18" t="s">
        <v>33</v>
      </c>
      <c r="D383" s="18" t="s">
        <v>91</v>
      </c>
      <c r="E383" s="19" t="s">
        <v>432</v>
      </c>
      <c r="F383" s="17" t="s">
        <v>509</v>
      </c>
      <c r="G383" s="17" t="str">
        <f t="shared" si="21"/>
        <v>2</v>
      </c>
      <c r="H383" s="17" t="str">
        <f t="shared" si="22"/>
        <v>b</v>
      </c>
      <c r="I383" s="20" t="str">
        <f t="shared" si="23"/>
        <v xml:space="preserve">Problem Analysis </v>
      </c>
      <c r="J383" s="21" t="str">
        <f t="shared" si="24"/>
        <v>Develop / solve models of engineering problems including identifying approximations, assumptions, and constraints</v>
      </c>
      <c r="K383" s="3"/>
      <c r="L383" s="3"/>
      <c r="M383" s="3"/>
      <c r="N383" s="3"/>
      <c r="O383" s="16"/>
      <c r="P383" s="3"/>
      <c r="Q383" s="3"/>
      <c r="R383" s="3"/>
    </row>
    <row r="384" spans="1:18" ht="30" x14ac:dyDescent="0.2">
      <c r="A384" s="79" t="s">
        <v>334</v>
      </c>
      <c r="B384" s="18" t="s">
        <v>71</v>
      </c>
      <c r="C384" s="18" t="s">
        <v>33</v>
      </c>
      <c r="D384" s="18" t="s">
        <v>91</v>
      </c>
      <c r="E384" s="19" t="s">
        <v>430</v>
      </c>
      <c r="F384" s="17" t="s">
        <v>510</v>
      </c>
      <c r="G384" s="17" t="str">
        <f t="shared" si="21"/>
        <v>2</v>
      </c>
      <c r="H384" s="17" t="str">
        <f t="shared" si="22"/>
        <v>c</v>
      </c>
      <c r="I384" s="20" t="str">
        <f t="shared" si="23"/>
        <v xml:space="preserve">Problem Analysis </v>
      </c>
      <c r="J384" s="21" t="str">
        <f t="shared" si="24"/>
        <v>Evaluate solutions of complex engineering problems to reach substantiated conclusions</v>
      </c>
      <c r="K384" s="3"/>
      <c r="L384" s="3"/>
      <c r="M384" s="3"/>
      <c r="N384" s="3"/>
      <c r="O384" s="16"/>
      <c r="P384" s="3"/>
      <c r="Q384" s="3"/>
      <c r="R384" s="3"/>
    </row>
    <row r="385" spans="1:18" x14ac:dyDescent="0.2">
      <c r="A385" s="79" t="s">
        <v>334</v>
      </c>
      <c r="B385" s="18" t="s">
        <v>71</v>
      </c>
      <c r="C385" s="18" t="s">
        <v>33</v>
      </c>
      <c r="D385" s="18" t="s">
        <v>91</v>
      </c>
      <c r="E385" s="19" t="s">
        <v>431</v>
      </c>
      <c r="F385" s="17" t="s">
        <v>510</v>
      </c>
      <c r="G385" s="17" t="str">
        <f t="shared" si="21"/>
        <v>2</v>
      </c>
      <c r="H385" s="17" t="str">
        <f t="shared" si="22"/>
        <v>c</v>
      </c>
      <c r="I385" s="20" t="str">
        <f t="shared" si="23"/>
        <v xml:space="preserve">Problem Analysis </v>
      </c>
      <c r="J385" s="21" t="str">
        <f t="shared" si="24"/>
        <v>Evaluate solutions of complex engineering problems to reach substantiated conclusions</v>
      </c>
      <c r="K385" s="3"/>
      <c r="L385" s="3"/>
      <c r="M385" s="3"/>
      <c r="N385" s="3"/>
      <c r="O385" s="16"/>
      <c r="P385" s="3"/>
      <c r="Q385" s="3"/>
      <c r="R385" s="3"/>
    </row>
    <row r="386" spans="1:18" x14ac:dyDescent="0.2">
      <c r="A386" s="79" t="s">
        <v>337</v>
      </c>
      <c r="B386" s="18" t="s">
        <v>71</v>
      </c>
      <c r="C386" s="18" t="s">
        <v>32</v>
      </c>
      <c r="D386" s="18" t="s">
        <v>72</v>
      </c>
      <c r="E386" s="19" t="s">
        <v>338</v>
      </c>
      <c r="F386" s="17" t="s">
        <v>492</v>
      </c>
      <c r="G386" s="17" t="str">
        <f t="shared" ref="G386:G424" si="25">IF(LEN(F386)=2,LEFT(F386,1),LEFT(F386,2))</f>
        <v>1</v>
      </c>
      <c r="H386" s="17" t="str">
        <f t="shared" ref="H386:H424" si="26">RIGHT(F386,1)</f>
        <v>b</v>
      </c>
      <c r="I386" s="20" t="str">
        <f t="shared" ref="I386:I424" si="27">IFERROR(VLOOKUP(F386,$N$2:$Q$39,4,FALSE),0)</f>
        <v>Knowledge base for engineering</v>
      </c>
      <c r="J386" s="21" t="str">
        <f t="shared" ref="J386:J424" si="28">IFERROR(VLOOKUP(F386,$N$2:$O$39,2,FALSE),0)</f>
        <v>Demonstrate understanding of natural sciences</v>
      </c>
      <c r="K386" s="3"/>
      <c r="L386" s="3"/>
      <c r="M386" s="3"/>
      <c r="N386" s="3"/>
      <c r="O386" s="16"/>
      <c r="P386" s="3"/>
      <c r="Q386" s="3"/>
      <c r="R386" s="3"/>
    </row>
    <row r="387" spans="1:18" x14ac:dyDescent="0.2">
      <c r="A387" s="79" t="s">
        <v>337</v>
      </c>
      <c r="B387" s="18" t="s">
        <v>71</v>
      </c>
      <c r="C387" s="18" t="s">
        <v>32</v>
      </c>
      <c r="D387" s="18" t="s">
        <v>72</v>
      </c>
      <c r="E387" s="19" t="s">
        <v>341</v>
      </c>
      <c r="F387" s="17" t="s">
        <v>492</v>
      </c>
      <c r="G387" s="17" t="str">
        <f t="shared" si="25"/>
        <v>1</v>
      </c>
      <c r="H387" s="17" t="str">
        <f t="shared" si="26"/>
        <v>b</v>
      </c>
      <c r="I387" s="20" t="str">
        <f t="shared" si="27"/>
        <v>Knowledge base for engineering</v>
      </c>
      <c r="J387" s="21" t="str">
        <f t="shared" si="28"/>
        <v>Demonstrate understanding of natural sciences</v>
      </c>
      <c r="K387" s="3"/>
      <c r="L387" s="3"/>
      <c r="M387" s="3"/>
      <c r="N387" s="3"/>
      <c r="O387" s="16"/>
      <c r="P387" s="3"/>
      <c r="Q387" s="3"/>
      <c r="R387" s="3"/>
    </row>
    <row r="388" spans="1:18" x14ac:dyDescent="0.2">
      <c r="A388" s="79" t="s">
        <v>337</v>
      </c>
      <c r="B388" s="18" t="s">
        <v>71</v>
      </c>
      <c r="C388" s="18" t="s">
        <v>32</v>
      </c>
      <c r="D388" s="18" t="s">
        <v>72</v>
      </c>
      <c r="E388" s="19" t="s">
        <v>340</v>
      </c>
      <c r="F388" s="17" t="s">
        <v>492</v>
      </c>
      <c r="G388" s="17" t="str">
        <f t="shared" si="25"/>
        <v>1</v>
      </c>
      <c r="H388" s="17" t="str">
        <f t="shared" si="26"/>
        <v>b</v>
      </c>
      <c r="I388" s="20" t="str">
        <f t="shared" si="27"/>
        <v>Knowledge base for engineering</v>
      </c>
      <c r="J388" s="21" t="str">
        <f t="shared" si="28"/>
        <v>Demonstrate understanding of natural sciences</v>
      </c>
      <c r="K388" s="3"/>
      <c r="L388" s="3"/>
      <c r="M388" s="3"/>
      <c r="N388" s="3"/>
      <c r="O388" s="16"/>
      <c r="P388" s="3"/>
      <c r="Q388" s="3"/>
      <c r="R388" s="3"/>
    </row>
    <row r="389" spans="1:18" x14ac:dyDescent="0.2">
      <c r="A389" s="79" t="s">
        <v>337</v>
      </c>
      <c r="B389" s="18" t="s">
        <v>71</v>
      </c>
      <c r="C389" s="18" t="s">
        <v>32</v>
      </c>
      <c r="D389" s="18" t="s">
        <v>72</v>
      </c>
      <c r="E389" s="19" t="s">
        <v>339</v>
      </c>
      <c r="F389" s="17" t="s">
        <v>492</v>
      </c>
      <c r="G389" s="17" t="str">
        <f t="shared" si="25"/>
        <v>1</v>
      </c>
      <c r="H389" s="17" t="str">
        <f t="shared" si="26"/>
        <v>b</v>
      </c>
      <c r="I389" s="20" t="str">
        <f t="shared" si="27"/>
        <v>Knowledge base for engineering</v>
      </c>
      <c r="J389" s="21" t="str">
        <f t="shared" si="28"/>
        <v>Demonstrate understanding of natural sciences</v>
      </c>
      <c r="K389" s="3"/>
      <c r="L389" s="3"/>
      <c r="M389" s="3"/>
      <c r="N389" s="3"/>
      <c r="O389" s="16"/>
      <c r="P389" s="3"/>
      <c r="Q389" s="3"/>
      <c r="R389" s="3"/>
    </row>
    <row r="390" spans="1:18" x14ac:dyDescent="0.2">
      <c r="A390" s="79" t="s">
        <v>337</v>
      </c>
      <c r="B390" s="18" t="s">
        <v>71</v>
      </c>
      <c r="C390" s="18" t="s">
        <v>32</v>
      </c>
      <c r="D390" s="18" t="s">
        <v>72</v>
      </c>
      <c r="E390" s="19" t="s">
        <v>434</v>
      </c>
      <c r="F390" s="17" t="s">
        <v>509</v>
      </c>
      <c r="G390" s="17" t="str">
        <f t="shared" si="25"/>
        <v>2</v>
      </c>
      <c r="H390" s="17" t="str">
        <f t="shared" si="26"/>
        <v>b</v>
      </c>
      <c r="I390" s="20" t="str">
        <f t="shared" si="27"/>
        <v xml:space="preserve">Problem Analysis </v>
      </c>
      <c r="J390" s="21" t="str">
        <f t="shared" si="28"/>
        <v>Develop / solve models of engineering problems including identifying approximations, assumptions, and constraints</v>
      </c>
      <c r="K390" s="3"/>
      <c r="L390" s="3"/>
      <c r="M390" s="3"/>
      <c r="N390" s="3"/>
      <c r="O390" s="16"/>
      <c r="P390" s="3"/>
      <c r="Q390" s="3"/>
      <c r="R390" s="3"/>
    </row>
    <row r="391" spans="1:18" x14ac:dyDescent="0.2">
      <c r="A391" s="79" t="s">
        <v>337</v>
      </c>
      <c r="B391" s="18" t="s">
        <v>71</v>
      </c>
      <c r="C391" s="18" t="s">
        <v>32</v>
      </c>
      <c r="D391" s="18" t="s">
        <v>72</v>
      </c>
      <c r="E391" s="19" t="s">
        <v>433</v>
      </c>
      <c r="F391" s="17" t="s">
        <v>510</v>
      </c>
      <c r="G391" s="17" t="str">
        <f t="shared" si="25"/>
        <v>2</v>
      </c>
      <c r="H391" s="17" t="str">
        <f t="shared" si="26"/>
        <v>c</v>
      </c>
      <c r="I391" s="20" t="str">
        <f t="shared" si="27"/>
        <v xml:space="preserve">Problem Analysis </v>
      </c>
      <c r="J391" s="21" t="str">
        <f t="shared" si="28"/>
        <v>Evaluate solutions of complex engineering problems to reach substantiated conclusions</v>
      </c>
      <c r="K391" s="3"/>
      <c r="L391" s="3"/>
      <c r="M391" s="3"/>
      <c r="N391" s="3"/>
      <c r="O391" s="16"/>
      <c r="P391" s="3"/>
      <c r="Q391" s="3"/>
      <c r="R391" s="3"/>
    </row>
    <row r="392" spans="1:18" x14ac:dyDescent="0.2">
      <c r="A392" s="79" t="s">
        <v>121</v>
      </c>
      <c r="B392" s="18" t="s">
        <v>71</v>
      </c>
      <c r="C392" s="18" t="s">
        <v>32</v>
      </c>
      <c r="D392" s="18" t="s">
        <v>77</v>
      </c>
      <c r="E392" s="19" t="s">
        <v>435</v>
      </c>
      <c r="F392" s="17" t="s">
        <v>508</v>
      </c>
      <c r="G392" s="17" t="str">
        <f t="shared" si="25"/>
        <v>2</v>
      </c>
      <c r="H392" s="17" t="str">
        <f t="shared" si="26"/>
        <v>a</v>
      </c>
      <c r="I392" s="20" t="str">
        <f t="shared" si="27"/>
        <v xml:space="preserve">Problem Analysis </v>
      </c>
      <c r="J392" s="21" t="str">
        <f t="shared" si="28"/>
        <v>Identify / define a problem</v>
      </c>
      <c r="K392" s="3"/>
      <c r="L392" s="3"/>
      <c r="M392" s="3"/>
      <c r="N392" s="3"/>
      <c r="O392" s="16"/>
      <c r="P392" s="3"/>
      <c r="Q392" s="3"/>
      <c r="R392" s="3"/>
    </row>
    <row r="393" spans="1:18" x14ac:dyDescent="0.2">
      <c r="A393" s="79" t="s">
        <v>121</v>
      </c>
      <c r="B393" s="18" t="s">
        <v>71</v>
      </c>
      <c r="C393" s="18" t="s">
        <v>32</v>
      </c>
      <c r="D393" s="18" t="s">
        <v>77</v>
      </c>
      <c r="E393" s="19" t="s">
        <v>436</v>
      </c>
      <c r="F393" s="17" t="s">
        <v>511</v>
      </c>
      <c r="G393" s="17" t="str">
        <f t="shared" si="25"/>
        <v>9</v>
      </c>
      <c r="H393" s="17" t="str">
        <f t="shared" si="26"/>
        <v>a</v>
      </c>
      <c r="I393" s="20" t="str">
        <f t="shared" si="27"/>
        <v>Impact of engineering</v>
      </c>
      <c r="J393" s="21" t="str">
        <f t="shared" si="28"/>
        <v>Identify the relevance of and uncertainty associated with the different aspects (social, cultural, economic, health, safety, legal, environmental) of an engineering project</v>
      </c>
      <c r="K393" s="3"/>
      <c r="L393" s="3"/>
      <c r="M393" s="3"/>
      <c r="N393" s="3"/>
      <c r="O393" s="16"/>
      <c r="P393" s="3"/>
      <c r="Q393" s="3"/>
      <c r="R393" s="3"/>
    </row>
    <row r="394" spans="1:18" x14ac:dyDescent="0.2">
      <c r="A394" s="79" t="s">
        <v>121</v>
      </c>
      <c r="B394" s="18" t="s">
        <v>71</v>
      </c>
      <c r="C394" s="18" t="s">
        <v>32</v>
      </c>
      <c r="D394" s="18" t="s">
        <v>77</v>
      </c>
      <c r="E394" s="19" t="s">
        <v>437</v>
      </c>
      <c r="F394" s="17" t="s">
        <v>510</v>
      </c>
      <c r="G394" s="17" t="str">
        <f t="shared" si="25"/>
        <v>2</v>
      </c>
      <c r="H394" s="17" t="str">
        <f t="shared" si="26"/>
        <v>c</v>
      </c>
      <c r="I394" s="20" t="str">
        <f t="shared" si="27"/>
        <v xml:space="preserve">Problem Analysis </v>
      </c>
      <c r="J394" s="21" t="str">
        <f t="shared" si="28"/>
        <v>Evaluate solutions of complex engineering problems to reach substantiated conclusions</v>
      </c>
      <c r="K394" s="3"/>
      <c r="L394" s="3"/>
      <c r="M394" s="3"/>
      <c r="N394" s="3"/>
      <c r="O394" s="16"/>
      <c r="P394" s="3"/>
      <c r="Q394" s="3"/>
      <c r="R394" s="3"/>
    </row>
    <row r="395" spans="1:18" x14ac:dyDescent="0.2">
      <c r="A395" s="79" t="s">
        <v>121</v>
      </c>
      <c r="B395" s="18" t="s">
        <v>71</v>
      </c>
      <c r="C395" s="18" t="s">
        <v>32</v>
      </c>
      <c r="D395" s="18" t="s">
        <v>77</v>
      </c>
      <c r="E395" s="19" t="s">
        <v>225</v>
      </c>
      <c r="F395" s="17" t="s">
        <v>513</v>
      </c>
      <c r="G395" s="17" t="str">
        <f t="shared" si="25"/>
        <v>3</v>
      </c>
      <c r="H395" s="17" t="str">
        <f t="shared" si="26"/>
        <v>b</v>
      </c>
      <c r="I395" s="20" t="str">
        <f t="shared" si="27"/>
        <v>Investigation</v>
      </c>
      <c r="J395" s="21" t="str">
        <f t="shared" si="28"/>
        <v>Conduct experiments and gather and process data.</v>
      </c>
      <c r="K395" s="3"/>
      <c r="L395" s="3"/>
      <c r="M395" s="3"/>
      <c r="N395" s="3"/>
      <c r="O395" s="16"/>
      <c r="P395" s="3"/>
      <c r="Q395" s="3"/>
      <c r="R395" s="3"/>
    </row>
    <row r="396" spans="1:18" x14ac:dyDescent="0.2">
      <c r="A396" s="79" t="s">
        <v>121</v>
      </c>
      <c r="B396" s="18" t="s">
        <v>71</v>
      </c>
      <c r="C396" s="18" t="s">
        <v>32</v>
      </c>
      <c r="D396" s="18" t="s">
        <v>77</v>
      </c>
      <c r="E396" s="19" t="s">
        <v>161</v>
      </c>
      <c r="F396" s="17" t="s">
        <v>516</v>
      </c>
      <c r="G396" s="17" t="str">
        <f t="shared" si="25"/>
        <v>4</v>
      </c>
      <c r="H396" s="17" t="str">
        <f t="shared" si="26"/>
        <v>b</v>
      </c>
      <c r="I396" s="20" t="str">
        <f t="shared" si="27"/>
        <v>Design</v>
      </c>
      <c r="J396" s="21" t="str">
        <f t="shared" si="28"/>
        <v>Generate and implement solutions to complex open-ended problems</v>
      </c>
      <c r="K396" s="3"/>
      <c r="L396" s="3"/>
      <c r="M396" s="3"/>
      <c r="N396" s="3"/>
      <c r="O396" s="16"/>
      <c r="P396" s="3"/>
      <c r="Q396" s="3"/>
      <c r="R396" s="3"/>
    </row>
    <row r="397" spans="1:18" x14ac:dyDescent="0.2">
      <c r="A397" s="79" t="s">
        <v>121</v>
      </c>
      <c r="B397" s="18" t="s">
        <v>71</v>
      </c>
      <c r="C397" s="18" t="s">
        <v>32</v>
      </c>
      <c r="D397" s="18" t="s">
        <v>77</v>
      </c>
      <c r="E397" s="19" t="s">
        <v>195</v>
      </c>
      <c r="F397" s="81" t="s">
        <v>524</v>
      </c>
      <c r="G397" s="17" t="str">
        <f t="shared" si="25"/>
        <v>5</v>
      </c>
      <c r="H397" s="17" t="str">
        <f t="shared" si="26"/>
        <v>c</v>
      </c>
      <c r="I397" s="20" t="str">
        <f t="shared" si="27"/>
        <v>Use of Engineering Tools</v>
      </c>
      <c r="J397" s="21" t="str">
        <f t="shared" si="28"/>
        <v>Use appropriate engineering tools</v>
      </c>
      <c r="K397" s="3"/>
      <c r="L397" s="3"/>
      <c r="M397" s="3"/>
      <c r="N397" s="3"/>
      <c r="O397" s="16"/>
      <c r="P397" s="3"/>
      <c r="Q397" s="3"/>
      <c r="R397" s="3"/>
    </row>
    <row r="398" spans="1:18" x14ac:dyDescent="0.2">
      <c r="A398" s="79" t="s">
        <v>121</v>
      </c>
      <c r="B398" s="18" t="s">
        <v>71</v>
      </c>
      <c r="C398" s="18" t="s">
        <v>32</v>
      </c>
      <c r="D398" s="18" t="s">
        <v>77</v>
      </c>
      <c r="E398" s="19" t="s">
        <v>122</v>
      </c>
      <c r="F398" s="17" t="s">
        <v>530</v>
      </c>
      <c r="G398" s="17" t="str">
        <f t="shared" si="25"/>
        <v>7</v>
      </c>
      <c r="H398" s="17" t="str">
        <f t="shared" si="26"/>
        <v>a</v>
      </c>
      <c r="I398" s="20" t="str">
        <f t="shared" si="27"/>
        <v>Communication Skills</v>
      </c>
      <c r="J398" s="21" t="str">
        <f t="shared" si="28"/>
        <v>Generate appropriate documentation to communicate within the profession and to society at large</v>
      </c>
      <c r="K398" s="3"/>
      <c r="L398" s="3"/>
      <c r="M398" s="3"/>
      <c r="N398" s="3"/>
      <c r="O398" s="16"/>
      <c r="P398" s="3"/>
      <c r="Q398" s="3"/>
      <c r="R398" s="3"/>
    </row>
    <row r="399" spans="1:18" x14ac:dyDescent="0.2">
      <c r="A399" s="79" t="s">
        <v>121</v>
      </c>
      <c r="B399" s="18" t="s">
        <v>71</v>
      </c>
      <c r="C399" s="18" t="s">
        <v>32</v>
      </c>
      <c r="D399" s="18" t="s">
        <v>77</v>
      </c>
      <c r="E399" s="19" t="s">
        <v>123</v>
      </c>
      <c r="F399" s="17" t="s">
        <v>530</v>
      </c>
      <c r="G399" s="17" t="str">
        <f t="shared" si="25"/>
        <v>7</v>
      </c>
      <c r="H399" s="17" t="str">
        <f t="shared" si="26"/>
        <v>a</v>
      </c>
      <c r="I399" s="20" t="str">
        <f t="shared" si="27"/>
        <v>Communication Skills</v>
      </c>
      <c r="J399" s="21" t="str">
        <f t="shared" si="28"/>
        <v>Generate appropriate documentation to communicate within the profession and to society at large</v>
      </c>
      <c r="K399" s="3"/>
      <c r="L399" s="3"/>
      <c r="M399" s="3"/>
      <c r="N399" s="3"/>
      <c r="O399" s="16"/>
      <c r="P399" s="3"/>
      <c r="Q399" s="3"/>
      <c r="R399" s="3"/>
    </row>
    <row r="400" spans="1:18" ht="30" x14ac:dyDescent="0.2">
      <c r="A400" s="79" t="s">
        <v>121</v>
      </c>
      <c r="B400" s="18" t="s">
        <v>71</v>
      </c>
      <c r="C400" s="18" t="s">
        <v>32</v>
      </c>
      <c r="D400" s="18" t="s">
        <v>77</v>
      </c>
      <c r="E400" s="19" t="s">
        <v>125</v>
      </c>
      <c r="F400" s="17" t="s">
        <v>530</v>
      </c>
      <c r="G400" s="17" t="str">
        <f t="shared" si="25"/>
        <v>7</v>
      </c>
      <c r="H400" s="17" t="str">
        <f t="shared" si="26"/>
        <v>a</v>
      </c>
      <c r="I400" s="20" t="str">
        <f t="shared" si="27"/>
        <v>Communication Skills</v>
      </c>
      <c r="J400" s="21" t="str">
        <f t="shared" si="28"/>
        <v>Generate appropriate documentation to communicate within the profession and to society at large</v>
      </c>
      <c r="K400" s="3"/>
      <c r="L400" s="3"/>
      <c r="M400" s="3"/>
      <c r="N400" s="3"/>
      <c r="O400" s="16"/>
      <c r="P400" s="3"/>
      <c r="Q400" s="3"/>
      <c r="R400" s="3"/>
    </row>
    <row r="401" spans="1:18" x14ac:dyDescent="0.2">
      <c r="A401" s="79" t="s">
        <v>121</v>
      </c>
      <c r="B401" s="18" t="s">
        <v>71</v>
      </c>
      <c r="C401" s="18" t="s">
        <v>32</v>
      </c>
      <c r="D401" s="18" t="s">
        <v>77</v>
      </c>
      <c r="E401" s="19" t="s">
        <v>124</v>
      </c>
      <c r="F401" s="17" t="s">
        <v>542</v>
      </c>
      <c r="G401" s="17" t="str">
        <f t="shared" si="25"/>
        <v>7</v>
      </c>
      <c r="H401" s="17" t="str">
        <f t="shared" si="26"/>
        <v>c</v>
      </c>
      <c r="I401" s="20" t="str">
        <f t="shared" si="27"/>
        <v>Communication Skills</v>
      </c>
      <c r="J401" s="21" t="str">
        <f t="shared" si="28"/>
        <v>Comprehend and Interpret information, including solutions, results and instructions</v>
      </c>
      <c r="K401" s="3"/>
      <c r="L401" s="3"/>
      <c r="M401" s="3"/>
      <c r="N401" s="3"/>
      <c r="O401" s="16"/>
      <c r="P401" s="3"/>
      <c r="Q401" s="3"/>
      <c r="R401" s="3"/>
    </row>
    <row r="402" spans="1:18" x14ac:dyDescent="0.2">
      <c r="A402" s="79" t="s">
        <v>126</v>
      </c>
      <c r="B402" s="18" t="s">
        <v>67</v>
      </c>
      <c r="C402" s="18" t="s">
        <v>32</v>
      </c>
      <c r="D402" s="18" t="s">
        <v>127</v>
      </c>
      <c r="E402" s="19" t="s">
        <v>435</v>
      </c>
      <c r="F402" s="17" t="s">
        <v>508</v>
      </c>
      <c r="G402" s="17" t="str">
        <f t="shared" si="25"/>
        <v>2</v>
      </c>
      <c r="H402" s="17" t="str">
        <f t="shared" si="26"/>
        <v>a</v>
      </c>
      <c r="I402" s="20" t="str">
        <f t="shared" si="27"/>
        <v xml:space="preserve">Problem Analysis </v>
      </c>
      <c r="J402" s="21" t="str">
        <f t="shared" si="28"/>
        <v>Identify / define a problem</v>
      </c>
      <c r="K402" s="3"/>
      <c r="L402" s="3"/>
      <c r="M402" s="3"/>
      <c r="N402" s="3"/>
      <c r="O402" s="16"/>
      <c r="P402" s="3"/>
      <c r="Q402" s="3"/>
      <c r="R402" s="3"/>
    </row>
    <row r="403" spans="1:18" x14ac:dyDescent="0.2">
      <c r="A403" s="79" t="s">
        <v>126</v>
      </c>
      <c r="B403" s="18" t="s">
        <v>67</v>
      </c>
      <c r="C403" s="18" t="s">
        <v>32</v>
      </c>
      <c r="D403" s="18" t="s">
        <v>127</v>
      </c>
      <c r="E403" s="19" t="s">
        <v>436</v>
      </c>
      <c r="F403" s="17" t="s">
        <v>511</v>
      </c>
      <c r="G403" s="17" t="str">
        <f t="shared" si="25"/>
        <v>9</v>
      </c>
      <c r="H403" s="17" t="str">
        <f t="shared" si="26"/>
        <v>a</v>
      </c>
      <c r="I403" s="20" t="str">
        <f t="shared" si="27"/>
        <v>Impact of engineering</v>
      </c>
      <c r="J403" s="21" t="str">
        <f t="shared" si="28"/>
        <v>Identify the relevance of and uncertainty associated with the different aspects (social, cultural, economic, health, safety, legal, environmental) of an engineering project</v>
      </c>
      <c r="K403" s="3"/>
      <c r="L403" s="3"/>
      <c r="M403" s="3"/>
      <c r="N403" s="3"/>
      <c r="O403" s="16"/>
      <c r="P403" s="3"/>
      <c r="Q403" s="3"/>
      <c r="R403" s="3"/>
    </row>
    <row r="404" spans="1:18" x14ac:dyDescent="0.2">
      <c r="A404" s="79" t="s">
        <v>126</v>
      </c>
      <c r="B404" s="18" t="s">
        <v>67</v>
      </c>
      <c r="C404" s="18" t="s">
        <v>32</v>
      </c>
      <c r="D404" s="18" t="s">
        <v>127</v>
      </c>
      <c r="E404" s="19" t="s">
        <v>437</v>
      </c>
      <c r="F404" s="17" t="s">
        <v>510</v>
      </c>
      <c r="G404" s="17" t="str">
        <f t="shared" si="25"/>
        <v>2</v>
      </c>
      <c r="H404" s="17" t="str">
        <f t="shared" si="26"/>
        <v>c</v>
      </c>
      <c r="I404" s="20" t="str">
        <f t="shared" si="27"/>
        <v xml:space="preserve">Problem Analysis </v>
      </c>
      <c r="J404" s="21" t="str">
        <f t="shared" si="28"/>
        <v>Evaluate solutions of complex engineering problems to reach substantiated conclusions</v>
      </c>
      <c r="K404" s="3"/>
      <c r="L404" s="3"/>
      <c r="M404" s="3"/>
      <c r="N404" s="3"/>
      <c r="O404" s="16"/>
      <c r="P404" s="3"/>
      <c r="Q404" s="3"/>
      <c r="R404" s="3"/>
    </row>
    <row r="405" spans="1:18" x14ac:dyDescent="0.2">
      <c r="A405" s="79" t="s">
        <v>126</v>
      </c>
      <c r="B405" s="18" t="s">
        <v>67</v>
      </c>
      <c r="C405" s="18" t="s">
        <v>32</v>
      </c>
      <c r="D405" s="18" t="s">
        <v>127</v>
      </c>
      <c r="E405" s="19" t="s">
        <v>225</v>
      </c>
      <c r="F405" s="17" t="s">
        <v>513</v>
      </c>
      <c r="G405" s="17" t="str">
        <f t="shared" si="25"/>
        <v>3</v>
      </c>
      <c r="H405" s="17" t="str">
        <f t="shared" si="26"/>
        <v>b</v>
      </c>
      <c r="I405" s="20" t="str">
        <f t="shared" si="27"/>
        <v>Investigation</v>
      </c>
      <c r="J405" s="21" t="str">
        <f t="shared" si="28"/>
        <v>Conduct experiments and gather and process data.</v>
      </c>
      <c r="K405" s="3"/>
      <c r="L405" s="3"/>
      <c r="M405" s="3"/>
      <c r="N405" s="3"/>
      <c r="O405" s="16"/>
      <c r="P405" s="3"/>
      <c r="Q405" s="3"/>
      <c r="R405" s="3"/>
    </row>
    <row r="406" spans="1:18" x14ac:dyDescent="0.2">
      <c r="A406" s="79" t="s">
        <v>126</v>
      </c>
      <c r="B406" s="18" t="s">
        <v>67</v>
      </c>
      <c r="C406" s="18" t="s">
        <v>32</v>
      </c>
      <c r="D406" s="18" t="s">
        <v>127</v>
      </c>
      <c r="E406" s="19" t="s">
        <v>161</v>
      </c>
      <c r="F406" s="17" t="s">
        <v>516</v>
      </c>
      <c r="G406" s="17" t="str">
        <f t="shared" si="25"/>
        <v>4</v>
      </c>
      <c r="H406" s="17" t="str">
        <f t="shared" si="26"/>
        <v>b</v>
      </c>
      <c r="I406" s="20" t="str">
        <f t="shared" si="27"/>
        <v>Design</v>
      </c>
      <c r="J406" s="21" t="str">
        <f t="shared" si="28"/>
        <v>Generate and implement solutions to complex open-ended problems</v>
      </c>
      <c r="K406" s="3"/>
      <c r="L406" s="3"/>
      <c r="M406" s="3"/>
      <c r="N406" s="3"/>
      <c r="O406" s="16"/>
      <c r="P406" s="3"/>
      <c r="Q406" s="3"/>
      <c r="R406" s="3"/>
    </row>
    <row r="407" spans="1:18" x14ac:dyDescent="0.2">
      <c r="A407" s="79" t="s">
        <v>126</v>
      </c>
      <c r="B407" s="18" t="s">
        <v>67</v>
      </c>
      <c r="C407" s="18" t="s">
        <v>32</v>
      </c>
      <c r="D407" s="18" t="s">
        <v>127</v>
      </c>
      <c r="E407" s="19" t="s">
        <v>195</v>
      </c>
      <c r="F407" s="81" t="s">
        <v>524</v>
      </c>
      <c r="G407" s="17" t="str">
        <f t="shared" si="25"/>
        <v>5</v>
      </c>
      <c r="H407" s="17" t="str">
        <f t="shared" si="26"/>
        <v>c</v>
      </c>
      <c r="I407" s="20" t="str">
        <f t="shared" si="27"/>
        <v>Use of Engineering Tools</v>
      </c>
      <c r="J407" s="21" t="str">
        <f t="shared" si="28"/>
        <v>Use appropriate engineering tools</v>
      </c>
      <c r="K407" s="3"/>
      <c r="L407" s="3"/>
      <c r="M407" s="3"/>
      <c r="N407" s="3"/>
      <c r="O407" s="16"/>
      <c r="P407" s="3"/>
      <c r="Q407" s="3"/>
      <c r="R407" s="3"/>
    </row>
    <row r="408" spans="1:18" x14ac:dyDescent="0.2">
      <c r="A408" s="79" t="s">
        <v>126</v>
      </c>
      <c r="B408" s="18" t="s">
        <v>67</v>
      </c>
      <c r="C408" s="18" t="s">
        <v>32</v>
      </c>
      <c r="D408" s="18" t="s">
        <v>127</v>
      </c>
      <c r="E408" s="19" t="s">
        <v>122</v>
      </c>
      <c r="F408" s="17" t="s">
        <v>530</v>
      </c>
      <c r="G408" s="17" t="str">
        <f t="shared" si="25"/>
        <v>7</v>
      </c>
      <c r="H408" s="17" t="str">
        <f t="shared" si="26"/>
        <v>a</v>
      </c>
      <c r="I408" s="20" t="str">
        <f t="shared" si="27"/>
        <v>Communication Skills</v>
      </c>
      <c r="J408" s="21" t="str">
        <f t="shared" si="28"/>
        <v>Generate appropriate documentation to communicate within the profession and to society at large</v>
      </c>
      <c r="K408" s="3"/>
      <c r="L408" s="3"/>
      <c r="M408" s="3"/>
      <c r="N408" s="3"/>
      <c r="O408" s="16"/>
      <c r="P408" s="3"/>
      <c r="Q408" s="3"/>
      <c r="R408" s="3"/>
    </row>
    <row r="409" spans="1:18" x14ac:dyDescent="0.2">
      <c r="A409" s="79" t="s">
        <v>126</v>
      </c>
      <c r="B409" s="18" t="s">
        <v>67</v>
      </c>
      <c r="C409" s="18" t="s">
        <v>32</v>
      </c>
      <c r="D409" s="18" t="s">
        <v>127</v>
      </c>
      <c r="E409" s="19" t="s">
        <v>129</v>
      </c>
      <c r="F409" s="17" t="s">
        <v>530</v>
      </c>
      <c r="G409" s="17" t="str">
        <f t="shared" si="25"/>
        <v>7</v>
      </c>
      <c r="H409" s="17" t="str">
        <f t="shared" si="26"/>
        <v>a</v>
      </c>
      <c r="I409" s="20" t="str">
        <f t="shared" si="27"/>
        <v>Communication Skills</v>
      </c>
      <c r="J409" s="21" t="str">
        <f t="shared" si="28"/>
        <v>Generate appropriate documentation to communicate within the profession and to society at large</v>
      </c>
      <c r="K409" s="3"/>
      <c r="L409" s="3"/>
      <c r="M409" s="3"/>
      <c r="N409" s="3"/>
      <c r="O409" s="16"/>
      <c r="P409" s="3"/>
      <c r="Q409" s="3"/>
      <c r="R409" s="3"/>
    </row>
    <row r="410" spans="1:18" x14ac:dyDescent="0.2">
      <c r="A410" s="79" t="s">
        <v>126</v>
      </c>
      <c r="B410" s="18" t="s">
        <v>67</v>
      </c>
      <c r="C410" s="18" t="s">
        <v>32</v>
      </c>
      <c r="D410" s="18" t="s">
        <v>127</v>
      </c>
      <c r="E410" s="19" t="s">
        <v>128</v>
      </c>
      <c r="F410" s="17" t="s">
        <v>530</v>
      </c>
      <c r="G410" s="17" t="str">
        <f t="shared" si="25"/>
        <v>7</v>
      </c>
      <c r="H410" s="17" t="str">
        <f t="shared" si="26"/>
        <v>a</v>
      </c>
      <c r="I410" s="20" t="str">
        <f t="shared" si="27"/>
        <v>Communication Skills</v>
      </c>
      <c r="J410" s="21" t="str">
        <f t="shared" si="28"/>
        <v>Generate appropriate documentation to communicate within the profession and to society at large</v>
      </c>
      <c r="K410" s="3"/>
      <c r="L410" s="3"/>
      <c r="M410" s="3"/>
      <c r="N410" s="3"/>
      <c r="O410" s="16"/>
      <c r="P410" s="3"/>
      <c r="Q410" s="3"/>
      <c r="R410" s="3"/>
    </row>
    <row r="411" spans="1:18" ht="30" x14ac:dyDescent="0.2">
      <c r="A411" s="79" t="s">
        <v>126</v>
      </c>
      <c r="B411" s="18" t="s">
        <v>67</v>
      </c>
      <c r="C411" s="18" t="s">
        <v>32</v>
      </c>
      <c r="D411" s="18" t="s">
        <v>127</v>
      </c>
      <c r="E411" s="19" t="s">
        <v>125</v>
      </c>
      <c r="F411" s="17" t="s">
        <v>530</v>
      </c>
      <c r="G411" s="17" t="str">
        <f t="shared" si="25"/>
        <v>7</v>
      </c>
      <c r="H411" s="17" t="str">
        <f t="shared" si="26"/>
        <v>a</v>
      </c>
      <c r="I411" s="20" t="str">
        <f t="shared" si="27"/>
        <v>Communication Skills</v>
      </c>
      <c r="J411" s="21" t="str">
        <f t="shared" si="28"/>
        <v>Generate appropriate documentation to communicate within the profession and to society at large</v>
      </c>
      <c r="K411" s="3"/>
      <c r="L411" s="3"/>
      <c r="M411" s="3"/>
      <c r="N411" s="3"/>
      <c r="O411" s="16"/>
      <c r="P411" s="3"/>
      <c r="Q411" s="3"/>
      <c r="R411" s="3"/>
    </row>
    <row r="412" spans="1:18" x14ac:dyDescent="0.2">
      <c r="A412" s="79" t="s">
        <v>126</v>
      </c>
      <c r="B412" s="18" t="s">
        <v>67</v>
      </c>
      <c r="C412" s="18" t="s">
        <v>32</v>
      </c>
      <c r="D412" s="18" t="s">
        <v>127</v>
      </c>
      <c r="E412" s="19" t="s">
        <v>124</v>
      </c>
      <c r="F412" s="17" t="s">
        <v>542</v>
      </c>
      <c r="G412" s="17" t="str">
        <f t="shared" si="25"/>
        <v>7</v>
      </c>
      <c r="H412" s="17" t="str">
        <f t="shared" si="26"/>
        <v>c</v>
      </c>
      <c r="I412" s="20" t="str">
        <f t="shared" si="27"/>
        <v>Communication Skills</v>
      </c>
      <c r="J412" s="21" t="str">
        <f t="shared" si="28"/>
        <v>Comprehend and Interpret information, including solutions, results and instructions</v>
      </c>
      <c r="K412" s="3"/>
      <c r="L412" s="3"/>
      <c r="M412" s="3"/>
      <c r="N412" s="3"/>
      <c r="O412" s="16"/>
      <c r="P412" s="3"/>
      <c r="Q412" s="3"/>
      <c r="R412" s="3"/>
    </row>
    <row r="413" spans="1:18" x14ac:dyDescent="0.2">
      <c r="A413" s="79" t="s">
        <v>130</v>
      </c>
      <c r="B413" s="18" t="s">
        <v>74</v>
      </c>
      <c r="C413" s="18" t="s">
        <v>32</v>
      </c>
      <c r="D413" s="18" t="s">
        <v>85</v>
      </c>
      <c r="E413" s="19" t="s">
        <v>435</v>
      </c>
      <c r="F413" s="17" t="s">
        <v>508</v>
      </c>
      <c r="G413" s="17" t="str">
        <f t="shared" si="25"/>
        <v>2</v>
      </c>
      <c r="H413" s="17" t="str">
        <f t="shared" si="26"/>
        <v>a</v>
      </c>
      <c r="I413" s="20" t="str">
        <f t="shared" si="27"/>
        <v xml:space="preserve">Problem Analysis </v>
      </c>
      <c r="J413" s="21" t="str">
        <f t="shared" si="28"/>
        <v>Identify / define a problem</v>
      </c>
      <c r="K413" s="3"/>
      <c r="L413" s="3"/>
      <c r="M413" s="3"/>
      <c r="N413" s="3"/>
      <c r="O413" s="16"/>
      <c r="P413" s="3"/>
      <c r="Q413" s="3"/>
      <c r="R413" s="3"/>
    </row>
    <row r="414" spans="1:18" x14ac:dyDescent="0.2">
      <c r="A414" s="79" t="s">
        <v>130</v>
      </c>
      <c r="B414" s="18" t="s">
        <v>74</v>
      </c>
      <c r="C414" s="18" t="s">
        <v>32</v>
      </c>
      <c r="D414" s="18" t="s">
        <v>85</v>
      </c>
      <c r="E414" s="19" t="s">
        <v>436</v>
      </c>
      <c r="F414" s="17" t="s">
        <v>511</v>
      </c>
      <c r="G414" s="17" t="str">
        <f t="shared" si="25"/>
        <v>9</v>
      </c>
      <c r="H414" s="17" t="str">
        <f t="shared" si="26"/>
        <v>a</v>
      </c>
      <c r="I414" s="20" t="str">
        <f t="shared" si="27"/>
        <v>Impact of engineering</v>
      </c>
      <c r="J414" s="21" t="str">
        <f t="shared" si="28"/>
        <v>Identify the relevance of and uncertainty associated with the different aspects (social, cultural, economic, health, safety, legal, environmental) of an engineering project</v>
      </c>
      <c r="K414" s="3"/>
      <c r="L414" s="3"/>
      <c r="M414" s="3"/>
      <c r="N414" s="3"/>
      <c r="O414" s="16"/>
      <c r="P414" s="3"/>
      <c r="Q414" s="3"/>
      <c r="R414" s="3"/>
    </row>
    <row r="415" spans="1:18" x14ac:dyDescent="0.2">
      <c r="A415" s="79" t="s">
        <v>130</v>
      </c>
      <c r="B415" s="18" t="s">
        <v>74</v>
      </c>
      <c r="C415" s="18" t="s">
        <v>32</v>
      </c>
      <c r="D415" s="18" t="s">
        <v>85</v>
      </c>
      <c r="E415" s="19" t="s">
        <v>437</v>
      </c>
      <c r="F415" s="17" t="s">
        <v>510</v>
      </c>
      <c r="G415" s="17" t="str">
        <f t="shared" si="25"/>
        <v>2</v>
      </c>
      <c r="H415" s="17" t="str">
        <f t="shared" si="26"/>
        <v>c</v>
      </c>
      <c r="I415" s="20" t="str">
        <f t="shared" si="27"/>
        <v xml:space="preserve">Problem Analysis </v>
      </c>
      <c r="J415" s="21" t="str">
        <f t="shared" si="28"/>
        <v>Evaluate solutions of complex engineering problems to reach substantiated conclusions</v>
      </c>
      <c r="K415" s="3"/>
      <c r="L415" s="3"/>
      <c r="M415" s="3"/>
      <c r="N415" s="3"/>
      <c r="O415" s="16"/>
      <c r="P415" s="3"/>
      <c r="Q415" s="3"/>
      <c r="R415" s="3"/>
    </row>
    <row r="416" spans="1:18" x14ac:dyDescent="0.2">
      <c r="A416" s="79" t="s">
        <v>130</v>
      </c>
      <c r="B416" s="18" t="s">
        <v>74</v>
      </c>
      <c r="C416" s="18" t="s">
        <v>32</v>
      </c>
      <c r="D416" s="18" t="s">
        <v>85</v>
      </c>
      <c r="E416" s="19" t="s">
        <v>225</v>
      </c>
      <c r="F416" s="17" t="s">
        <v>513</v>
      </c>
      <c r="G416" s="17" t="str">
        <f t="shared" si="25"/>
        <v>3</v>
      </c>
      <c r="H416" s="17" t="str">
        <f t="shared" si="26"/>
        <v>b</v>
      </c>
      <c r="I416" s="20" t="str">
        <f t="shared" si="27"/>
        <v>Investigation</v>
      </c>
      <c r="J416" s="21" t="str">
        <f t="shared" si="28"/>
        <v>Conduct experiments and gather and process data.</v>
      </c>
      <c r="K416" s="3"/>
      <c r="L416" s="3"/>
      <c r="M416" s="3"/>
      <c r="N416" s="3"/>
      <c r="O416" s="16"/>
      <c r="P416" s="3"/>
      <c r="Q416" s="3"/>
      <c r="R416" s="3"/>
    </row>
    <row r="417" spans="1:18" x14ac:dyDescent="0.2">
      <c r="A417" s="79" t="s">
        <v>130</v>
      </c>
      <c r="B417" s="18" t="s">
        <v>74</v>
      </c>
      <c r="C417" s="18" t="s">
        <v>32</v>
      </c>
      <c r="D417" s="18" t="s">
        <v>85</v>
      </c>
      <c r="E417" s="19" t="s">
        <v>161</v>
      </c>
      <c r="F417" s="17" t="s">
        <v>516</v>
      </c>
      <c r="G417" s="17" t="str">
        <f t="shared" si="25"/>
        <v>4</v>
      </c>
      <c r="H417" s="17" t="str">
        <f t="shared" si="26"/>
        <v>b</v>
      </c>
      <c r="I417" s="20" t="str">
        <f t="shared" si="27"/>
        <v>Design</v>
      </c>
      <c r="J417" s="21" t="str">
        <f t="shared" si="28"/>
        <v>Generate and implement solutions to complex open-ended problems</v>
      </c>
      <c r="K417" s="3"/>
      <c r="L417" s="3"/>
      <c r="M417" s="3"/>
      <c r="N417" s="3"/>
      <c r="O417" s="16"/>
      <c r="P417" s="3"/>
      <c r="Q417" s="3"/>
      <c r="R417" s="3"/>
    </row>
    <row r="418" spans="1:18" x14ac:dyDescent="0.2">
      <c r="A418" s="79" t="s">
        <v>130</v>
      </c>
      <c r="B418" s="18" t="s">
        <v>74</v>
      </c>
      <c r="C418" s="18" t="s">
        <v>32</v>
      </c>
      <c r="D418" s="18" t="s">
        <v>85</v>
      </c>
      <c r="E418" s="19" t="s">
        <v>195</v>
      </c>
      <c r="F418" s="81" t="s">
        <v>524</v>
      </c>
      <c r="G418" s="17" t="str">
        <f t="shared" si="25"/>
        <v>5</v>
      </c>
      <c r="H418" s="17" t="str">
        <f t="shared" si="26"/>
        <v>c</v>
      </c>
      <c r="I418" s="20" t="str">
        <f t="shared" si="27"/>
        <v>Use of Engineering Tools</v>
      </c>
      <c r="J418" s="21" t="str">
        <f t="shared" si="28"/>
        <v>Use appropriate engineering tools</v>
      </c>
      <c r="K418" s="3"/>
      <c r="L418" s="3"/>
      <c r="M418" s="3"/>
      <c r="N418" s="3"/>
      <c r="O418" s="16"/>
      <c r="P418" s="3"/>
      <c r="Q418" s="3"/>
      <c r="R418" s="3"/>
    </row>
    <row r="419" spans="1:18" x14ac:dyDescent="0.2">
      <c r="A419" s="79" t="s">
        <v>130</v>
      </c>
      <c r="B419" s="18" t="s">
        <v>74</v>
      </c>
      <c r="C419" s="18" t="s">
        <v>32</v>
      </c>
      <c r="D419" s="18" t="s">
        <v>85</v>
      </c>
      <c r="E419" s="19" t="s">
        <v>122</v>
      </c>
      <c r="F419" s="17" t="s">
        <v>530</v>
      </c>
      <c r="G419" s="17" t="str">
        <f t="shared" si="25"/>
        <v>7</v>
      </c>
      <c r="H419" s="17" t="str">
        <f t="shared" si="26"/>
        <v>a</v>
      </c>
      <c r="I419" s="20" t="str">
        <f t="shared" si="27"/>
        <v>Communication Skills</v>
      </c>
      <c r="J419" s="21" t="str">
        <f t="shared" si="28"/>
        <v>Generate appropriate documentation to communicate within the profession and to society at large</v>
      </c>
      <c r="K419" s="3"/>
      <c r="L419" s="3"/>
      <c r="M419" s="3"/>
      <c r="N419" s="3"/>
      <c r="O419" s="16"/>
      <c r="P419" s="3"/>
      <c r="Q419" s="3"/>
      <c r="R419" s="3"/>
    </row>
    <row r="420" spans="1:18" x14ac:dyDescent="0.2">
      <c r="A420" s="79" t="s">
        <v>130</v>
      </c>
      <c r="B420" s="18" t="s">
        <v>74</v>
      </c>
      <c r="C420" s="18" t="s">
        <v>32</v>
      </c>
      <c r="D420" s="18" t="s">
        <v>85</v>
      </c>
      <c r="E420" s="19" t="s">
        <v>123</v>
      </c>
      <c r="F420" s="17" t="s">
        <v>530</v>
      </c>
      <c r="G420" s="17" t="str">
        <f t="shared" si="25"/>
        <v>7</v>
      </c>
      <c r="H420" s="17" t="str">
        <f t="shared" si="26"/>
        <v>a</v>
      </c>
      <c r="I420" s="20" t="str">
        <f t="shared" si="27"/>
        <v>Communication Skills</v>
      </c>
      <c r="J420" s="21" t="str">
        <f t="shared" si="28"/>
        <v>Generate appropriate documentation to communicate within the profession and to society at large</v>
      </c>
      <c r="K420" s="3"/>
      <c r="L420" s="3"/>
      <c r="M420" s="3"/>
      <c r="N420" s="3"/>
      <c r="O420" s="16"/>
      <c r="P420" s="3"/>
      <c r="Q420" s="3"/>
      <c r="R420" s="3"/>
    </row>
    <row r="421" spans="1:18" ht="30" x14ac:dyDescent="0.2">
      <c r="A421" s="79" t="s">
        <v>130</v>
      </c>
      <c r="B421" s="18" t="s">
        <v>74</v>
      </c>
      <c r="C421" s="18" t="s">
        <v>32</v>
      </c>
      <c r="D421" s="18" t="s">
        <v>85</v>
      </c>
      <c r="E421" s="19" t="s">
        <v>125</v>
      </c>
      <c r="F421" s="17" t="s">
        <v>530</v>
      </c>
      <c r="G421" s="17" t="str">
        <f t="shared" si="25"/>
        <v>7</v>
      </c>
      <c r="H421" s="17" t="str">
        <f t="shared" si="26"/>
        <v>a</v>
      </c>
      <c r="I421" s="20" t="str">
        <f t="shared" si="27"/>
        <v>Communication Skills</v>
      </c>
      <c r="J421" s="21" t="str">
        <f t="shared" si="28"/>
        <v>Generate appropriate documentation to communicate within the profession and to society at large</v>
      </c>
      <c r="K421" s="3"/>
      <c r="L421" s="3"/>
      <c r="M421" s="3"/>
      <c r="N421" s="3"/>
      <c r="O421" s="16"/>
      <c r="P421" s="3"/>
      <c r="Q421" s="3"/>
      <c r="R421" s="3"/>
    </row>
    <row r="422" spans="1:18" x14ac:dyDescent="0.2">
      <c r="A422" s="79" t="s">
        <v>130</v>
      </c>
      <c r="B422" s="18" t="s">
        <v>74</v>
      </c>
      <c r="C422" s="18" t="s">
        <v>32</v>
      </c>
      <c r="D422" s="18" t="s">
        <v>85</v>
      </c>
      <c r="E422" s="19" t="s">
        <v>124</v>
      </c>
      <c r="F422" s="17" t="s">
        <v>542</v>
      </c>
      <c r="G422" s="17" t="str">
        <f t="shared" si="25"/>
        <v>7</v>
      </c>
      <c r="H422" s="17" t="str">
        <f t="shared" si="26"/>
        <v>c</v>
      </c>
      <c r="I422" s="20" t="str">
        <f t="shared" si="27"/>
        <v>Communication Skills</v>
      </c>
      <c r="J422" s="21" t="str">
        <f t="shared" si="28"/>
        <v>Comprehend and Interpret information, including solutions, results and instructions</v>
      </c>
      <c r="K422" s="3"/>
      <c r="L422" s="3"/>
      <c r="M422" s="3"/>
      <c r="N422" s="3"/>
      <c r="O422" s="16"/>
      <c r="P422" s="3"/>
      <c r="Q422" s="3"/>
      <c r="R422" s="3"/>
    </row>
    <row r="423" spans="1:18" x14ac:dyDescent="0.2">
      <c r="A423" s="18" t="s">
        <v>158</v>
      </c>
      <c r="B423" s="18" t="s">
        <v>941</v>
      </c>
      <c r="C423" s="18" t="s">
        <v>32</v>
      </c>
      <c r="D423" s="18" t="s">
        <v>127</v>
      </c>
      <c r="E423" s="19" t="s">
        <v>913</v>
      </c>
      <c r="F423" s="17" t="s">
        <v>491</v>
      </c>
      <c r="G423" s="17" t="str">
        <f t="shared" si="25"/>
        <v>1</v>
      </c>
      <c r="H423" s="17" t="str">
        <f t="shared" si="26"/>
        <v>a</v>
      </c>
      <c r="I423" s="20" t="str">
        <f t="shared" si="27"/>
        <v>Knowledge base for engineering</v>
      </c>
      <c r="J423" s="78" t="str">
        <f t="shared" si="28"/>
        <v>Demonstrate understanding of mathematics</v>
      </c>
    </row>
    <row r="424" spans="1:18" x14ac:dyDescent="0.2">
      <c r="A424" s="18" t="s">
        <v>158</v>
      </c>
      <c r="B424" s="18" t="s">
        <v>941</v>
      </c>
      <c r="C424" s="18" t="s">
        <v>32</v>
      </c>
      <c r="D424" s="18" t="s">
        <v>127</v>
      </c>
      <c r="E424" s="76" t="s">
        <v>914</v>
      </c>
      <c r="F424" s="17" t="s">
        <v>509</v>
      </c>
      <c r="G424" s="17" t="str">
        <f t="shared" si="25"/>
        <v>2</v>
      </c>
      <c r="H424" s="17" t="str">
        <f t="shared" si="26"/>
        <v>b</v>
      </c>
      <c r="I424" s="77" t="str">
        <f t="shared" si="27"/>
        <v xml:space="preserve">Problem Analysis </v>
      </c>
      <c r="J424" s="78" t="str">
        <f t="shared" si="28"/>
        <v>Develop / solve models of engineering problems including identifying approximations, assumptions, and constraints</v>
      </c>
    </row>
    <row r="425" spans="1:18" x14ac:dyDescent="0.2">
      <c r="A425" s="18" t="s">
        <v>138</v>
      </c>
      <c r="B425" s="18" t="s">
        <v>941</v>
      </c>
      <c r="C425" s="18" t="s">
        <v>32</v>
      </c>
      <c r="D425" s="18" t="s">
        <v>127</v>
      </c>
      <c r="E425" s="76" t="s">
        <v>942</v>
      </c>
      <c r="F425" s="17" t="s">
        <v>509</v>
      </c>
      <c r="G425" s="109" t="str">
        <f t="shared" ref="G425:G426" si="29">IF(LEN(F425)=2,LEFT(F425,1),LEFT(F425,2))</f>
        <v>2</v>
      </c>
      <c r="H425" s="109" t="str">
        <f t="shared" ref="H425:H426" si="30">RIGHT(F425,1)</f>
        <v>b</v>
      </c>
      <c r="I425" s="107" t="str">
        <f t="shared" ref="I425:I426" si="31">IFERROR(VLOOKUP(F425,$N$2:$Q$39,4,FALSE),0)</f>
        <v xml:space="preserve">Problem Analysis </v>
      </c>
      <c r="J425" s="111" t="str">
        <f t="shared" ref="J425:J426" si="32">IFERROR(VLOOKUP(F425,$N$2:$O$39,2,FALSE),0)</f>
        <v>Develop / solve models of engineering problems including identifying approximations, assumptions, and constraints</v>
      </c>
    </row>
    <row r="426" spans="1:18" x14ac:dyDescent="0.2">
      <c r="A426" s="18" t="s">
        <v>138</v>
      </c>
      <c r="B426" s="18" t="s">
        <v>941</v>
      </c>
      <c r="C426" s="18" t="s">
        <v>32</v>
      </c>
      <c r="D426" s="18" t="s">
        <v>127</v>
      </c>
      <c r="E426" s="76" t="s">
        <v>943</v>
      </c>
      <c r="F426" s="17" t="s">
        <v>508</v>
      </c>
      <c r="G426" s="109" t="str">
        <f t="shared" si="29"/>
        <v>2</v>
      </c>
      <c r="H426" s="109" t="str">
        <f t="shared" si="30"/>
        <v>a</v>
      </c>
      <c r="I426" s="110" t="str">
        <f t="shared" si="31"/>
        <v xml:space="preserve">Problem Analysis </v>
      </c>
      <c r="J426" s="111" t="str">
        <f t="shared" si="32"/>
        <v>Identify / define a problem</v>
      </c>
    </row>
    <row r="427" spans="1:18" x14ac:dyDescent="0.2">
      <c r="A427" s="18" t="s">
        <v>138</v>
      </c>
      <c r="B427" s="18" t="s">
        <v>941</v>
      </c>
      <c r="C427" s="18" t="s">
        <v>32</v>
      </c>
      <c r="D427" s="18" t="s">
        <v>127</v>
      </c>
      <c r="E427" s="76" t="s">
        <v>944</v>
      </c>
      <c r="F427" s="75" t="s">
        <v>513</v>
      </c>
      <c r="G427" s="106" t="str">
        <f t="shared" ref="G427:G430" si="33">IF(LEN(F427)=2,LEFT(F427,1),LEFT(F427,2))</f>
        <v>3</v>
      </c>
      <c r="H427" s="106" t="str">
        <f t="shared" ref="H427:H430" si="34">RIGHT(F427,1)</f>
        <v>b</v>
      </c>
      <c r="I427" s="107" t="str">
        <f t="shared" ref="I427:I430" si="35">IFERROR(VLOOKUP(F427,$N$2:$Q$39,4,FALSE),0)</f>
        <v>Investigation</v>
      </c>
      <c r="J427" s="108" t="str">
        <f t="shared" ref="J427:J430" si="36">IFERROR(VLOOKUP(F427,$N$2:$O$39,2,FALSE),0)</f>
        <v>Conduct experiments and gather and process data.</v>
      </c>
    </row>
    <row r="428" spans="1:18" x14ac:dyDescent="0.2">
      <c r="A428" s="18" t="s">
        <v>138</v>
      </c>
      <c r="B428" s="18" t="s">
        <v>941</v>
      </c>
      <c r="C428" s="18" t="s">
        <v>32</v>
      </c>
      <c r="D428" s="18" t="s">
        <v>127</v>
      </c>
      <c r="E428" s="76" t="s">
        <v>945</v>
      </c>
      <c r="F428" s="75" t="s">
        <v>515</v>
      </c>
      <c r="G428" s="106" t="str">
        <f t="shared" si="33"/>
        <v>4</v>
      </c>
      <c r="H428" s="106" t="str">
        <f t="shared" si="34"/>
        <v>a</v>
      </c>
      <c r="I428" s="107" t="str">
        <f t="shared" si="35"/>
        <v>Design</v>
      </c>
      <c r="J428" s="108" t="str">
        <f t="shared" si="36"/>
        <v>Follow an engineering design methodology</v>
      </c>
    </row>
    <row r="429" spans="1:18" ht="30" x14ac:dyDescent="0.2">
      <c r="A429" s="18" t="s">
        <v>138</v>
      </c>
      <c r="B429" s="18" t="s">
        <v>941</v>
      </c>
      <c r="C429" s="18" t="s">
        <v>32</v>
      </c>
      <c r="D429" s="18" t="s">
        <v>127</v>
      </c>
      <c r="E429" s="76" t="s">
        <v>946</v>
      </c>
      <c r="F429" s="75" t="s">
        <v>524</v>
      </c>
      <c r="G429" s="106" t="str">
        <f t="shared" si="33"/>
        <v>5</v>
      </c>
      <c r="H429" s="106" t="str">
        <f t="shared" si="34"/>
        <v>c</v>
      </c>
      <c r="I429" s="107" t="str">
        <f t="shared" si="35"/>
        <v>Use of Engineering Tools</v>
      </c>
      <c r="J429" s="108" t="str">
        <f t="shared" si="36"/>
        <v>Use appropriate engineering tools</v>
      </c>
    </row>
    <row r="430" spans="1:18" ht="30" x14ac:dyDescent="0.2">
      <c r="A430" s="18" t="s">
        <v>138</v>
      </c>
      <c r="B430" s="18" t="s">
        <v>941</v>
      </c>
      <c r="C430" s="18" t="s">
        <v>32</v>
      </c>
      <c r="D430" s="18" t="s">
        <v>127</v>
      </c>
      <c r="E430" s="76" t="s">
        <v>947</v>
      </c>
      <c r="F430" s="75" t="s">
        <v>524</v>
      </c>
      <c r="G430" s="106" t="str">
        <f t="shared" si="33"/>
        <v>5</v>
      </c>
      <c r="H430" s="106" t="str">
        <f t="shared" si="34"/>
        <v>c</v>
      </c>
      <c r="I430" s="107" t="str">
        <f t="shared" si="35"/>
        <v>Use of Engineering Tools</v>
      </c>
      <c r="J430" s="108" t="str">
        <f t="shared" si="36"/>
        <v>Use appropriate engineering tools</v>
      </c>
    </row>
    <row r="431" spans="1:18" x14ac:dyDescent="0.2">
      <c r="A431" s="140" t="s">
        <v>173</v>
      </c>
      <c r="B431" s="140" t="s">
        <v>941</v>
      </c>
      <c r="C431" s="140" t="s">
        <v>32</v>
      </c>
      <c r="D431" s="140" t="s">
        <v>75</v>
      </c>
      <c r="E431" s="76" t="s">
        <v>948</v>
      </c>
      <c r="F431" s="17" t="s">
        <v>509</v>
      </c>
      <c r="G431" s="109" t="str">
        <f>IF(LEN(F431)=2,LEFT(F431,1),LEFT(F431,2))</f>
        <v>2</v>
      </c>
      <c r="H431" s="109" t="str">
        <f>RIGHT(F431,1)</f>
        <v>b</v>
      </c>
      <c r="I431" s="110" t="str">
        <f>IFERROR(VLOOKUP(F431,$N$2:$Q$39,4,FALSE),0)</f>
        <v xml:space="preserve">Problem Analysis </v>
      </c>
      <c r="J431" s="111" t="str">
        <f>IFERROR(VLOOKUP(F431,$N$2:$O$39,2,FALSE),0)</f>
        <v>Develop / solve models of engineering problems including identifying approximations, assumptions, and constraints</v>
      </c>
    </row>
    <row r="432" spans="1:18" x14ac:dyDescent="0.2">
      <c r="A432" s="140" t="s">
        <v>173</v>
      </c>
      <c r="B432" s="140" t="s">
        <v>941</v>
      </c>
      <c r="C432" s="140" t="s">
        <v>32</v>
      </c>
      <c r="D432" s="140" t="s">
        <v>75</v>
      </c>
      <c r="E432" s="19" t="s">
        <v>948</v>
      </c>
      <c r="F432" s="75" t="s">
        <v>509</v>
      </c>
      <c r="G432" s="106" t="str">
        <f t="shared" ref="G432:G436" si="37">IF(LEN(F432)=2,LEFT(F432,1),LEFT(F432,2))</f>
        <v>2</v>
      </c>
      <c r="H432" s="106" t="str">
        <f t="shared" ref="H432:H436" si="38">RIGHT(F432,1)</f>
        <v>b</v>
      </c>
      <c r="I432" s="107" t="str">
        <f t="shared" ref="I432:I436" si="39">IFERROR(VLOOKUP(F432,$N$2:$Q$39,4,FALSE),0)</f>
        <v xml:space="preserve">Problem Analysis </v>
      </c>
      <c r="J432" s="108" t="str">
        <f t="shared" ref="J432:J436" si="40">IFERROR(VLOOKUP(F432,$N$2:$O$39,2,FALSE),0)</f>
        <v>Develop / solve models of engineering problems including identifying approximations, assumptions, and constraints</v>
      </c>
    </row>
    <row r="433" spans="1:10" x14ac:dyDescent="0.2">
      <c r="A433" s="140" t="s">
        <v>173</v>
      </c>
      <c r="B433" s="140" t="s">
        <v>941</v>
      </c>
      <c r="C433" s="140" t="s">
        <v>32</v>
      </c>
      <c r="D433" s="140" t="s">
        <v>75</v>
      </c>
      <c r="E433" s="19" t="s">
        <v>949</v>
      </c>
      <c r="F433" s="75" t="s">
        <v>509</v>
      </c>
      <c r="G433" s="106" t="str">
        <f t="shared" si="37"/>
        <v>2</v>
      </c>
      <c r="H433" s="106" t="str">
        <f t="shared" si="38"/>
        <v>b</v>
      </c>
      <c r="I433" s="107" t="str">
        <f t="shared" si="39"/>
        <v xml:space="preserve">Problem Analysis </v>
      </c>
      <c r="J433" s="108" t="str">
        <f t="shared" si="40"/>
        <v>Develop / solve models of engineering problems including identifying approximations, assumptions, and constraints</v>
      </c>
    </row>
    <row r="434" spans="1:10" x14ac:dyDescent="0.2">
      <c r="A434" s="140" t="s">
        <v>173</v>
      </c>
      <c r="B434" s="140" t="s">
        <v>941</v>
      </c>
      <c r="C434" s="140" t="s">
        <v>32</v>
      </c>
      <c r="D434" s="140" t="s">
        <v>75</v>
      </c>
      <c r="E434" s="19" t="s">
        <v>950</v>
      </c>
      <c r="F434" s="75" t="s">
        <v>510</v>
      </c>
      <c r="G434" s="106" t="str">
        <f t="shared" si="37"/>
        <v>2</v>
      </c>
      <c r="H434" s="106" t="str">
        <f t="shared" si="38"/>
        <v>c</v>
      </c>
      <c r="I434" s="107" t="str">
        <f t="shared" si="39"/>
        <v xml:space="preserve">Problem Analysis </v>
      </c>
      <c r="J434" s="108" t="str">
        <f t="shared" si="40"/>
        <v>Evaluate solutions of complex engineering problems to reach substantiated conclusions</v>
      </c>
    </row>
    <row r="435" spans="1:10" x14ac:dyDescent="0.2">
      <c r="A435" s="140" t="s">
        <v>173</v>
      </c>
      <c r="B435" s="140" t="s">
        <v>941</v>
      </c>
      <c r="C435" s="140" t="s">
        <v>32</v>
      </c>
      <c r="D435" s="140" t="s">
        <v>75</v>
      </c>
      <c r="E435" s="19" t="s">
        <v>951</v>
      </c>
      <c r="F435" s="75" t="s">
        <v>510</v>
      </c>
      <c r="G435" s="106" t="str">
        <f t="shared" si="37"/>
        <v>2</v>
      </c>
      <c r="H435" s="106" t="str">
        <f t="shared" si="38"/>
        <v>c</v>
      </c>
      <c r="I435" s="107" t="str">
        <f t="shared" si="39"/>
        <v xml:space="preserve">Problem Analysis </v>
      </c>
      <c r="J435" s="108" t="str">
        <f t="shared" si="40"/>
        <v>Evaluate solutions of complex engineering problems to reach substantiated conclusions</v>
      </c>
    </row>
    <row r="436" spans="1:10" x14ac:dyDescent="0.2">
      <c r="A436" s="140" t="s">
        <v>173</v>
      </c>
      <c r="B436" s="140" t="s">
        <v>941</v>
      </c>
      <c r="C436" s="140" t="s">
        <v>32</v>
      </c>
      <c r="D436" s="140" t="s">
        <v>75</v>
      </c>
      <c r="E436" s="19" t="s">
        <v>952</v>
      </c>
      <c r="F436" s="75" t="s">
        <v>516</v>
      </c>
      <c r="G436" s="106" t="str">
        <f t="shared" si="37"/>
        <v>4</v>
      </c>
      <c r="H436" s="106" t="str">
        <f t="shared" si="38"/>
        <v>b</v>
      </c>
      <c r="I436" s="107" t="str">
        <f t="shared" si="39"/>
        <v>Design</v>
      </c>
      <c r="J436" s="108" t="str">
        <f t="shared" si="40"/>
        <v>Generate and implement solutions to complex open-ended problems</v>
      </c>
    </row>
    <row r="437" spans="1:10" ht="30" x14ac:dyDescent="0.2">
      <c r="A437" s="140" t="s">
        <v>173</v>
      </c>
      <c r="B437" s="140" t="s">
        <v>941</v>
      </c>
      <c r="C437" s="140" t="s">
        <v>32</v>
      </c>
      <c r="D437" s="140" t="s">
        <v>75</v>
      </c>
      <c r="E437" s="19" t="s">
        <v>953</v>
      </c>
      <c r="F437" s="75" t="s">
        <v>514</v>
      </c>
      <c r="G437" s="106" t="str">
        <f t="shared" ref="G437:G438" si="41">IF(LEN(F437)=2,LEFT(F437,1),LEFT(F437,2))</f>
        <v>3</v>
      </c>
      <c r="H437" s="106" t="str">
        <f t="shared" ref="H437:H438" si="42">RIGHT(F437,1)</f>
        <v>c</v>
      </c>
      <c r="I437" s="107" t="str">
        <f t="shared" ref="I437:I438" si="43">IFERROR(VLOOKUP(F437,$N$2:$Q$39,4,FALSE),0)</f>
        <v>Investigation</v>
      </c>
      <c r="J437" s="108" t="str">
        <f t="shared" ref="J437:J438" si="44">IFERROR(VLOOKUP(F437,$N$2:$O$39,2,FALSE),0)</f>
        <v>Analyze, synthesize, and interpret experimental and other data to reach valid conclusions.</v>
      </c>
    </row>
    <row r="438" spans="1:10" ht="30" x14ac:dyDescent="0.2">
      <c r="A438" s="140" t="s">
        <v>173</v>
      </c>
      <c r="B438" s="140" t="s">
        <v>941</v>
      </c>
      <c r="C438" s="140" t="s">
        <v>32</v>
      </c>
      <c r="D438" s="140" t="s">
        <v>75</v>
      </c>
      <c r="E438" s="19" t="s">
        <v>954</v>
      </c>
      <c r="F438" s="75" t="s">
        <v>514</v>
      </c>
      <c r="G438" s="106" t="str">
        <f t="shared" si="41"/>
        <v>3</v>
      </c>
      <c r="H438" s="106" t="str">
        <f t="shared" si="42"/>
        <v>c</v>
      </c>
      <c r="I438" s="107" t="str">
        <f t="shared" si="43"/>
        <v>Investigation</v>
      </c>
      <c r="J438" s="108" t="str">
        <f t="shared" si="44"/>
        <v>Analyze, synthesize, and interpret experimental and other data to reach valid conclusions.</v>
      </c>
    </row>
    <row r="439" spans="1:10" x14ac:dyDescent="0.2">
      <c r="A439" s="18" t="s">
        <v>126</v>
      </c>
      <c r="B439" s="18" t="s">
        <v>941</v>
      </c>
      <c r="C439" s="18" t="s">
        <v>32</v>
      </c>
      <c r="D439" s="18" t="s">
        <v>127</v>
      </c>
      <c r="E439" s="19" t="s">
        <v>124</v>
      </c>
      <c r="F439" s="17" t="s">
        <v>542</v>
      </c>
      <c r="G439" s="109" t="str">
        <f t="shared" ref="G439:G440" si="45">IF(LEN(F439)=2,LEFT(F439,1),LEFT(F439,2))</f>
        <v>7</v>
      </c>
      <c r="H439" s="109" t="str">
        <f t="shared" ref="H439:H440" si="46">RIGHT(F439,1)</f>
        <v>c</v>
      </c>
      <c r="I439" s="107" t="str">
        <f t="shared" ref="I439:I440" si="47">IFERROR(VLOOKUP(F439,$N$2:$Q$39,4,FALSE),0)</f>
        <v>Communication Skills</v>
      </c>
      <c r="J439" s="111" t="str">
        <f t="shared" ref="J439:J440" si="48">IFERROR(VLOOKUP(F439,$N$2:$O$39,2,FALSE),0)</f>
        <v>Comprehend and Interpret information, including solutions, results and instructions</v>
      </c>
    </row>
    <row r="440" spans="1:10" ht="30" x14ac:dyDescent="0.2">
      <c r="A440" s="140" t="s">
        <v>126</v>
      </c>
      <c r="B440" s="140" t="s">
        <v>941</v>
      </c>
      <c r="C440" s="140" t="s">
        <v>32</v>
      </c>
      <c r="D440" s="140" t="s">
        <v>127</v>
      </c>
      <c r="E440" s="76" t="s">
        <v>125</v>
      </c>
      <c r="F440" s="17" t="s">
        <v>530</v>
      </c>
      <c r="G440" s="109" t="str">
        <f t="shared" si="45"/>
        <v>7</v>
      </c>
      <c r="H440" s="109" t="str">
        <f t="shared" si="46"/>
        <v>a</v>
      </c>
      <c r="I440" s="110" t="str">
        <f t="shared" si="47"/>
        <v>Communication Skills</v>
      </c>
      <c r="J440" s="111" t="str">
        <f t="shared" si="48"/>
        <v>Generate appropriate documentation to communicate within the profession and to society at large</v>
      </c>
    </row>
    <row r="441" spans="1:10" ht="30" x14ac:dyDescent="0.2">
      <c r="A441" s="140" t="s">
        <v>714</v>
      </c>
      <c r="B441" s="140" t="s">
        <v>941</v>
      </c>
      <c r="C441" s="140" t="s">
        <v>33</v>
      </c>
      <c r="D441" s="140" t="s">
        <v>127</v>
      </c>
      <c r="E441" s="76" t="s">
        <v>955</v>
      </c>
      <c r="F441" s="17" t="s">
        <v>510</v>
      </c>
      <c r="G441" s="109" t="str">
        <f>IF(LEN(F441)=2,LEFT(F441,1),LEFT(F441,2))</f>
        <v>2</v>
      </c>
      <c r="H441" s="109" t="str">
        <f>RIGHT(F441,1)</f>
        <v>c</v>
      </c>
      <c r="I441" s="110" t="str">
        <f>IFERROR(VLOOKUP(F441,$N$2:$Q$39,4,FALSE),0)</f>
        <v xml:space="preserve">Problem Analysis </v>
      </c>
      <c r="J441" s="111" t="str">
        <f>IFERROR(VLOOKUP(F441,$N$2:$O$39,2,FALSE),0)</f>
        <v>Evaluate solutions of complex engineering problems to reach substantiated conclusions</v>
      </c>
    </row>
    <row r="442" spans="1:10" ht="30" x14ac:dyDescent="0.2">
      <c r="A442" s="140" t="s">
        <v>714</v>
      </c>
      <c r="B442" s="140" t="s">
        <v>941</v>
      </c>
      <c r="C442" s="140" t="s">
        <v>33</v>
      </c>
      <c r="D442" s="140" t="s">
        <v>127</v>
      </c>
      <c r="E442" s="19" t="s">
        <v>956</v>
      </c>
      <c r="F442" s="75" t="s">
        <v>509</v>
      </c>
      <c r="G442" s="106" t="str">
        <f t="shared" ref="G442:G443" si="49">IF(LEN(F442)=2,LEFT(F442,1),LEFT(F442,2))</f>
        <v>2</v>
      </c>
      <c r="H442" s="106" t="str">
        <f t="shared" ref="H442:H443" si="50">RIGHT(F442,1)</f>
        <v>b</v>
      </c>
      <c r="I442" s="107" t="str">
        <f t="shared" ref="I442:I443" si="51">IFERROR(VLOOKUP(F442,$N$2:$Q$39,4,FALSE),0)</f>
        <v xml:space="preserve">Problem Analysis </v>
      </c>
      <c r="J442" s="108" t="str">
        <f t="shared" ref="J442:J443" si="52">IFERROR(VLOOKUP(F442,$N$2:$O$39,2,FALSE),0)</f>
        <v>Develop / solve models of engineering problems including identifying approximations, assumptions, and constraints</v>
      </c>
    </row>
    <row r="443" spans="1:10" x14ac:dyDescent="0.2">
      <c r="A443" s="140" t="s">
        <v>714</v>
      </c>
      <c r="B443" s="140" t="s">
        <v>941</v>
      </c>
      <c r="C443" s="140" t="s">
        <v>33</v>
      </c>
      <c r="D443" s="140" t="s">
        <v>127</v>
      </c>
      <c r="E443" s="19" t="s">
        <v>957</v>
      </c>
      <c r="F443" s="75" t="s">
        <v>937</v>
      </c>
      <c r="G443" s="106" t="str">
        <f t="shared" si="49"/>
        <v>10</v>
      </c>
      <c r="H443" s="106" t="str">
        <f t="shared" si="50"/>
        <v>b</v>
      </c>
      <c r="I443" s="107" t="str">
        <f t="shared" si="51"/>
        <v>Ethics and equity</v>
      </c>
      <c r="J443" s="108" t="str">
        <f t="shared" si="52"/>
        <v>Identify how an engineer is accountable to multiple stakeholders in engineering practice</v>
      </c>
    </row>
    <row r="444" spans="1:10" ht="30" x14ac:dyDescent="0.2">
      <c r="A444" s="140" t="s">
        <v>73</v>
      </c>
      <c r="B444" s="140" t="s">
        <v>941</v>
      </c>
      <c r="C444" s="140" t="s">
        <v>32</v>
      </c>
      <c r="D444" s="140" t="s">
        <v>75</v>
      </c>
      <c r="E444" s="76" t="s">
        <v>958</v>
      </c>
      <c r="F444" s="17" t="s">
        <v>530</v>
      </c>
      <c r="G444" s="109" t="str">
        <f>IF(LEN(F444)=2,LEFT(F444,1),LEFT(F444,2))</f>
        <v>7</v>
      </c>
      <c r="H444" s="109" t="str">
        <f>RIGHT(F444,1)</f>
        <v>a</v>
      </c>
      <c r="I444" s="110" t="str">
        <f>IFERROR(VLOOKUP(F444,$N$2:$Q$39,4,FALSE),0)</f>
        <v>Communication Skills</v>
      </c>
      <c r="J444" s="111" t="str">
        <f>IFERROR(VLOOKUP(F444,$N$2:$O$39,2,FALSE),0)</f>
        <v>Generate appropriate documentation to communicate within the profession and to society at large</v>
      </c>
    </row>
    <row r="445" spans="1:10" ht="30" x14ac:dyDescent="0.2">
      <c r="A445" s="140" t="s">
        <v>73</v>
      </c>
      <c r="B445" s="140" t="s">
        <v>941</v>
      </c>
      <c r="C445" s="140" t="s">
        <v>32</v>
      </c>
      <c r="D445" s="140" t="s">
        <v>75</v>
      </c>
      <c r="E445" s="19" t="s">
        <v>959</v>
      </c>
      <c r="F445" s="75" t="s">
        <v>508</v>
      </c>
      <c r="G445" s="106" t="str">
        <f t="shared" ref="G445:G447" si="53">IF(LEN(F445)=2,LEFT(F445,1),LEFT(F445,2))</f>
        <v>2</v>
      </c>
      <c r="H445" s="106" t="str">
        <f t="shared" ref="H445:H447" si="54">RIGHT(F445,1)</f>
        <v>a</v>
      </c>
      <c r="I445" s="107" t="str">
        <f t="shared" ref="I445:I447" si="55">IFERROR(VLOOKUP(F445,$N$2:$Q$39,4,FALSE),0)</f>
        <v xml:space="preserve">Problem Analysis </v>
      </c>
      <c r="J445" s="108" t="str">
        <f t="shared" ref="J445:J447" si="56">IFERROR(VLOOKUP(F445,$N$2:$O$39,2,FALSE),0)</f>
        <v>Identify / define a problem</v>
      </c>
    </row>
    <row r="446" spans="1:10" ht="45" x14ac:dyDescent="0.2">
      <c r="A446" s="140" t="s">
        <v>73</v>
      </c>
      <c r="B446" s="140" t="s">
        <v>941</v>
      </c>
      <c r="C446" s="140" t="s">
        <v>32</v>
      </c>
      <c r="D446" s="140" t="s">
        <v>75</v>
      </c>
      <c r="E446" s="19" t="s">
        <v>960</v>
      </c>
      <c r="F446" s="75" t="s">
        <v>516</v>
      </c>
      <c r="G446" s="106" t="str">
        <f t="shared" si="53"/>
        <v>4</v>
      </c>
      <c r="H446" s="106" t="str">
        <f t="shared" si="54"/>
        <v>b</v>
      </c>
      <c r="I446" s="107" t="str">
        <f t="shared" si="55"/>
        <v>Design</v>
      </c>
      <c r="J446" s="108" t="str">
        <f t="shared" si="56"/>
        <v>Generate and implement solutions to complex open-ended problems</v>
      </c>
    </row>
    <row r="447" spans="1:10" x14ac:dyDescent="0.2">
      <c r="A447" s="140" t="s">
        <v>73</v>
      </c>
      <c r="B447" s="140" t="s">
        <v>941</v>
      </c>
      <c r="C447" s="140" t="s">
        <v>32</v>
      </c>
      <c r="D447" s="140" t="s">
        <v>75</v>
      </c>
      <c r="E447" s="19" t="s">
        <v>961</v>
      </c>
      <c r="F447" s="75" t="s">
        <v>526</v>
      </c>
      <c r="G447" s="106" t="str">
        <f t="shared" si="53"/>
        <v>6</v>
      </c>
      <c r="H447" s="106" t="str">
        <f t="shared" si="54"/>
        <v>a</v>
      </c>
      <c r="I447" s="107" t="str">
        <f t="shared" si="55"/>
        <v>Individual and team work</v>
      </c>
      <c r="J447" s="108" t="str">
        <f t="shared" si="56"/>
        <v>Contribute as an active team member or leader to complete individual tasks</v>
      </c>
    </row>
    <row r="448" spans="1:10" x14ac:dyDescent="0.2">
      <c r="A448" s="18" t="s">
        <v>126</v>
      </c>
      <c r="B448" s="18" t="s">
        <v>941</v>
      </c>
      <c r="C448" s="18" t="s">
        <v>32</v>
      </c>
      <c r="D448" s="18" t="s">
        <v>127</v>
      </c>
      <c r="E448" s="19" t="s">
        <v>962</v>
      </c>
      <c r="F448" s="17" t="s">
        <v>506</v>
      </c>
      <c r="G448" s="109" t="str">
        <f t="shared" ref="G448:G449" si="57">IF(LEN(F448)=2,LEFT(F448,1),LEFT(F448,2))</f>
        <v>12</v>
      </c>
      <c r="H448" s="109" t="str">
        <f t="shared" ref="H448:H449" si="58">RIGHT(F448,1)</f>
        <v>b</v>
      </c>
      <c r="I448" s="107" t="str">
        <f t="shared" ref="I448:I449" si="59">IFERROR(VLOOKUP(F448,$N$2:$Q$39,4,FALSE),0)</f>
        <v>Life-long learning</v>
      </c>
      <c r="J448" s="111" t="str">
        <f t="shared" ref="J448:J449" si="60">IFERROR(VLOOKUP(F448,$N$2:$O$39,2,FALSE),0)</f>
        <v>Obtain and evaluate information or training from appropriate sources</v>
      </c>
    </row>
    <row r="449" spans="1:10" x14ac:dyDescent="0.2">
      <c r="A449" s="140" t="s">
        <v>126</v>
      </c>
      <c r="B449" s="140" t="s">
        <v>941</v>
      </c>
      <c r="C449" s="140" t="s">
        <v>32</v>
      </c>
      <c r="D449" s="140" t="s">
        <v>127</v>
      </c>
      <c r="E449" s="76" t="s">
        <v>963</v>
      </c>
      <c r="F449" s="17" t="s">
        <v>507</v>
      </c>
      <c r="G449" s="109" t="str">
        <f t="shared" si="57"/>
        <v>12</v>
      </c>
      <c r="H449" s="109" t="str">
        <f t="shared" si="58"/>
        <v>c</v>
      </c>
      <c r="I449" s="110" t="str">
        <f t="shared" si="59"/>
        <v>Life-long learning</v>
      </c>
      <c r="J449" s="111" t="str">
        <f t="shared" si="60"/>
        <v>Reflect on the use of information or training obtained</v>
      </c>
    </row>
    <row r="450" spans="1:10" ht="30" x14ac:dyDescent="0.2">
      <c r="A450" s="140" t="s">
        <v>166</v>
      </c>
      <c r="B450" s="140" t="s">
        <v>941</v>
      </c>
      <c r="C450" s="140" t="s">
        <v>32</v>
      </c>
      <c r="D450" s="140" t="s">
        <v>38</v>
      </c>
      <c r="E450" s="76" t="s">
        <v>964</v>
      </c>
      <c r="F450" s="17" t="s">
        <v>493</v>
      </c>
      <c r="G450" s="109" t="str">
        <f>IF(LEN(F450)=2,LEFT(F450,1),LEFT(F450,2))</f>
        <v>1</v>
      </c>
      <c r="H450" s="109" t="str">
        <f>RIGHT(F450,1)</f>
        <v>c</v>
      </c>
      <c r="I450" s="110" t="str">
        <f>IFERROR(VLOOKUP(F450,$N$2:$Q$39,4,FALSE),0)</f>
        <v>Knowledge base for engineering</v>
      </c>
      <c r="J450" s="111" t="str">
        <f>IFERROR(VLOOKUP(F450,$N$2:$O$39,2,FALSE),0)</f>
        <v>Demonstrate understanding of engineering fundamentals</v>
      </c>
    </row>
    <row r="451" spans="1:10" ht="45" x14ac:dyDescent="0.2">
      <c r="A451" s="140" t="s">
        <v>166</v>
      </c>
      <c r="B451" s="140" t="s">
        <v>941</v>
      </c>
      <c r="C451" s="140" t="s">
        <v>32</v>
      </c>
      <c r="D451" s="140" t="s">
        <v>38</v>
      </c>
      <c r="E451" s="19" t="s">
        <v>965</v>
      </c>
      <c r="F451" s="75" t="s">
        <v>509</v>
      </c>
      <c r="G451" s="106" t="str">
        <f t="shared" ref="G451:G453" si="61">IF(LEN(F451)=2,LEFT(F451,1),LEFT(F451,2))</f>
        <v>2</v>
      </c>
      <c r="H451" s="106" t="str">
        <f t="shared" ref="H451:H453" si="62">RIGHT(F451,1)</f>
        <v>b</v>
      </c>
      <c r="I451" s="107" t="str">
        <f t="shared" ref="I451:I453" si="63">IFERROR(VLOOKUP(F451,$N$2:$Q$39,4,FALSE),0)</f>
        <v xml:space="preserve">Problem Analysis </v>
      </c>
      <c r="J451" s="108" t="str">
        <f t="shared" ref="J451:J453" si="64">IFERROR(VLOOKUP(F451,$N$2:$O$39,2,FALSE),0)</f>
        <v>Develop / solve models of engineering problems including identifying approximations, assumptions, and constraints</v>
      </c>
    </row>
    <row r="452" spans="1:10" ht="30" x14ac:dyDescent="0.2">
      <c r="A452" s="140" t="s">
        <v>166</v>
      </c>
      <c r="B452" s="140" t="s">
        <v>941</v>
      </c>
      <c r="C452" s="140" t="s">
        <v>32</v>
      </c>
      <c r="D452" s="140" t="s">
        <v>38</v>
      </c>
      <c r="E452" s="19" t="s">
        <v>966</v>
      </c>
      <c r="F452" s="75" t="s">
        <v>509</v>
      </c>
      <c r="G452" s="106" t="str">
        <f t="shared" si="61"/>
        <v>2</v>
      </c>
      <c r="H452" s="106" t="str">
        <f t="shared" si="62"/>
        <v>b</v>
      </c>
      <c r="I452" s="107" t="str">
        <f t="shared" si="63"/>
        <v xml:space="preserve">Problem Analysis </v>
      </c>
      <c r="J452" s="108" t="str">
        <f t="shared" si="64"/>
        <v>Develop / solve models of engineering problems including identifying approximations, assumptions, and constraints</v>
      </c>
    </row>
    <row r="453" spans="1:10" ht="30" x14ac:dyDescent="0.2">
      <c r="A453" s="140" t="s">
        <v>166</v>
      </c>
      <c r="B453" s="140" t="s">
        <v>941</v>
      </c>
      <c r="C453" s="140" t="s">
        <v>32</v>
      </c>
      <c r="D453" s="140" t="s">
        <v>38</v>
      </c>
      <c r="E453" s="19" t="s">
        <v>967</v>
      </c>
      <c r="F453" s="75" t="s">
        <v>509</v>
      </c>
      <c r="G453" s="106" t="str">
        <f t="shared" si="61"/>
        <v>2</v>
      </c>
      <c r="H453" s="106" t="str">
        <f t="shared" si="62"/>
        <v>b</v>
      </c>
      <c r="I453" s="107" t="str">
        <f t="shared" si="63"/>
        <v xml:space="preserve">Problem Analysis </v>
      </c>
      <c r="J453" s="108" t="str">
        <f t="shared" si="64"/>
        <v>Develop / solve models of engineering problems including identifying approximations, assumptions, and constraints</v>
      </c>
    </row>
    <row r="454" spans="1:10" x14ac:dyDescent="0.2">
      <c r="A454" s="18" t="s">
        <v>576</v>
      </c>
      <c r="B454" s="18" t="s">
        <v>941</v>
      </c>
      <c r="C454" s="18" t="s">
        <v>33</v>
      </c>
      <c r="D454" s="18" t="s">
        <v>127</v>
      </c>
      <c r="E454" s="19" t="s">
        <v>983</v>
      </c>
      <c r="F454" s="17" t="s">
        <v>493</v>
      </c>
      <c r="G454" s="109" t="str">
        <f t="shared" ref="G454:G457" si="65">IF(LEN(F454)=2,LEFT(F454,1),LEFT(F454,2))</f>
        <v>1</v>
      </c>
      <c r="H454" s="109" t="str">
        <f t="shared" ref="H454:H457" si="66">RIGHT(F454,1)</f>
        <v>c</v>
      </c>
      <c r="I454" s="107" t="str">
        <f t="shared" ref="I454:I457" si="67">IFERROR(VLOOKUP(F454,$N$2:$Q$39,4,FALSE),0)</f>
        <v>Knowledge base for engineering</v>
      </c>
      <c r="J454" s="111" t="str">
        <f t="shared" ref="J454:J457" si="68">IFERROR(VLOOKUP(F454,$N$2:$O$39,2,FALSE),0)</f>
        <v>Demonstrate understanding of engineering fundamentals</v>
      </c>
    </row>
    <row r="455" spans="1:10" x14ac:dyDescent="0.2">
      <c r="A455" s="18" t="s">
        <v>576</v>
      </c>
      <c r="B455" s="18" t="s">
        <v>941</v>
      </c>
      <c r="C455" s="18" t="s">
        <v>33</v>
      </c>
      <c r="D455" s="18" t="s">
        <v>127</v>
      </c>
      <c r="E455" s="19" t="s">
        <v>984</v>
      </c>
      <c r="F455" s="17" t="s">
        <v>494</v>
      </c>
      <c r="G455" s="109" t="str">
        <f t="shared" si="65"/>
        <v>1</v>
      </c>
      <c r="H455" s="109" t="str">
        <f t="shared" si="66"/>
        <v>d</v>
      </c>
      <c r="I455" s="107" t="str">
        <f t="shared" si="67"/>
        <v>Knowledge base for engineering</v>
      </c>
      <c r="J455" s="111" t="str">
        <f t="shared" si="68"/>
        <v>Demonstrate understanding of specialized engineering knowledge</v>
      </c>
    </row>
    <row r="456" spans="1:10" ht="30" x14ac:dyDescent="0.2">
      <c r="A456" s="18" t="s">
        <v>576</v>
      </c>
      <c r="B456" s="18" t="s">
        <v>941</v>
      </c>
      <c r="C456" s="18" t="s">
        <v>33</v>
      </c>
      <c r="D456" s="18" t="s">
        <v>127</v>
      </c>
      <c r="E456" s="19" t="s">
        <v>985</v>
      </c>
      <c r="F456" s="17" t="s">
        <v>516</v>
      </c>
      <c r="G456" s="109" t="str">
        <f t="shared" si="65"/>
        <v>4</v>
      </c>
      <c r="H456" s="109" t="str">
        <f t="shared" si="66"/>
        <v>b</v>
      </c>
      <c r="I456" s="107" t="str">
        <f t="shared" si="67"/>
        <v>Design</v>
      </c>
      <c r="J456" s="111" t="str">
        <f t="shared" si="68"/>
        <v>Generate and implement solutions to complex open-ended problems</v>
      </c>
    </row>
    <row r="457" spans="1:10" x14ac:dyDescent="0.2">
      <c r="A457" s="18" t="s">
        <v>576</v>
      </c>
      <c r="B457" s="18" t="s">
        <v>941</v>
      </c>
      <c r="C457" s="18" t="s">
        <v>33</v>
      </c>
      <c r="D457" s="18" t="s">
        <v>127</v>
      </c>
      <c r="E457" s="76" t="s">
        <v>986</v>
      </c>
      <c r="F457" s="17" t="s">
        <v>517</v>
      </c>
      <c r="G457" s="109" t="str">
        <f t="shared" si="65"/>
        <v>4</v>
      </c>
      <c r="H457" s="109" t="str">
        <f t="shared" si="66"/>
        <v>c</v>
      </c>
      <c r="I457" s="110" t="str">
        <f t="shared" si="67"/>
        <v>Design</v>
      </c>
      <c r="J457" s="111" t="str">
        <f t="shared" si="68"/>
        <v>Evaluate/test solutions and refine designs to better meet requirements</v>
      </c>
    </row>
  </sheetData>
  <mergeCells count="12">
    <mergeCell ref="P33:P35"/>
    <mergeCell ref="P3:P6"/>
    <mergeCell ref="P7:P9"/>
    <mergeCell ref="P10:P12"/>
    <mergeCell ref="P13:P15"/>
    <mergeCell ref="P16:P18"/>
    <mergeCell ref="P19:P20"/>
    <mergeCell ref="P21:P23"/>
    <mergeCell ref="P24:P25"/>
    <mergeCell ref="P26:P27"/>
    <mergeCell ref="P28:P30"/>
    <mergeCell ref="P31:P32"/>
  </mergeCells>
  <conditionalFormatting sqref="E2:E414">
    <cfRule type="duplicateValues" dxfId="13" priority="4"/>
  </conditionalFormatting>
  <conditionalFormatting sqref="E425:E430">
    <cfRule type="cellIs" dxfId="12" priority="1" operator="equal">
      <formula>""</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L39"/>
  <sheetViews>
    <sheetView workbookViewId="0">
      <selection sqref="A1:XFD1048576"/>
    </sheetView>
  </sheetViews>
  <sheetFormatPr baseColWidth="10" defaultColWidth="37.1640625" defaultRowHeight="15" x14ac:dyDescent="0.2"/>
  <cols>
    <col min="1" max="1" width="10" bestFit="1" customWidth="1"/>
    <col min="2" max="4" width="4.5" bestFit="1" customWidth="1"/>
    <col min="5" max="7" width="5.5" bestFit="1" customWidth="1"/>
    <col min="8" max="8" width="4.5" bestFit="1" customWidth="1"/>
    <col min="9" max="12" width="5.5" bestFit="1" customWidth="1"/>
  </cols>
  <sheetData>
    <row r="1" spans="1:12" ht="28.5" customHeight="1" x14ac:dyDescent="0.2">
      <c r="A1" t="s">
        <v>478</v>
      </c>
      <c r="C1" t="s">
        <v>276</v>
      </c>
      <c r="H1" t="s">
        <v>247</v>
      </c>
    </row>
    <row r="2" spans="1:12" x14ac:dyDescent="0.2">
      <c r="D2" t="s">
        <v>13</v>
      </c>
      <c r="E2" t="s">
        <v>46</v>
      </c>
      <c r="F2" t="s">
        <v>49</v>
      </c>
      <c r="G2" t="s">
        <v>50</v>
      </c>
      <c r="I2" t="s">
        <v>14</v>
      </c>
      <c r="J2" t="s">
        <v>15</v>
      </c>
      <c r="K2" t="s">
        <v>47</v>
      </c>
      <c r="L2" t="s">
        <v>486</v>
      </c>
    </row>
    <row r="3" spans="1:12" x14ac:dyDescent="0.2">
      <c r="D3">
        <v>5</v>
      </c>
      <c r="E3">
        <v>100</v>
      </c>
      <c r="F3">
        <v>10</v>
      </c>
      <c r="G3">
        <v>100</v>
      </c>
      <c r="I3">
        <v>100</v>
      </c>
      <c r="J3">
        <v>100</v>
      </c>
      <c r="K3">
        <v>100</v>
      </c>
      <c r="L3">
        <v>5</v>
      </c>
    </row>
    <row r="4" spans="1:12" x14ac:dyDescent="0.2">
      <c r="D4">
        <v>1</v>
      </c>
      <c r="E4">
        <v>0.1</v>
      </c>
      <c r="F4">
        <v>0.5</v>
      </c>
      <c r="G4">
        <v>0.1</v>
      </c>
      <c r="I4">
        <v>0.05</v>
      </c>
      <c r="J4">
        <v>0.05</v>
      </c>
      <c r="K4">
        <v>0.1</v>
      </c>
      <c r="L4">
        <v>1</v>
      </c>
    </row>
    <row r="5" spans="1:12" x14ac:dyDescent="0.2">
      <c r="A5">
        <v>598829620</v>
      </c>
      <c r="B5" s="8">
        <v>0.28800000000000003</v>
      </c>
      <c r="C5" s="8">
        <v>0.2</v>
      </c>
      <c r="D5" s="8">
        <v>3</v>
      </c>
      <c r="E5" s="8">
        <v>15</v>
      </c>
      <c r="F5" s="8">
        <v>0</v>
      </c>
      <c r="G5" s="8">
        <v>15</v>
      </c>
      <c r="H5" s="8">
        <v>0.376</v>
      </c>
      <c r="I5" s="8">
        <v>15</v>
      </c>
      <c r="J5" s="8">
        <v>83</v>
      </c>
      <c r="K5" s="8">
        <v>15</v>
      </c>
      <c r="L5" s="8">
        <v>3</v>
      </c>
    </row>
    <row r="6" spans="1:12" x14ac:dyDescent="0.2">
      <c r="A6">
        <v>684014860</v>
      </c>
      <c r="B6" s="8">
        <v>0.6110000000000001</v>
      </c>
      <c r="C6" s="8">
        <v>0.54000000000000015</v>
      </c>
      <c r="D6" s="8">
        <v>4</v>
      </c>
      <c r="E6" s="8">
        <v>56</v>
      </c>
      <c r="F6" s="8">
        <v>2</v>
      </c>
      <c r="G6" s="8">
        <v>56</v>
      </c>
      <c r="H6" s="8">
        <v>0.68200000000000005</v>
      </c>
      <c r="I6" s="8">
        <v>56</v>
      </c>
      <c r="J6" s="8">
        <v>93</v>
      </c>
      <c r="K6" s="8">
        <v>56</v>
      </c>
      <c r="L6" s="8">
        <v>4</v>
      </c>
    </row>
    <row r="7" spans="1:12" x14ac:dyDescent="0.2">
      <c r="A7">
        <v>843228181</v>
      </c>
      <c r="B7" s="8">
        <v>0.63733333333333342</v>
      </c>
      <c r="C7" s="8">
        <v>0.65666666666666673</v>
      </c>
      <c r="D7" s="8">
        <v>5</v>
      </c>
      <c r="E7" s="8">
        <v>61</v>
      </c>
      <c r="F7" s="8">
        <v>5</v>
      </c>
      <c r="G7" s="8">
        <v>61</v>
      </c>
      <c r="H7" s="8">
        <v>0.61799999999999999</v>
      </c>
      <c r="I7" s="8">
        <v>61</v>
      </c>
      <c r="J7" s="8">
        <v>26</v>
      </c>
      <c r="K7" s="8">
        <v>61</v>
      </c>
      <c r="L7" s="8">
        <v>5</v>
      </c>
    </row>
    <row r="8" spans="1:12" x14ac:dyDescent="0.2">
      <c r="A8">
        <v>820549378</v>
      </c>
      <c r="B8" s="8">
        <v>0.4383333333333333</v>
      </c>
      <c r="C8" s="8">
        <v>0.39666666666666661</v>
      </c>
      <c r="D8" s="8">
        <v>4</v>
      </c>
      <c r="E8" s="8">
        <v>32</v>
      </c>
      <c r="F8" s="8">
        <v>3</v>
      </c>
      <c r="G8" s="8">
        <v>32</v>
      </c>
      <c r="H8" s="8">
        <v>0.48</v>
      </c>
      <c r="I8" s="8">
        <v>32</v>
      </c>
      <c r="J8" s="8">
        <v>64</v>
      </c>
      <c r="K8" s="8">
        <v>32</v>
      </c>
      <c r="L8" s="8">
        <v>4</v>
      </c>
    </row>
    <row r="9" spans="1:12" x14ac:dyDescent="0.2">
      <c r="A9">
        <v>533572169</v>
      </c>
      <c r="B9" s="8">
        <v>0.30499999999999999</v>
      </c>
      <c r="C9" s="8">
        <v>0.35</v>
      </c>
      <c r="D9" s="8">
        <v>0</v>
      </c>
      <c r="E9" s="8">
        <v>30</v>
      </c>
      <c r="F9" s="8">
        <v>9</v>
      </c>
      <c r="G9" s="8">
        <v>30</v>
      </c>
      <c r="H9" s="8">
        <v>0.26</v>
      </c>
      <c r="I9" s="8">
        <v>30</v>
      </c>
      <c r="J9" s="8">
        <v>40</v>
      </c>
      <c r="K9" s="8">
        <v>30</v>
      </c>
      <c r="L9" s="8">
        <v>0</v>
      </c>
    </row>
    <row r="10" spans="1:12" x14ac:dyDescent="0.2">
      <c r="A10">
        <v>975325712</v>
      </c>
      <c r="B10" s="8">
        <v>0.43533333333333335</v>
      </c>
      <c r="C10" s="8">
        <v>0.46666666666666667</v>
      </c>
      <c r="D10" s="8">
        <v>2</v>
      </c>
      <c r="E10" s="8">
        <v>40</v>
      </c>
      <c r="F10" s="8">
        <v>8</v>
      </c>
      <c r="G10" s="8">
        <v>40</v>
      </c>
      <c r="H10" s="8">
        <v>0.40399999999999997</v>
      </c>
      <c r="I10" s="8">
        <v>40</v>
      </c>
      <c r="J10" s="8">
        <v>42</v>
      </c>
      <c r="K10" s="8">
        <v>40</v>
      </c>
      <c r="L10" s="8">
        <v>2</v>
      </c>
    </row>
    <row r="11" spans="1:12" x14ac:dyDescent="0.2">
      <c r="A11">
        <v>310082419</v>
      </c>
      <c r="B11" s="8">
        <v>0.20233333333333334</v>
      </c>
      <c r="C11" s="8">
        <v>0.17666666666666669</v>
      </c>
      <c r="D11" s="8">
        <v>3</v>
      </c>
      <c r="E11" s="8">
        <v>4</v>
      </c>
      <c r="F11" s="8">
        <v>3</v>
      </c>
      <c r="G11" s="8">
        <v>4</v>
      </c>
      <c r="H11" s="8">
        <v>0.22800000000000001</v>
      </c>
      <c r="I11" s="8">
        <v>4</v>
      </c>
      <c r="J11" s="8">
        <v>42</v>
      </c>
      <c r="K11" s="8">
        <v>4</v>
      </c>
      <c r="L11" s="8">
        <v>3</v>
      </c>
    </row>
    <row r="12" spans="1:12" x14ac:dyDescent="0.2">
      <c r="A12">
        <v>242132470</v>
      </c>
      <c r="B12" s="8">
        <v>0.21299999999999999</v>
      </c>
      <c r="C12" s="8">
        <v>0.23999999999999996</v>
      </c>
      <c r="D12" s="8">
        <v>0</v>
      </c>
      <c r="E12" s="8">
        <v>11</v>
      </c>
      <c r="F12" s="8">
        <v>10</v>
      </c>
      <c r="G12" s="8">
        <v>11</v>
      </c>
      <c r="H12" s="8">
        <v>0.18600000000000003</v>
      </c>
      <c r="I12" s="8">
        <v>11</v>
      </c>
      <c r="J12" s="8">
        <v>60</v>
      </c>
      <c r="K12" s="8">
        <v>11</v>
      </c>
      <c r="L12" s="8">
        <v>0</v>
      </c>
    </row>
    <row r="13" spans="1:12" x14ac:dyDescent="0.2">
      <c r="A13">
        <v>208248363</v>
      </c>
      <c r="B13" s="8">
        <v>0.55300000000000005</v>
      </c>
      <c r="C13" s="8">
        <v>0.59000000000000008</v>
      </c>
      <c r="D13" s="8">
        <v>4</v>
      </c>
      <c r="E13" s="8">
        <v>51</v>
      </c>
      <c r="F13" s="8">
        <v>7</v>
      </c>
      <c r="G13" s="8">
        <v>51</v>
      </c>
      <c r="H13" s="8">
        <v>0.51600000000000001</v>
      </c>
      <c r="I13" s="8">
        <v>51</v>
      </c>
      <c r="J13" s="8">
        <v>25</v>
      </c>
      <c r="K13" s="8">
        <v>51</v>
      </c>
      <c r="L13" s="8">
        <v>4</v>
      </c>
    </row>
    <row r="14" spans="1:12" x14ac:dyDescent="0.2">
      <c r="A14">
        <v>277055951</v>
      </c>
      <c r="B14" s="8">
        <v>0.316</v>
      </c>
      <c r="C14" s="8">
        <v>0.33999999999999997</v>
      </c>
      <c r="D14" s="8">
        <v>2</v>
      </c>
      <c r="E14" s="8">
        <v>26</v>
      </c>
      <c r="F14" s="8">
        <v>6</v>
      </c>
      <c r="G14" s="8">
        <v>26</v>
      </c>
      <c r="H14" s="8">
        <v>0.29200000000000004</v>
      </c>
      <c r="I14" s="8">
        <v>26</v>
      </c>
      <c r="J14" s="8">
        <v>28</v>
      </c>
      <c r="K14" s="8">
        <v>26</v>
      </c>
      <c r="L14" s="8">
        <v>2</v>
      </c>
    </row>
    <row r="15" spans="1:12" x14ac:dyDescent="0.2">
      <c r="A15">
        <v>902907559</v>
      </c>
      <c r="B15" s="8">
        <v>0.86466666666666669</v>
      </c>
      <c r="C15" s="8">
        <v>0.82333333333333347</v>
      </c>
      <c r="D15" s="8">
        <v>5</v>
      </c>
      <c r="E15" s="8">
        <v>86</v>
      </c>
      <c r="F15" s="8">
        <v>5</v>
      </c>
      <c r="G15" s="8">
        <v>86</v>
      </c>
      <c r="H15" s="8">
        <v>0.90599999999999992</v>
      </c>
      <c r="I15" s="8">
        <v>86</v>
      </c>
      <c r="J15" s="8">
        <v>95</v>
      </c>
      <c r="K15" s="8">
        <v>86</v>
      </c>
      <c r="L15" s="8">
        <v>5</v>
      </c>
    </row>
    <row r="16" spans="1:12" x14ac:dyDescent="0.2">
      <c r="A16">
        <v>528297980</v>
      </c>
      <c r="B16" s="8">
        <v>0.61799999999999999</v>
      </c>
      <c r="C16" s="8">
        <v>0.62</v>
      </c>
      <c r="D16" s="8">
        <v>3</v>
      </c>
      <c r="E16" s="8">
        <v>58</v>
      </c>
      <c r="F16" s="8">
        <v>8</v>
      </c>
      <c r="G16" s="8">
        <v>58</v>
      </c>
      <c r="H16" s="8">
        <v>0.6160000000000001</v>
      </c>
      <c r="I16" s="8">
        <v>58</v>
      </c>
      <c r="J16" s="8">
        <v>74</v>
      </c>
      <c r="K16" s="8">
        <v>58</v>
      </c>
      <c r="L16" s="8">
        <v>3</v>
      </c>
    </row>
    <row r="17" spans="1:12" x14ac:dyDescent="0.2">
      <c r="A17">
        <v>444882790</v>
      </c>
      <c r="B17" s="8">
        <v>0.3203333333333333</v>
      </c>
      <c r="C17" s="8">
        <v>0.31666666666666665</v>
      </c>
      <c r="D17" s="8">
        <v>4</v>
      </c>
      <c r="E17" s="8">
        <v>5</v>
      </c>
      <c r="F17" s="8">
        <v>9</v>
      </c>
      <c r="G17" s="8">
        <v>5</v>
      </c>
      <c r="H17" s="8">
        <v>0.32400000000000001</v>
      </c>
      <c r="I17" s="8">
        <v>5</v>
      </c>
      <c r="J17" s="8">
        <v>67</v>
      </c>
      <c r="K17" s="8">
        <v>5</v>
      </c>
      <c r="L17" s="8">
        <v>4</v>
      </c>
    </row>
    <row r="18" spans="1:12" x14ac:dyDescent="0.2">
      <c r="A18">
        <v>112085131</v>
      </c>
      <c r="B18" s="8">
        <v>0.17566666666666667</v>
      </c>
      <c r="C18" s="8">
        <v>0.15333333333333332</v>
      </c>
      <c r="D18" s="8">
        <v>0</v>
      </c>
      <c r="E18" s="8">
        <v>13</v>
      </c>
      <c r="F18" s="8">
        <v>4</v>
      </c>
      <c r="G18" s="8">
        <v>13</v>
      </c>
      <c r="H18" s="8">
        <v>0.19800000000000001</v>
      </c>
      <c r="I18" s="8">
        <v>13</v>
      </c>
      <c r="J18" s="8">
        <v>60</v>
      </c>
      <c r="K18" s="8">
        <v>13</v>
      </c>
      <c r="L18" s="8">
        <v>0</v>
      </c>
    </row>
    <row r="19" spans="1:12" x14ac:dyDescent="0.2">
      <c r="A19">
        <v>588642518</v>
      </c>
      <c r="B19" s="8">
        <v>0.66733333333333344</v>
      </c>
      <c r="C19" s="8">
        <v>0.62666666666666671</v>
      </c>
      <c r="D19" s="8">
        <v>0</v>
      </c>
      <c r="E19" s="8">
        <v>94</v>
      </c>
      <c r="F19" s="8">
        <v>0</v>
      </c>
      <c r="G19" s="8">
        <v>94</v>
      </c>
      <c r="H19" s="8">
        <v>0.70800000000000007</v>
      </c>
      <c r="I19" s="8">
        <v>94</v>
      </c>
      <c r="J19" s="8">
        <v>72</v>
      </c>
      <c r="K19" s="8">
        <v>94</v>
      </c>
      <c r="L19" s="8">
        <v>0</v>
      </c>
    </row>
    <row r="20" spans="1:12" x14ac:dyDescent="0.2">
      <c r="A20">
        <v>414520736</v>
      </c>
      <c r="B20" s="8">
        <v>0.64400000000000002</v>
      </c>
      <c r="C20" s="8">
        <v>0.74</v>
      </c>
      <c r="D20" s="8">
        <v>1</v>
      </c>
      <c r="E20" s="8">
        <v>81</v>
      </c>
      <c r="F20" s="8">
        <v>10</v>
      </c>
      <c r="G20" s="8">
        <v>81</v>
      </c>
      <c r="H20" s="8">
        <v>0.54799999999999993</v>
      </c>
      <c r="I20" s="8">
        <v>81</v>
      </c>
      <c r="J20" s="8">
        <v>11</v>
      </c>
      <c r="K20" s="8">
        <v>81</v>
      </c>
      <c r="L20" s="8">
        <v>1</v>
      </c>
    </row>
    <row r="21" spans="1:12" x14ac:dyDescent="0.2">
      <c r="A21">
        <v>356558346</v>
      </c>
      <c r="B21" s="8">
        <v>0.5073333333333333</v>
      </c>
      <c r="C21" s="8">
        <v>0.53666666666666674</v>
      </c>
      <c r="D21" s="8">
        <v>3</v>
      </c>
      <c r="E21" s="8">
        <v>43</v>
      </c>
      <c r="F21" s="8">
        <v>9</v>
      </c>
      <c r="G21" s="8">
        <v>43</v>
      </c>
      <c r="H21" s="8">
        <v>0.47799999999999998</v>
      </c>
      <c r="I21" s="8">
        <v>43</v>
      </c>
      <c r="J21" s="8">
        <v>50</v>
      </c>
      <c r="K21" s="8">
        <v>43</v>
      </c>
      <c r="L21" s="8">
        <v>3</v>
      </c>
    </row>
    <row r="22" spans="1:12" x14ac:dyDescent="0.2">
      <c r="A22">
        <v>970698993</v>
      </c>
      <c r="B22" s="8">
        <v>0.81966666666666665</v>
      </c>
      <c r="C22" s="8">
        <v>0.83333333333333337</v>
      </c>
      <c r="D22" s="8">
        <v>2</v>
      </c>
      <c r="E22" s="8">
        <v>95</v>
      </c>
      <c r="F22" s="8">
        <v>8</v>
      </c>
      <c r="G22" s="8">
        <v>95</v>
      </c>
      <c r="H22" s="8">
        <v>0.80599999999999994</v>
      </c>
      <c r="I22" s="8">
        <v>95</v>
      </c>
      <c r="J22" s="8">
        <v>78</v>
      </c>
      <c r="K22" s="8">
        <v>95</v>
      </c>
      <c r="L22" s="8">
        <v>2</v>
      </c>
    </row>
    <row r="23" spans="1:12" x14ac:dyDescent="0.2">
      <c r="A23">
        <v>633537205</v>
      </c>
      <c r="B23" s="8">
        <v>0.3076666666666667</v>
      </c>
      <c r="C23" s="8">
        <v>0.27333333333333332</v>
      </c>
      <c r="D23" s="8">
        <v>1</v>
      </c>
      <c r="E23" s="8">
        <v>36</v>
      </c>
      <c r="F23" s="8">
        <v>0</v>
      </c>
      <c r="G23" s="8">
        <v>36</v>
      </c>
      <c r="H23" s="8">
        <v>0.34200000000000003</v>
      </c>
      <c r="I23" s="8">
        <v>36</v>
      </c>
      <c r="J23" s="8">
        <v>43</v>
      </c>
      <c r="K23" s="8">
        <v>36</v>
      </c>
      <c r="L23" s="8">
        <v>1</v>
      </c>
    </row>
    <row r="24" spans="1:12" x14ac:dyDescent="0.2">
      <c r="A24">
        <v>534292868</v>
      </c>
      <c r="B24" s="8">
        <v>0.77300000000000002</v>
      </c>
      <c r="C24" s="8">
        <v>0.75</v>
      </c>
      <c r="D24" s="8">
        <v>2</v>
      </c>
      <c r="E24" s="8">
        <v>90</v>
      </c>
      <c r="F24" s="8">
        <v>5</v>
      </c>
      <c r="G24" s="8">
        <v>90</v>
      </c>
      <c r="H24" s="8">
        <v>0.79599999999999993</v>
      </c>
      <c r="I24" s="8">
        <v>90</v>
      </c>
      <c r="J24" s="8">
        <v>88</v>
      </c>
      <c r="K24" s="8">
        <v>90</v>
      </c>
      <c r="L24" s="8">
        <v>2</v>
      </c>
    </row>
    <row r="25" spans="1:12" x14ac:dyDescent="0.2">
      <c r="A25">
        <v>816787809</v>
      </c>
      <c r="B25" s="8">
        <v>0.57566666666666666</v>
      </c>
      <c r="C25" s="8">
        <v>0.61333333333333329</v>
      </c>
      <c r="D25" s="8">
        <v>5</v>
      </c>
      <c r="E25" s="8">
        <v>47</v>
      </c>
      <c r="F25" s="8">
        <v>8</v>
      </c>
      <c r="G25" s="8">
        <v>47</v>
      </c>
      <c r="H25" s="8">
        <v>0.53799999999999992</v>
      </c>
      <c r="I25" s="8">
        <v>47</v>
      </c>
      <c r="J25" s="8">
        <v>28</v>
      </c>
      <c r="K25" s="8">
        <v>47</v>
      </c>
      <c r="L25" s="8">
        <v>5</v>
      </c>
    </row>
    <row r="26" spans="1:12" x14ac:dyDescent="0.2">
      <c r="A26">
        <v>220052551</v>
      </c>
      <c r="B26" s="8">
        <v>0.64300000000000002</v>
      </c>
      <c r="C26" s="8">
        <v>0.71000000000000008</v>
      </c>
      <c r="D26" s="8">
        <v>3</v>
      </c>
      <c r="E26" s="8">
        <v>74</v>
      </c>
      <c r="F26" s="8">
        <v>7</v>
      </c>
      <c r="G26" s="8">
        <v>74</v>
      </c>
      <c r="H26" s="8">
        <v>0.57600000000000007</v>
      </c>
      <c r="I26" s="8">
        <v>74</v>
      </c>
      <c r="J26" s="8">
        <v>6</v>
      </c>
      <c r="K26" s="8">
        <v>74</v>
      </c>
      <c r="L26" s="8">
        <v>3</v>
      </c>
    </row>
    <row r="27" spans="1:12" x14ac:dyDescent="0.2">
      <c r="A27">
        <v>858571733</v>
      </c>
      <c r="B27" s="8">
        <v>0.28500000000000003</v>
      </c>
      <c r="C27" s="8">
        <v>0.26</v>
      </c>
      <c r="D27" s="8">
        <v>1</v>
      </c>
      <c r="E27" s="8">
        <v>19</v>
      </c>
      <c r="F27" s="8">
        <v>6</v>
      </c>
      <c r="G27" s="8">
        <v>19</v>
      </c>
      <c r="H27" s="8">
        <v>0.31000000000000005</v>
      </c>
      <c r="I27" s="8">
        <v>19</v>
      </c>
      <c r="J27" s="8">
        <v>78</v>
      </c>
      <c r="K27" s="8">
        <v>19</v>
      </c>
      <c r="L27" s="8">
        <v>1</v>
      </c>
    </row>
    <row r="28" spans="1:12" x14ac:dyDescent="0.2">
      <c r="A28">
        <v>363436152</v>
      </c>
      <c r="B28" s="8">
        <v>0.28066666666666668</v>
      </c>
      <c r="C28" s="8">
        <v>0.32333333333333331</v>
      </c>
      <c r="D28" s="8">
        <v>2</v>
      </c>
      <c r="E28" s="8">
        <v>21</v>
      </c>
      <c r="F28" s="8">
        <v>7</v>
      </c>
      <c r="G28" s="8">
        <v>21</v>
      </c>
      <c r="H28" s="8">
        <v>0.23800000000000002</v>
      </c>
      <c r="I28" s="8">
        <v>21</v>
      </c>
      <c r="J28" s="8">
        <v>16</v>
      </c>
      <c r="K28" s="8">
        <v>21</v>
      </c>
      <c r="L28" s="8">
        <v>2</v>
      </c>
    </row>
    <row r="29" spans="1:12" x14ac:dyDescent="0.2">
      <c r="A29">
        <v>393495083</v>
      </c>
      <c r="B29" s="8">
        <v>0.73199999999999998</v>
      </c>
      <c r="C29" s="8">
        <v>0.74</v>
      </c>
      <c r="D29" s="8">
        <v>1</v>
      </c>
      <c r="E29" s="8">
        <v>91</v>
      </c>
      <c r="F29" s="8">
        <v>6</v>
      </c>
      <c r="G29" s="8">
        <v>91</v>
      </c>
      <c r="H29" s="8">
        <v>0.72400000000000009</v>
      </c>
      <c r="I29" s="8">
        <v>91</v>
      </c>
      <c r="J29" s="8">
        <v>69</v>
      </c>
      <c r="K29" s="8">
        <v>91</v>
      </c>
      <c r="L29" s="8">
        <v>1</v>
      </c>
    </row>
    <row r="30" spans="1:12" x14ac:dyDescent="0.2">
      <c r="A30">
        <v>769635714</v>
      </c>
      <c r="B30" s="8">
        <v>0.78066666666666673</v>
      </c>
      <c r="C30" s="8">
        <v>0.80333333333333334</v>
      </c>
      <c r="D30" s="8">
        <v>2</v>
      </c>
      <c r="E30" s="8">
        <v>88</v>
      </c>
      <c r="F30" s="8">
        <v>9</v>
      </c>
      <c r="G30" s="8">
        <v>88</v>
      </c>
      <c r="H30" s="8">
        <v>0.75800000000000012</v>
      </c>
      <c r="I30" s="8">
        <v>88</v>
      </c>
      <c r="J30" s="8">
        <v>75</v>
      </c>
      <c r="K30" s="8">
        <v>88</v>
      </c>
      <c r="L30" s="8">
        <v>2</v>
      </c>
    </row>
    <row r="31" spans="1:12" x14ac:dyDescent="0.2">
      <c r="A31">
        <v>373048949</v>
      </c>
      <c r="B31" s="8">
        <v>0.71133333333333337</v>
      </c>
      <c r="C31" s="8">
        <v>0.76666666666666672</v>
      </c>
      <c r="D31" s="8">
        <v>2</v>
      </c>
      <c r="E31" s="8">
        <v>80</v>
      </c>
      <c r="F31" s="8">
        <v>10</v>
      </c>
      <c r="G31" s="8">
        <v>80</v>
      </c>
      <c r="H31" s="8">
        <v>0.65599999999999992</v>
      </c>
      <c r="I31" s="8">
        <v>80</v>
      </c>
      <c r="J31" s="8">
        <v>48</v>
      </c>
      <c r="K31" s="8">
        <v>80</v>
      </c>
      <c r="L31" s="8">
        <v>2</v>
      </c>
    </row>
    <row r="32" spans="1:12" x14ac:dyDescent="0.2">
      <c r="A32">
        <v>357061292</v>
      </c>
      <c r="B32" s="8">
        <v>0.29533333333333334</v>
      </c>
      <c r="C32" s="8">
        <v>0.31666666666666665</v>
      </c>
      <c r="D32" s="8">
        <v>5</v>
      </c>
      <c r="E32" s="8">
        <v>10</v>
      </c>
      <c r="F32" s="8">
        <v>5</v>
      </c>
      <c r="G32" s="8">
        <v>10</v>
      </c>
      <c r="H32" s="8">
        <v>0.27399999999999997</v>
      </c>
      <c r="I32" s="8">
        <v>10</v>
      </c>
      <c r="J32" s="8">
        <v>7</v>
      </c>
      <c r="K32" s="8">
        <v>10</v>
      </c>
      <c r="L32" s="8">
        <v>5</v>
      </c>
    </row>
    <row r="33" spans="1:12" x14ac:dyDescent="0.2">
      <c r="A33">
        <v>837310284</v>
      </c>
      <c r="B33" s="8">
        <v>0.3183333333333333</v>
      </c>
      <c r="C33" s="8">
        <v>0.36666666666666664</v>
      </c>
      <c r="D33" s="8">
        <v>0</v>
      </c>
      <c r="E33" s="8">
        <v>45</v>
      </c>
      <c r="F33" s="8">
        <v>4</v>
      </c>
      <c r="G33" s="8">
        <v>45</v>
      </c>
      <c r="H33" s="8">
        <v>0.27</v>
      </c>
      <c r="I33" s="8">
        <v>45</v>
      </c>
      <c r="J33" s="8">
        <v>0</v>
      </c>
      <c r="K33" s="8">
        <v>45</v>
      </c>
      <c r="L33" s="8">
        <v>0</v>
      </c>
    </row>
    <row r="34" spans="1:12" x14ac:dyDescent="0.2">
      <c r="A34">
        <v>815854164</v>
      </c>
      <c r="B34" s="8">
        <v>0.70333333333333337</v>
      </c>
      <c r="C34" s="8">
        <v>0.67666666666666664</v>
      </c>
      <c r="D34" s="8">
        <v>0</v>
      </c>
      <c r="E34" s="8">
        <v>89</v>
      </c>
      <c r="F34" s="8">
        <v>5</v>
      </c>
      <c r="G34" s="8">
        <v>89</v>
      </c>
      <c r="H34" s="8">
        <v>0.73</v>
      </c>
      <c r="I34" s="8">
        <v>89</v>
      </c>
      <c r="J34" s="8">
        <v>98</v>
      </c>
      <c r="K34" s="8">
        <v>89</v>
      </c>
      <c r="L34" s="8">
        <v>0</v>
      </c>
    </row>
    <row r="35" spans="1:12" x14ac:dyDescent="0.2">
      <c r="A35">
        <v>315378369</v>
      </c>
      <c r="B35" s="8">
        <v>0.22033333333333335</v>
      </c>
      <c r="C35" s="8">
        <v>0.19666666666666668</v>
      </c>
      <c r="D35" s="8">
        <v>2</v>
      </c>
      <c r="E35" s="8">
        <v>12</v>
      </c>
      <c r="F35" s="8">
        <v>3</v>
      </c>
      <c r="G35" s="8">
        <v>12</v>
      </c>
      <c r="H35" s="8">
        <v>0.24400000000000002</v>
      </c>
      <c r="I35" s="8">
        <v>12</v>
      </c>
      <c r="J35" s="8">
        <v>46</v>
      </c>
      <c r="K35" s="8">
        <v>12</v>
      </c>
      <c r="L35" s="8">
        <v>2</v>
      </c>
    </row>
    <row r="36" spans="1:12" x14ac:dyDescent="0.2">
      <c r="A36">
        <v>564410540</v>
      </c>
      <c r="B36" s="8">
        <v>0.29433333333333334</v>
      </c>
      <c r="C36" s="8">
        <v>0.30666666666666664</v>
      </c>
      <c r="D36" s="8">
        <v>2</v>
      </c>
      <c r="E36" s="8">
        <v>21</v>
      </c>
      <c r="F36" s="8">
        <v>6</v>
      </c>
      <c r="G36" s="8">
        <v>21</v>
      </c>
      <c r="H36" s="8">
        <v>0.28200000000000003</v>
      </c>
      <c r="I36" s="8">
        <v>21</v>
      </c>
      <c r="J36" s="8">
        <v>38</v>
      </c>
      <c r="K36" s="8">
        <v>21</v>
      </c>
      <c r="L36" s="8">
        <v>2</v>
      </c>
    </row>
    <row r="37" spans="1:12" x14ac:dyDescent="0.2">
      <c r="A37">
        <v>126539887</v>
      </c>
      <c r="B37" s="8">
        <v>0.31700000000000006</v>
      </c>
      <c r="C37" s="8">
        <v>0.28000000000000003</v>
      </c>
      <c r="D37" s="8">
        <v>3</v>
      </c>
      <c r="E37" s="8">
        <v>7</v>
      </c>
      <c r="F37" s="8">
        <v>8</v>
      </c>
      <c r="G37" s="8">
        <v>7</v>
      </c>
      <c r="H37" s="8">
        <v>0.35400000000000004</v>
      </c>
      <c r="I37" s="8">
        <v>7</v>
      </c>
      <c r="J37" s="8">
        <v>96</v>
      </c>
      <c r="K37" s="8">
        <v>7</v>
      </c>
      <c r="L37" s="8">
        <v>3</v>
      </c>
    </row>
    <row r="38" spans="1:12" x14ac:dyDescent="0.2">
      <c r="A38">
        <v>563937624</v>
      </c>
      <c r="B38" s="8">
        <v>0.33566666666666667</v>
      </c>
      <c r="C38" s="8">
        <v>0.28333333333333333</v>
      </c>
      <c r="D38" s="8">
        <v>4</v>
      </c>
      <c r="E38" s="8">
        <v>5</v>
      </c>
      <c r="F38" s="8">
        <v>7</v>
      </c>
      <c r="G38" s="8">
        <v>5</v>
      </c>
      <c r="H38" s="8">
        <v>0.38799999999999996</v>
      </c>
      <c r="I38" s="8">
        <v>5</v>
      </c>
      <c r="J38" s="8">
        <v>99</v>
      </c>
      <c r="K38" s="8">
        <v>5</v>
      </c>
      <c r="L38" s="8">
        <v>4</v>
      </c>
    </row>
    <row r="39" spans="1:12" x14ac:dyDescent="0.2">
      <c r="A39">
        <v>684291511</v>
      </c>
      <c r="B39" s="8">
        <v>0.40466666666666662</v>
      </c>
      <c r="C39" s="8">
        <v>0.46333333333333326</v>
      </c>
      <c r="D39" s="8">
        <v>2</v>
      </c>
      <c r="E39" s="8">
        <v>37</v>
      </c>
      <c r="F39" s="8">
        <v>9</v>
      </c>
      <c r="G39" s="8">
        <v>37</v>
      </c>
      <c r="H39" s="8">
        <v>0.34600000000000003</v>
      </c>
      <c r="I39" s="8">
        <v>37</v>
      </c>
      <c r="J39" s="8">
        <v>22</v>
      </c>
      <c r="K39" s="8">
        <v>37</v>
      </c>
      <c r="L39" s="8">
        <v>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H39"/>
  <sheetViews>
    <sheetView workbookViewId="0">
      <selection sqref="A1:XFD1048576"/>
    </sheetView>
  </sheetViews>
  <sheetFormatPr baseColWidth="10" defaultColWidth="8.83203125" defaultRowHeight="15" x14ac:dyDescent="0.2"/>
  <cols>
    <col min="1" max="1" width="10" bestFit="1" customWidth="1"/>
    <col min="2" max="3" width="4.5" bestFit="1" customWidth="1"/>
    <col min="4" max="4" width="5.5" bestFit="1" customWidth="1"/>
    <col min="5" max="5" width="4.5" bestFit="1" customWidth="1"/>
    <col min="6" max="13" width="5.5" bestFit="1" customWidth="1"/>
    <col min="14" max="15" width="6" bestFit="1" customWidth="1"/>
    <col min="16" max="20" width="5.5" bestFit="1" customWidth="1"/>
    <col min="21" max="21" width="5.5" customWidth="1"/>
    <col min="22" max="22" width="4.5" bestFit="1" customWidth="1"/>
    <col min="23" max="23" width="7.83203125" customWidth="1"/>
    <col min="24" max="24" width="3.6640625" bestFit="1" customWidth="1"/>
    <col min="25" max="25" width="2.1640625" bestFit="1" customWidth="1"/>
  </cols>
  <sheetData>
    <row r="1" spans="1:8" ht="43.5" customHeight="1" x14ac:dyDescent="0.2">
      <c r="A1" t="s">
        <v>40</v>
      </c>
      <c r="C1" t="s">
        <v>435</v>
      </c>
      <c r="E1" t="s">
        <v>393</v>
      </c>
    </row>
    <row r="2" spans="1:8" x14ac:dyDescent="0.2">
      <c r="D2" t="s">
        <v>46</v>
      </c>
      <c r="F2" t="s">
        <v>14</v>
      </c>
      <c r="G2" t="s">
        <v>16</v>
      </c>
      <c r="H2" t="s">
        <v>49</v>
      </c>
    </row>
    <row r="3" spans="1:8" x14ac:dyDescent="0.2">
      <c r="D3">
        <v>100</v>
      </c>
      <c r="F3">
        <v>100</v>
      </c>
      <c r="G3">
        <v>100</v>
      </c>
      <c r="H3">
        <v>10</v>
      </c>
    </row>
    <row r="4" spans="1:8" x14ac:dyDescent="0.2">
      <c r="D4">
        <v>0.1</v>
      </c>
      <c r="F4">
        <v>0.05</v>
      </c>
      <c r="G4">
        <v>0.05</v>
      </c>
      <c r="H4">
        <v>0.5</v>
      </c>
    </row>
    <row r="5" spans="1:8" x14ac:dyDescent="0.2">
      <c r="A5">
        <v>598829620</v>
      </c>
      <c r="B5" s="8">
        <v>0.19166666666666665</v>
      </c>
      <c r="C5" s="8">
        <v>0.15</v>
      </c>
      <c r="D5" s="8">
        <v>15</v>
      </c>
      <c r="E5" s="8">
        <v>0.23333333333333334</v>
      </c>
      <c r="F5" s="8">
        <v>15</v>
      </c>
      <c r="G5" s="8">
        <v>55</v>
      </c>
      <c r="H5" s="8">
        <v>0</v>
      </c>
    </row>
    <row r="6" spans="1:8" x14ac:dyDescent="0.2">
      <c r="A6">
        <v>684014860</v>
      </c>
      <c r="B6" s="8">
        <v>0.42166666666666669</v>
      </c>
      <c r="C6" s="8">
        <v>0.56000000000000005</v>
      </c>
      <c r="D6" s="8">
        <v>56</v>
      </c>
      <c r="E6" s="8">
        <v>0.28333333333333333</v>
      </c>
      <c r="F6" s="8">
        <v>56</v>
      </c>
      <c r="G6" s="8">
        <v>9</v>
      </c>
      <c r="H6" s="8">
        <v>2</v>
      </c>
    </row>
    <row r="7" spans="1:8" x14ac:dyDescent="0.2">
      <c r="A7">
        <v>843228181</v>
      </c>
      <c r="B7" s="8">
        <v>0.52166666666666672</v>
      </c>
      <c r="C7" s="8">
        <v>0.6100000000000001</v>
      </c>
      <c r="D7" s="8">
        <v>61</v>
      </c>
      <c r="E7" s="8">
        <v>0.43333333333333335</v>
      </c>
      <c r="F7" s="8">
        <v>61</v>
      </c>
      <c r="G7" s="8">
        <v>19</v>
      </c>
      <c r="H7" s="8">
        <v>5</v>
      </c>
    </row>
    <row r="8" spans="1:8" x14ac:dyDescent="0.2">
      <c r="A8">
        <v>820549378</v>
      </c>
      <c r="B8" s="8">
        <v>0.39500000000000002</v>
      </c>
      <c r="C8" s="8">
        <v>0.32</v>
      </c>
      <c r="D8" s="8">
        <v>32</v>
      </c>
      <c r="E8" s="8">
        <v>0.47000000000000003</v>
      </c>
      <c r="F8" s="8">
        <v>32</v>
      </c>
      <c r="G8" s="8">
        <v>79</v>
      </c>
      <c r="H8" s="8">
        <v>3</v>
      </c>
    </row>
    <row r="9" spans="1:8" x14ac:dyDescent="0.2">
      <c r="A9">
        <v>533572169</v>
      </c>
      <c r="B9" s="8">
        <v>0.4966666666666667</v>
      </c>
      <c r="C9" s="8">
        <v>0.3</v>
      </c>
      <c r="D9" s="8">
        <v>30</v>
      </c>
      <c r="E9" s="8">
        <v>0.69333333333333336</v>
      </c>
      <c r="F9" s="8">
        <v>30</v>
      </c>
      <c r="G9" s="8">
        <v>88</v>
      </c>
      <c r="H9" s="8">
        <v>9</v>
      </c>
    </row>
    <row r="10" spans="1:8" x14ac:dyDescent="0.2">
      <c r="A10">
        <v>975325712</v>
      </c>
      <c r="B10" s="8">
        <v>0.505</v>
      </c>
      <c r="C10" s="8">
        <v>0.4</v>
      </c>
      <c r="D10" s="8">
        <v>40</v>
      </c>
      <c r="E10" s="8">
        <v>0.61</v>
      </c>
      <c r="F10" s="8">
        <v>40</v>
      </c>
      <c r="G10" s="8">
        <v>63</v>
      </c>
      <c r="H10" s="8">
        <v>8</v>
      </c>
    </row>
    <row r="11" spans="1:8" x14ac:dyDescent="0.2">
      <c r="A11">
        <v>310082419</v>
      </c>
      <c r="B11" s="8">
        <v>0.21500000000000002</v>
      </c>
      <c r="C11" s="8">
        <v>0.04</v>
      </c>
      <c r="D11" s="8">
        <v>4</v>
      </c>
      <c r="E11" s="8">
        <v>0.39</v>
      </c>
      <c r="F11" s="8">
        <v>4</v>
      </c>
      <c r="G11" s="8">
        <v>83</v>
      </c>
      <c r="H11" s="8">
        <v>3</v>
      </c>
    </row>
    <row r="12" spans="1:8" x14ac:dyDescent="0.2">
      <c r="A12">
        <v>242132470</v>
      </c>
      <c r="B12" s="8">
        <v>0.33166666666666672</v>
      </c>
      <c r="C12" s="8">
        <v>0.11000000000000001</v>
      </c>
      <c r="D12" s="8">
        <v>11</v>
      </c>
      <c r="E12" s="8">
        <v>0.55333333333333334</v>
      </c>
      <c r="F12" s="8">
        <v>11</v>
      </c>
      <c r="G12" s="8">
        <v>55</v>
      </c>
      <c r="H12" s="8">
        <v>10</v>
      </c>
    </row>
    <row r="13" spans="1:8" x14ac:dyDescent="0.2">
      <c r="A13">
        <v>208248363</v>
      </c>
      <c r="B13" s="8">
        <v>0.55333333333333334</v>
      </c>
      <c r="C13" s="8">
        <v>0.51</v>
      </c>
      <c r="D13" s="8">
        <v>51</v>
      </c>
      <c r="E13" s="8">
        <v>0.59666666666666679</v>
      </c>
      <c r="F13" s="8">
        <v>51</v>
      </c>
      <c r="G13" s="8">
        <v>58</v>
      </c>
      <c r="H13" s="8">
        <v>7</v>
      </c>
    </row>
    <row r="14" spans="1:8" x14ac:dyDescent="0.2">
      <c r="A14">
        <v>277055951</v>
      </c>
      <c r="B14" s="8">
        <v>0.4333333333333334</v>
      </c>
      <c r="C14" s="8">
        <v>0.26</v>
      </c>
      <c r="D14" s="8">
        <v>26</v>
      </c>
      <c r="E14" s="8">
        <v>0.6066666666666668</v>
      </c>
      <c r="F14" s="8">
        <v>26</v>
      </c>
      <c r="G14" s="8">
        <v>96</v>
      </c>
      <c r="H14" s="8">
        <v>6</v>
      </c>
    </row>
    <row r="15" spans="1:8" x14ac:dyDescent="0.2">
      <c r="A15">
        <v>902907559</v>
      </c>
      <c r="B15" s="8">
        <v>0.70666666666666667</v>
      </c>
      <c r="C15" s="8">
        <v>0.86</v>
      </c>
      <c r="D15" s="8">
        <v>86</v>
      </c>
      <c r="E15" s="8">
        <v>0.55333333333333334</v>
      </c>
      <c r="F15" s="8">
        <v>86</v>
      </c>
      <c r="G15" s="8">
        <v>30</v>
      </c>
      <c r="H15" s="8">
        <v>5</v>
      </c>
    </row>
    <row r="16" spans="1:8" x14ac:dyDescent="0.2">
      <c r="A16">
        <v>528297980</v>
      </c>
      <c r="B16" s="8">
        <v>0.65</v>
      </c>
      <c r="C16" s="8">
        <v>0.58000000000000007</v>
      </c>
      <c r="D16" s="8">
        <v>58</v>
      </c>
      <c r="E16" s="8">
        <v>0.72000000000000008</v>
      </c>
      <c r="F16" s="8">
        <v>58</v>
      </c>
      <c r="G16" s="8">
        <v>78</v>
      </c>
      <c r="H16" s="8">
        <v>8</v>
      </c>
    </row>
    <row r="17" spans="1:8" x14ac:dyDescent="0.2">
      <c r="A17">
        <v>444882790</v>
      </c>
      <c r="B17" s="8">
        <v>0.21833333333333332</v>
      </c>
      <c r="C17" s="8">
        <v>0.05</v>
      </c>
      <c r="D17" s="8">
        <v>5</v>
      </c>
      <c r="E17" s="8">
        <v>0.38666666666666666</v>
      </c>
      <c r="F17" s="8">
        <v>5</v>
      </c>
      <c r="G17" s="8">
        <v>21</v>
      </c>
      <c r="H17" s="8">
        <v>9</v>
      </c>
    </row>
    <row r="18" spans="1:8" x14ac:dyDescent="0.2">
      <c r="A18">
        <v>112085131</v>
      </c>
      <c r="B18" s="8">
        <v>0.26833333333333337</v>
      </c>
      <c r="C18" s="8">
        <v>0.13</v>
      </c>
      <c r="D18" s="8">
        <v>13</v>
      </c>
      <c r="E18" s="8">
        <v>0.40666666666666668</v>
      </c>
      <c r="F18" s="8">
        <v>13</v>
      </c>
      <c r="G18" s="8">
        <v>69</v>
      </c>
      <c r="H18" s="8">
        <v>4</v>
      </c>
    </row>
    <row r="19" spans="1:8" x14ac:dyDescent="0.2">
      <c r="A19">
        <v>588642518</v>
      </c>
      <c r="B19" s="8">
        <v>0.67166666666666675</v>
      </c>
      <c r="C19" s="8">
        <v>0.94000000000000006</v>
      </c>
      <c r="D19" s="8">
        <v>94</v>
      </c>
      <c r="E19" s="8">
        <v>0.40333333333333338</v>
      </c>
      <c r="F19" s="8">
        <v>94</v>
      </c>
      <c r="G19" s="8">
        <v>27</v>
      </c>
      <c r="H19" s="8">
        <v>0</v>
      </c>
    </row>
    <row r="20" spans="1:8" x14ac:dyDescent="0.2">
      <c r="A20">
        <v>414520736</v>
      </c>
      <c r="B20" s="8">
        <v>0.81333333333333335</v>
      </c>
      <c r="C20" s="8">
        <v>0.80999999999999994</v>
      </c>
      <c r="D20" s="8">
        <v>81</v>
      </c>
      <c r="E20" s="8">
        <v>0.81666666666666665</v>
      </c>
      <c r="F20" s="8">
        <v>81</v>
      </c>
      <c r="G20" s="8">
        <v>64</v>
      </c>
      <c r="H20" s="8">
        <v>10</v>
      </c>
    </row>
    <row r="21" spans="1:8" x14ac:dyDescent="0.2">
      <c r="A21">
        <v>356558346</v>
      </c>
      <c r="B21" s="8">
        <v>0.51333333333333331</v>
      </c>
      <c r="C21" s="8">
        <v>0.43</v>
      </c>
      <c r="D21" s="8">
        <v>43</v>
      </c>
      <c r="E21" s="8">
        <v>0.59666666666666657</v>
      </c>
      <c r="F21" s="8">
        <v>43</v>
      </c>
      <c r="G21" s="8">
        <v>46</v>
      </c>
      <c r="H21" s="8">
        <v>9</v>
      </c>
    </row>
    <row r="22" spans="1:8" x14ac:dyDescent="0.2">
      <c r="A22">
        <v>970698993</v>
      </c>
      <c r="B22" s="8">
        <v>0.79166666666666663</v>
      </c>
      <c r="C22" s="8">
        <v>0.95</v>
      </c>
      <c r="D22" s="8">
        <v>95</v>
      </c>
      <c r="E22" s="8">
        <v>0.6333333333333333</v>
      </c>
      <c r="F22" s="8">
        <v>95</v>
      </c>
      <c r="G22" s="8">
        <v>15</v>
      </c>
      <c r="H22" s="8">
        <v>8</v>
      </c>
    </row>
    <row r="23" spans="1:8" x14ac:dyDescent="0.2">
      <c r="A23">
        <v>633537205</v>
      </c>
      <c r="B23" s="8">
        <v>0.36499999999999999</v>
      </c>
      <c r="C23" s="8">
        <v>0.36</v>
      </c>
      <c r="D23" s="8">
        <v>36</v>
      </c>
      <c r="E23" s="8">
        <v>0.37</v>
      </c>
      <c r="F23" s="8">
        <v>36</v>
      </c>
      <c r="G23" s="8">
        <v>75</v>
      </c>
      <c r="H23" s="8">
        <v>0</v>
      </c>
    </row>
    <row r="24" spans="1:8" x14ac:dyDescent="0.2">
      <c r="A24">
        <v>534292868</v>
      </c>
      <c r="B24" s="8">
        <v>0.70333333333333337</v>
      </c>
      <c r="C24" s="8">
        <v>0.9</v>
      </c>
      <c r="D24" s="8">
        <v>90</v>
      </c>
      <c r="E24" s="8">
        <v>0.5066666666666666</v>
      </c>
      <c r="F24" s="8">
        <v>90</v>
      </c>
      <c r="G24" s="8">
        <v>12</v>
      </c>
      <c r="H24" s="8">
        <v>5</v>
      </c>
    </row>
    <row r="25" spans="1:8" x14ac:dyDescent="0.2">
      <c r="A25">
        <v>816787809</v>
      </c>
      <c r="B25" s="8">
        <v>0.51</v>
      </c>
      <c r="C25" s="8">
        <v>0.47000000000000003</v>
      </c>
      <c r="D25" s="8">
        <v>47</v>
      </c>
      <c r="E25" s="8">
        <v>0.55000000000000004</v>
      </c>
      <c r="F25" s="8">
        <v>47</v>
      </c>
      <c r="G25" s="8">
        <v>38</v>
      </c>
      <c r="H25" s="8">
        <v>8</v>
      </c>
    </row>
    <row r="26" spans="1:8" x14ac:dyDescent="0.2">
      <c r="A26">
        <v>220052551</v>
      </c>
      <c r="B26" s="8">
        <v>0.76</v>
      </c>
      <c r="C26" s="8">
        <v>0.74</v>
      </c>
      <c r="D26" s="8">
        <v>74</v>
      </c>
      <c r="E26" s="8">
        <v>0.77999999999999992</v>
      </c>
      <c r="F26" s="8">
        <v>74</v>
      </c>
      <c r="G26" s="8">
        <v>90</v>
      </c>
      <c r="H26" s="8">
        <v>7</v>
      </c>
    </row>
    <row r="27" spans="1:8" x14ac:dyDescent="0.2">
      <c r="A27">
        <v>858571733</v>
      </c>
      <c r="B27" s="8">
        <v>0.27666666666666667</v>
      </c>
      <c r="C27" s="8">
        <v>0.19</v>
      </c>
      <c r="D27" s="8">
        <v>19</v>
      </c>
      <c r="E27" s="8">
        <v>0.36333333333333334</v>
      </c>
      <c r="F27" s="8">
        <v>19</v>
      </c>
      <c r="G27" s="8">
        <v>30</v>
      </c>
      <c r="H27" s="8">
        <v>6</v>
      </c>
    </row>
    <row r="28" spans="1:8" x14ac:dyDescent="0.2">
      <c r="A28">
        <v>363436152</v>
      </c>
      <c r="B28" s="8">
        <v>0.36499999999999999</v>
      </c>
      <c r="C28" s="8">
        <v>0.21000000000000002</v>
      </c>
      <c r="D28" s="8">
        <v>21</v>
      </c>
      <c r="E28" s="8">
        <v>0.52</v>
      </c>
      <c r="F28" s="8">
        <v>21</v>
      </c>
      <c r="G28" s="8">
        <v>65</v>
      </c>
      <c r="H28" s="8">
        <v>7</v>
      </c>
    </row>
    <row r="29" spans="1:8" x14ac:dyDescent="0.2">
      <c r="A29">
        <v>393495083</v>
      </c>
      <c r="B29" s="8">
        <v>0.76333333333333331</v>
      </c>
      <c r="C29" s="8">
        <v>0.90999999999999992</v>
      </c>
      <c r="D29" s="8">
        <v>91</v>
      </c>
      <c r="E29" s="8">
        <v>0.6166666666666667</v>
      </c>
      <c r="F29" s="8">
        <v>91</v>
      </c>
      <c r="G29" s="8">
        <v>34</v>
      </c>
      <c r="H29" s="8">
        <v>6</v>
      </c>
    </row>
    <row r="30" spans="1:8" x14ac:dyDescent="0.2">
      <c r="A30">
        <v>769635714</v>
      </c>
      <c r="B30" s="8">
        <v>0.76833333333333342</v>
      </c>
      <c r="C30" s="8">
        <v>0.88000000000000012</v>
      </c>
      <c r="D30" s="8">
        <v>88</v>
      </c>
      <c r="E30" s="8">
        <v>0.65666666666666673</v>
      </c>
      <c r="F30" s="8">
        <v>88</v>
      </c>
      <c r="G30" s="8">
        <v>19</v>
      </c>
      <c r="H30" s="8">
        <v>9</v>
      </c>
    </row>
    <row r="31" spans="1:8" x14ac:dyDescent="0.2">
      <c r="A31">
        <v>373048949</v>
      </c>
      <c r="B31" s="8">
        <v>0.7383333333333334</v>
      </c>
      <c r="C31" s="8">
        <v>0.8</v>
      </c>
      <c r="D31" s="8">
        <v>80</v>
      </c>
      <c r="E31" s="8">
        <v>0.67666666666666664</v>
      </c>
      <c r="F31" s="8">
        <v>80</v>
      </c>
      <c r="G31" s="8">
        <v>23</v>
      </c>
      <c r="H31" s="8">
        <v>10</v>
      </c>
    </row>
    <row r="32" spans="1:8" x14ac:dyDescent="0.2">
      <c r="A32">
        <v>357061292</v>
      </c>
      <c r="B32" s="8">
        <v>0.29333333333333333</v>
      </c>
      <c r="C32" s="8">
        <v>0.1</v>
      </c>
      <c r="D32" s="8">
        <v>10</v>
      </c>
      <c r="E32" s="8">
        <v>0.48666666666666664</v>
      </c>
      <c r="F32" s="8">
        <v>10</v>
      </c>
      <c r="G32" s="8">
        <v>86</v>
      </c>
      <c r="H32" s="8">
        <v>5</v>
      </c>
    </row>
    <row r="33" spans="1:8" x14ac:dyDescent="0.2">
      <c r="A33">
        <v>837310284</v>
      </c>
      <c r="B33" s="8">
        <v>0.44333333333333336</v>
      </c>
      <c r="C33" s="8">
        <v>0.45</v>
      </c>
      <c r="D33" s="8">
        <v>45</v>
      </c>
      <c r="E33" s="8">
        <v>0.4366666666666667</v>
      </c>
      <c r="F33" s="8">
        <v>45</v>
      </c>
      <c r="G33" s="8">
        <v>46</v>
      </c>
      <c r="H33" s="8">
        <v>4</v>
      </c>
    </row>
    <row r="34" spans="1:8" x14ac:dyDescent="0.2">
      <c r="A34">
        <v>815854164</v>
      </c>
      <c r="B34" s="8">
        <v>0.68</v>
      </c>
      <c r="C34" s="8">
        <v>0.89</v>
      </c>
      <c r="D34" s="8">
        <v>89</v>
      </c>
      <c r="E34" s="8">
        <v>0.47</v>
      </c>
      <c r="F34" s="8">
        <v>89</v>
      </c>
      <c r="G34" s="8">
        <v>2</v>
      </c>
      <c r="H34" s="8">
        <v>5</v>
      </c>
    </row>
    <row r="35" spans="1:8" x14ac:dyDescent="0.2">
      <c r="A35">
        <v>315378369</v>
      </c>
      <c r="B35" s="8">
        <v>0.1816666666666667</v>
      </c>
      <c r="C35" s="8">
        <v>0.12000000000000002</v>
      </c>
      <c r="D35" s="8">
        <v>12</v>
      </c>
      <c r="E35" s="8">
        <v>0.24333333333333335</v>
      </c>
      <c r="F35" s="8">
        <v>12</v>
      </c>
      <c r="G35" s="8">
        <v>31</v>
      </c>
      <c r="H35" s="8">
        <v>3</v>
      </c>
    </row>
    <row r="36" spans="1:8" x14ac:dyDescent="0.2">
      <c r="A36">
        <v>564410540</v>
      </c>
      <c r="B36" s="8">
        <v>0.34666666666666668</v>
      </c>
      <c r="C36" s="8">
        <v>0.21000000000000002</v>
      </c>
      <c r="D36" s="8">
        <v>21</v>
      </c>
      <c r="E36" s="8">
        <v>0.48333333333333334</v>
      </c>
      <c r="F36" s="8">
        <v>21</v>
      </c>
      <c r="G36" s="8">
        <v>64</v>
      </c>
      <c r="H36" s="8">
        <v>6</v>
      </c>
    </row>
    <row r="37" spans="1:8" x14ac:dyDescent="0.2">
      <c r="A37">
        <v>126539887</v>
      </c>
      <c r="B37" s="8">
        <v>0.32</v>
      </c>
      <c r="C37" s="8">
        <v>7.0000000000000007E-2</v>
      </c>
      <c r="D37" s="8">
        <v>7</v>
      </c>
      <c r="E37" s="8">
        <v>0.57000000000000006</v>
      </c>
      <c r="F37" s="8">
        <v>7</v>
      </c>
      <c r="G37" s="8">
        <v>84</v>
      </c>
      <c r="H37" s="8">
        <v>8</v>
      </c>
    </row>
    <row r="38" spans="1:8" x14ac:dyDescent="0.2">
      <c r="A38">
        <v>563937624</v>
      </c>
      <c r="B38" s="8">
        <v>0.3116666666666667</v>
      </c>
      <c r="C38" s="8">
        <v>0.05</v>
      </c>
      <c r="D38" s="8">
        <v>5</v>
      </c>
      <c r="E38" s="8">
        <v>0.57333333333333347</v>
      </c>
      <c r="F38" s="8">
        <v>5</v>
      </c>
      <c r="G38" s="8">
        <v>97</v>
      </c>
      <c r="H38" s="8">
        <v>7</v>
      </c>
    </row>
    <row r="39" spans="1:8" x14ac:dyDescent="0.2">
      <c r="A39">
        <v>684291511</v>
      </c>
      <c r="B39" s="8">
        <v>0.53333333333333333</v>
      </c>
      <c r="C39" s="8">
        <v>0.37</v>
      </c>
      <c r="D39" s="8">
        <v>37</v>
      </c>
      <c r="E39" s="8">
        <v>0.69666666666666677</v>
      </c>
      <c r="F39" s="8">
        <v>37</v>
      </c>
      <c r="G39" s="8">
        <v>82</v>
      </c>
      <c r="H39" s="8">
        <v>9</v>
      </c>
    </row>
  </sheetData>
  <sortState ref="S5:V48">
    <sortCondition ref="S5:S4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39"/>
  <sheetViews>
    <sheetView workbookViewId="0">
      <selection sqref="A1:XFD1048576"/>
    </sheetView>
  </sheetViews>
  <sheetFormatPr baseColWidth="10" defaultColWidth="8.83203125" defaultRowHeight="15" x14ac:dyDescent="0.2"/>
  <cols>
    <col min="1" max="1" width="10" bestFit="1" customWidth="1"/>
    <col min="2" max="3" width="4.5" bestFit="1" customWidth="1"/>
    <col min="4" max="4" width="6.5" bestFit="1" customWidth="1"/>
    <col min="5" max="5" width="5.5" bestFit="1" customWidth="1"/>
    <col min="6" max="7" width="6.5" bestFit="1" customWidth="1"/>
    <col min="8" max="10" width="5.5" bestFit="1" customWidth="1"/>
    <col min="11" max="11" width="6.5" bestFit="1" customWidth="1"/>
    <col min="12" max="13" width="4.5" bestFit="1" customWidth="1"/>
    <col min="14" max="14" width="5.5" bestFit="1" customWidth="1"/>
  </cols>
  <sheetData>
    <row r="1" spans="1:14" x14ac:dyDescent="0.2">
      <c r="A1" t="s">
        <v>41</v>
      </c>
      <c r="C1" t="s">
        <v>212</v>
      </c>
      <c r="G1" t="s">
        <v>207</v>
      </c>
      <c r="L1" t="s">
        <v>221</v>
      </c>
    </row>
    <row r="2" spans="1:14" x14ac:dyDescent="0.2">
      <c r="D2" t="s">
        <v>14</v>
      </c>
      <c r="E2" t="s">
        <v>44</v>
      </c>
      <c r="F2" t="s">
        <v>50</v>
      </c>
      <c r="H2" t="s">
        <v>16</v>
      </c>
      <c r="I2" t="s">
        <v>48</v>
      </c>
      <c r="J2" t="s">
        <v>49</v>
      </c>
      <c r="K2" t="s">
        <v>50</v>
      </c>
      <c r="M2" t="s">
        <v>13</v>
      </c>
      <c r="N2" t="s">
        <v>51</v>
      </c>
    </row>
    <row r="3" spans="1:14" x14ac:dyDescent="0.2">
      <c r="D3">
        <v>100</v>
      </c>
      <c r="E3">
        <v>50</v>
      </c>
      <c r="F3">
        <v>100</v>
      </c>
      <c r="H3">
        <v>100</v>
      </c>
      <c r="I3">
        <v>50</v>
      </c>
      <c r="J3">
        <v>10</v>
      </c>
      <c r="K3">
        <v>100</v>
      </c>
      <c r="M3">
        <v>5</v>
      </c>
      <c r="N3">
        <v>50</v>
      </c>
    </row>
    <row r="4" spans="1:14" x14ac:dyDescent="0.2">
      <c r="D4">
        <v>0.05</v>
      </c>
      <c r="E4">
        <v>0.1</v>
      </c>
      <c r="F4">
        <v>0.1</v>
      </c>
      <c r="H4">
        <v>0.05</v>
      </c>
      <c r="I4">
        <v>0.2</v>
      </c>
      <c r="J4">
        <v>0.5</v>
      </c>
      <c r="K4">
        <v>0.1</v>
      </c>
      <c r="M4">
        <v>1</v>
      </c>
      <c r="N4">
        <v>0.2</v>
      </c>
    </row>
    <row r="5" spans="1:14" x14ac:dyDescent="0.2">
      <c r="A5">
        <v>598829620</v>
      </c>
      <c r="B5" s="8">
        <v>0.31954166666666672</v>
      </c>
      <c r="C5" s="8">
        <v>0.21249999999999999</v>
      </c>
      <c r="D5" s="8">
        <v>15</v>
      </c>
      <c r="E5" s="8">
        <v>20</v>
      </c>
      <c r="F5" s="8">
        <v>15</v>
      </c>
      <c r="G5" s="8">
        <v>0.27500000000000002</v>
      </c>
      <c r="H5" s="8">
        <v>55</v>
      </c>
      <c r="I5" s="8">
        <v>20</v>
      </c>
      <c r="J5" s="8">
        <v>0</v>
      </c>
      <c r="K5" s="8">
        <v>15</v>
      </c>
      <c r="L5" s="8">
        <v>0.46666666666666667</v>
      </c>
      <c r="M5" s="8">
        <v>3</v>
      </c>
      <c r="N5" s="8">
        <v>20</v>
      </c>
    </row>
    <row r="6" spans="1:14" x14ac:dyDescent="0.2">
      <c r="A6">
        <v>684014860</v>
      </c>
      <c r="B6" s="8">
        <v>0.54155000000000009</v>
      </c>
      <c r="C6" s="8">
        <v>0.56000000000000005</v>
      </c>
      <c r="D6" s="8">
        <v>56</v>
      </c>
      <c r="E6" s="8">
        <v>28</v>
      </c>
      <c r="F6" s="8">
        <v>56</v>
      </c>
      <c r="G6" s="8">
        <v>0.42166666666666675</v>
      </c>
      <c r="H6" s="8">
        <v>9</v>
      </c>
      <c r="I6" s="8">
        <v>28</v>
      </c>
      <c r="J6" s="8">
        <v>2</v>
      </c>
      <c r="K6" s="8">
        <v>56</v>
      </c>
      <c r="L6" s="8">
        <v>0.64000000000000012</v>
      </c>
      <c r="M6" s="8">
        <v>4</v>
      </c>
      <c r="N6" s="8">
        <v>28</v>
      </c>
    </row>
    <row r="7" spans="1:14" x14ac:dyDescent="0.2">
      <c r="A7">
        <v>843228181</v>
      </c>
      <c r="B7" s="8">
        <v>0.54540833333333338</v>
      </c>
      <c r="C7" s="8">
        <v>0.5625</v>
      </c>
      <c r="D7" s="8">
        <v>61</v>
      </c>
      <c r="E7" s="8">
        <v>21</v>
      </c>
      <c r="F7" s="8">
        <v>61</v>
      </c>
      <c r="G7" s="8">
        <v>0.45833333333333331</v>
      </c>
      <c r="H7" s="8">
        <v>19</v>
      </c>
      <c r="I7" s="8">
        <v>21</v>
      </c>
      <c r="J7" s="8">
        <v>5</v>
      </c>
      <c r="K7" s="8">
        <v>61</v>
      </c>
      <c r="L7" s="8">
        <v>0.61333333333333329</v>
      </c>
      <c r="M7" s="8">
        <v>5</v>
      </c>
      <c r="N7" s="8">
        <v>21</v>
      </c>
    </row>
    <row r="8" spans="1:14" x14ac:dyDescent="0.2">
      <c r="A8">
        <v>820549378</v>
      </c>
      <c r="B8" s="8">
        <v>0.374</v>
      </c>
      <c r="C8" s="8">
        <v>0.30500000000000005</v>
      </c>
      <c r="D8" s="8">
        <v>32</v>
      </c>
      <c r="E8" s="8">
        <v>13</v>
      </c>
      <c r="F8" s="8">
        <v>32</v>
      </c>
      <c r="G8" s="8">
        <v>0.375</v>
      </c>
      <c r="H8" s="8">
        <v>79</v>
      </c>
      <c r="I8" s="8">
        <v>13</v>
      </c>
      <c r="J8" s="8">
        <v>3</v>
      </c>
      <c r="K8" s="8">
        <v>32</v>
      </c>
      <c r="L8" s="8">
        <v>0.44</v>
      </c>
      <c r="M8" s="8">
        <v>4</v>
      </c>
      <c r="N8" s="8">
        <v>13</v>
      </c>
    </row>
    <row r="9" spans="1:14" x14ac:dyDescent="0.2">
      <c r="A9">
        <v>533572169</v>
      </c>
      <c r="B9" s="8">
        <v>0.22191666666666668</v>
      </c>
      <c r="C9" s="8">
        <v>0.23500000000000001</v>
      </c>
      <c r="D9" s="8">
        <v>30</v>
      </c>
      <c r="E9" s="8">
        <v>2</v>
      </c>
      <c r="F9" s="8">
        <v>30</v>
      </c>
      <c r="G9" s="8">
        <v>0.41000000000000003</v>
      </c>
      <c r="H9" s="8">
        <v>88</v>
      </c>
      <c r="I9" s="8">
        <v>2</v>
      </c>
      <c r="J9" s="8">
        <v>9</v>
      </c>
      <c r="K9" s="8">
        <v>30</v>
      </c>
      <c r="L9" s="8">
        <v>2.6666666666666668E-2</v>
      </c>
      <c r="M9" s="8">
        <v>0</v>
      </c>
      <c r="N9" s="8">
        <v>2</v>
      </c>
    </row>
    <row r="10" spans="1:14" x14ac:dyDescent="0.2">
      <c r="A10">
        <v>975325712</v>
      </c>
      <c r="B10" s="8">
        <v>0.41788333333333338</v>
      </c>
      <c r="C10" s="8">
        <v>0.39</v>
      </c>
      <c r="D10" s="8">
        <v>40</v>
      </c>
      <c r="E10" s="8">
        <v>18</v>
      </c>
      <c r="F10" s="8">
        <v>40</v>
      </c>
      <c r="G10" s="8">
        <v>0.49166666666666664</v>
      </c>
      <c r="H10" s="8">
        <v>63</v>
      </c>
      <c r="I10" s="8">
        <v>18</v>
      </c>
      <c r="J10" s="8">
        <v>8</v>
      </c>
      <c r="K10" s="8">
        <v>40</v>
      </c>
      <c r="L10" s="8">
        <v>0.37333333333333329</v>
      </c>
      <c r="M10" s="8">
        <v>2</v>
      </c>
      <c r="N10" s="8">
        <v>18</v>
      </c>
    </row>
    <row r="11" spans="1:14" x14ac:dyDescent="0.2">
      <c r="A11">
        <v>310082419</v>
      </c>
      <c r="B11" s="8">
        <v>0.23666666666666669</v>
      </c>
      <c r="C11" s="8">
        <v>8.5000000000000006E-2</v>
      </c>
      <c r="D11" s="8">
        <v>4</v>
      </c>
      <c r="E11" s="8">
        <v>11</v>
      </c>
      <c r="F11" s="8">
        <v>4</v>
      </c>
      <c r="G11" s="8">
        <v>0.27500000000000002</v>
      </c>
      <c r="H11" s="8">
        <v>83</v>
      </c>
      <c r="I11" s="8">
        <v>11</v>
      </c>
      <c r="J11" s="8">
        <v>3</v>
      </c>
      <c r="K11" s="8">
        <v>4</v>
      </c>
      <c r="L11" s="8">
        <v>0.34666666666666668</v>
      </c>
      <c r="M11" s="8">
        <v>3</v>
      </c>
      <c r="N11" s="8">
        <v>11</v>
      </c>
    </row>
    <row r="12" spans="1:14" x14ac:dyDescent="0.2">
      <c r="A12">
        <v>242132470</v>
      </c>
      <c r="B12" s="8">
        <v>0.3593083333333334</v>
      </c>
      <c r="C12" s="8">
        <v>0.22250000000000006</v>
      </c>
      <c r="D12" s="8">
        <v>11</v>
      </c>
      <c r="E12" s="8">
        <v>28</v>
      </c>
      <c r="F12" s="8">
        <v>11</v>
      </c>
      <c r="G12" s="8">
        <v>0.48166666666666669</v>
      </c>
      <c r="H12" s="8">
        <v>55</v>
      </c>
      <c r="I12" s="8">
        <v>28</v>
      </c>
      <c r="J12" s="8">
        <v>10</v>
      </c>
      <c r="K12" s="8">
        <v>11</v>
      </c>
      <c r="L12" s="8">
        <v>0.37333333333333335</v>
      </c>
      <c r="M12" s="8">
        <v>0</v>
      </c>
      <c r="N12" s="8">
        <v>28</v>
      </c>
    </row>
    <row r="13" spans="1:14" x14ac:dyDescent="0.2">
      <c r="A13">
        <v>208248363</v>
      </c>
      <c r="B13" s="8">
        <v>0.51105833333333339</v>
      </c>
      <c r="C13" s="8">
        <v>0.4825000000000001</v>
      </c>
      <c r="D13" s="8">
        <v>51</v>
      </c>
      <c r="E13" s="8">
        <v>20</v>
      </c>
      <c r="F13" s="8">
        <v>51</v>
      </c>
      <c r="G13" s="8">
        <v>0.51666666666666672</v>
      </c>
      <c r="H13" s="8">
        <v>58</v>
      </c>
      <c r="I13" s="8">
        <v>20</v>
      </c>
      <c r="J13" s="8">
        <v>7</v>
      </c>
      <c r="K13" s="8">
        <v>51</v>
      </c>
      <c r="L13" s="8">
        <v>0.53333333333333333</v>
      </c>
      <c r="M13" s="8">
        <v>4</v>
      </c>
      <c r="N13" s="8">
        <v>20</v>
      </c>
    </row>
    <row r="14" spans="1:14" x14ac:dyDescent="0.2">
      <c r="A14">
        <v>277055951</v>
      </c>
      <c r="B14" s="8">
        <v>0.22408333333333336</v>
      </c>
      <c r="C14" s="8">
        <v>0.19500000000000001</v>
      </c>
      <c r="D14" s="8">
        <v>26</v>
      </c>
      <c r="E14" s="8">
        <v>0</v>
      </c>
      <c r="F14" s="8">
        <v>26</v>
      </c>
      <c r="G14" s="8">
        <v>0.34666666666666668</v>
      </c>
      <c r="H14" s="8">
        <v>96</v>
      </c>
      <c r="I14" s="8">
        <v>0</v>
      </c>
      <c r="J14" s="8">
        <v>6</v>
      </c>
      <c r="K14" s="8">
        <v>26</v>
      </c>
      <c r="L14" s="8">
        <v>0.13333333333333333</v>
      </c>
      <c r="M14" s="8">
        <v>2</v>
      </c>
      <c r="N14" s="8">
        <v>0</v>
      </c>
    </row>
    <row r="15" spans="1:14" x14ac:dyDescent="0.2">
      <c r="A15">
        <v>902907559</v>
      </c>
      <c r="B15" s="8">
        <v>0.51508333333333334</v>
      </c>
      <c r="C15" s="8">
        <v>0.67500000000000004</v>
      </c>
      <c r="D15" s="8">
        <v>86</v>
      </c>
      <c r="E15" s="8">
        <v>6</v>
      </c>
      <c r="F15" s="8">
        <v>86</v>
      </c>
      <c r="G15" s="8">
        <v>0.46</v>
      </c>
      <c r="H15" s="8">
        <v>30</v>
      </c>
      <c r="I15" s="8">
        <v>6</v>
      </c>
      <c r="J15" s="8">
        <v>5</v>
      </c>
      <c r="K15" s="8">
        <v>86</v>
      </c>
      <c r="L15" s="8">
        <v>0.41333333333333333</v>
      </c>
      <c r="M15" s="8">
        <v>5</v>
      </c>
      <c r="N15" s="8">
        <v>6</v>
      </c>
    </row>
    <row r="16" spans="1:14" x14ac:dyDescent="0.2">
      <c r="A16">
        <v>528297980</v>
      </c>
      <c r="B16" s="8">
        <v>0.62213333333333332</v>
      </c>
      <c r="C16" s="8">
        <v>0.59000000000000008</v>
      </c>
      <c r="D16" s="8">
        <v>58</v>
      </c>
      <c r="E16" s="8">
        <v>31</v>
      </c>
      <c r="F16" s="8">
        <v>58</v>
      </c>
      <c r="G16" s="8">
        <v>0.66333333333333344</v>
      </c>
      <c r="H16" s="8">
        <v>78</v>
      </c>
      <c r="I16" s="8">
        <v>31</v>
      </c>
      <c r="J16" s="8">
        <v>8</v>
      </c>
      <c r="K16" s="8">
        <v>58</v>
      </c>
      <c r="L16" s="8">
        <v>0.61333333333333329</v>
      </c>
      <c r="M16" s="8">
        <v>3</v>
      </c>
      <c r="N16" s="8">
        <v>31</v>
      </c>
    </row>
    <row r="17" spans="1:14" x14ac:dyDescent="0.2">
      <c r="A17">
        <v>444882790</v>
      </c>
      <c r="B17" s="8">
        <v>0.22827500000000003</v>
      </c>
      <c r="C17" s="8">
        <v>7.2500000000000009E-2</v>
      </c>
      <c r="D17" s="8">
        <v>5</v>
      </c>
      <c r="E17" s="8">
        <v>7</v>
      </c>
      <c r="F17" s="8">
        <v>5</v>
      </c>
      <c r="G17" s="8">
        <v>0.24833333333333335</v>
      </c>
      <c r="H17" s="8">
        <v>21</v>
      </c>
      <c r="I17" s="8">
        <v>7</v>
      </c>
      <c r="J17" s="8">
        <v>9</v>
      </c>
      <c r="K17" s="8">
        <v>5</v>
      </c>
      <c r="L17" s="8">
        <v>0.36000000000000004</v>
      </c>
      <c r="M17" s="8">
        <v>4</v>
      </c>
      <c r="N17" s="8">
        <v>7</v>
      </c>
    </row>
    <row r="18" spans="1:14" x14ac:dyDescent="0.2">
      <c r="A18">
        <v>112085131</v>
      </c>
      <c r="B18" s="8">
        <v>0.18187500000000001</v>
      </c>
      <c r="C18" s="8">
        <v>0.14250000000000002</v>
      </c>
      <c r="D18" s="8">
        <v>13</v>
      </c>
      <c r="E18" s="8">
        <v>9</v>
      </c>
      <c r="F18" s="8">
        <v>13</v>
      </c>
      <c r="G18" s="8">
        <v>0.28500000000000003</v>
      </c>
      <c r="H18" s="8">
        <v>69</v>
      </c>
      <c r="I18" s="8">
        <v>9</v>
      </c>
      <c r="J18" s="8">
        <v>4</v>
      </c>
      <c r="K18" s="8">
        <v>13</v>
      </c>
      <c r="L18" s="8">
        <v>0.12000000000000001</v>
      </c>
      <c r="M18" s="8">
        <v>0</v>
      </c>
      <c r="N18" s="8">
        <v>9</v>
      </c>
    </row>
    <row r="19" spans="1:14" x14ac:dyDescent="0.2">
      <c r="A19">
        <v>588642518</v>
      </c>
      <c r="B19" s="8">
        <v>0.63593333333333335</v>
      </c>
      <c r="C19" s="8">
        <v>0.875</v>
      </c>
      <c r="D19" s="8">
        <v>94</v>
      </c>
      <c r="E19" s="8">
        <v>34</v>
      </c>
      <c r="F19" s="8">
        <v>94</v>
      </c>
      <c r="G19" s="8">
        <v>0.58500000000000008</v>
      </c>
      <c r="H19" s="8">
        <v>27</v>
      </c>
      <c r="I19" s="8">
        <v>34</v>
      </c>
      <c r="J19" s="8">
        <v>0</v>
      </c>
      <c r="K19" s="8">
        <v>94</v>
      </c>
      <c r="L19" s="8">
        <v>0.45333333333333337</v>
      </c>
      <c r="M19" s="8">
        <v>0</v>
      </c>
      <c r="N19" s="8">
        <v>34</v>
      </c>
    </row>
    <row r="20" spans="1:14" x14ac:dyDescent="0.2">
      <c r="A20">
        <v>414520736</v>
      </c>
      <c r="B20" s="8">
        <v>0.46112500000000006</v>
      </c>
      <c r="C20" s="8">
        <v>0.64249999999999996</v>
      </c>
      <c r="D20" s="8">
        <v>81</v>
      </c>
      <c r="E20" s="8">
        <v>7</v>
      </c>
      <c r="F20" s="8">
        <v>81</v>
      </c>
      <c r="G20" s="8">
        <v>0.59000000000000008</v>
      </c>
      <c r="H20" s="8">
        <v>64</v>
      </c>
      <c r="I20" s="8">
        <v>7</v>
      </c>
      <c r="J20" s="8">
        <v>10</v>
      </c>
      <c r="K20" s="8">
        <v>81</v>
      </c>
      <c r="L20" s="8">
        <v>0.16000000000000003</v>
      </c>
      <c r="M20" s="8">
        <v>1</v>
      </c>
      <c r="N20" s="8">
        <v>7</v>
      </c>
    </row>
    <row r="21" spans="1:14" x14ac:dyDescent="0.2">
      <c r="A21">
        <v>356558346</v>
      </c>
      <c r="B21" s="8">
        <v>0.31329166666666669</v>
      </c>
      <c r="C21" s="8">
        <v>0.33250000000000002</v>
      </c>
      <c r="D21" s="8">
        <v>43</v>
      </c>
      <c r="E21" s="8">
        <v>2</v>
      </c>
      <c r="F21" s="8">
        <v>43</v>
      </c>
      <c r="G21" s="8">
        <v>0.38333333333333336</v>
      </c>
      <c r="H21" s="8">
        <v>46</v>
      </c>
      <c r="I21" s="8">
        <v>2</v>
      </c>
      <c r="J21" s="8">
        <v>9</v>
      </c>
      <c r="K21" s="8">
        <v>43</v>
      </c>
      <c r="L21" s="8">
        <v>0.22666666666666666</v>
      </c>
      <c r="M21" s="8">
        <v>3</v>
      </c>
      <c r="N21" s="8">
        <v>2</v>
      </c>
    </row>
    <row r="22" spans="1:14" x14ac:dyDescent="0.2">
      <c r="A22">
        <v>970698993</v>
      </c>
      <c r="B22" s="8">
        <v>0.47074166666666672</v>
      </c>
      <c r="C22" s="8">
        <v>0.73250000000000004</v>
      </c>
      <c r="D22" s="8">
        <v>95</v>
      </c>
      <c r="E22" s="8">
        <v>4</v>
      </c>
      <c r="F22" s="8">
        <v>95</v>
      </c>
      <c r="G22" s="8">
        <v>0.50166666666666671</v>
      </c>
      <c r="H22" s="8">
        <v>15</v>
      </c>
      <c r="I22" s="8">
        <v>4</v>
      </c>
      <c r="J22" s="8">
        <v>8</v>
      </c>
      <c r="K22" s="8">
        <v>95</v>
      </c>
      <c r="L22" s="8">
        <v>0.18666666666666665</v>
      </c>
      <c r="M22" s="8">
        <v>2</v>
      </c>
      <c r="N22" s="8">
        <v>4</v>
      </c>
    </row>
    <row r="23" spans="1:14" x14ac:dyDescent="0.2">
      <c r="A23">
        <v>633537205</v>
      </c>
      <c r="B23" s="8">
        <v>0.23453333333333334</v>
      </c>
      <c r="C23" s="8">
        <v>0.29500000000000004</v>
      </c>
      <c r="D23" s="8">
        <v>36</v>
      </c>
      <c r="E23" s="8">
        <v>5</v>
      </c>
      <c r="F23" s="8">
        <v>36</v>
      </c>
      <c r="G23" s="8">
        <v>0.27833333333333332</v>
      </c>
      <c r="H23" s="8">
        <v>75</v>
      </c>
      <c r="I23" s="8">
        <v>5</v>
      </c>
      <c r="J23" s="8">
        <v>0</v>
      </c>
      <c r="K23" s="8">
        <v>36</v>
      </c>
      <c r="L23" s="8">
        <v>0.13333333333333333</v>
      </c>
      <c r="M23" s="8">
        <v>1</v>
      </c>
      <c r="N23" s="8">
        <v>5</v>
      </c>
    </row>
    <row r="24" spans="1:14" x14ac:dyDescent="0.2">
      <c r="A24">
        <v>534292868</v>
      </c>
      <c r="B24" s="8">
        <v>0.4347166666666667</v>
      </c>
      <c r="C24" s="8">
        <v>0.69500000000000006</v>
      </c>
      <c r="D24" s="8">
        <v>90</v>
      </c>
      <c r="E24" s="8">
        <v>4</v>
      </c>
      <c r="F24" s="8">
        <v>90</v>
      </c>
      <c r="G24" s="8">
        <v>0.43</v>
      </c>
      <c r="H24" s="8">
        <v>12</v>
      </c>
      <c r="I24" s="8">
        <v>4</v>
      </c>
      <c r="J24" s="8">
        <v>5</v>
      </c>
      <c r="K24" s="8">
        <v>90</v>
      </c>
      <c r="L24" s="8">
        <v>0.18666666666666665</v>
      </c>
      <c r="M24" s="8">
        <v>2</v>
      </c>
      <c r="N24" s="8">
        <v>4</v>
      </c>
    </row>
    <row r="25" spans="1:14" x14ac:dyDescent="0.2">
      <c r="A25">
        <v>816787809</v>
      </c>
      <c r="B25" s="8">
        <v>0.6145250000000001</v>
      </c>
      <c r="C25" s="8">
        <v>0.51249999999999996</v>
      </c>
      <c r="D25" s="8">
        <v>47</v>
      </c>
      <c r="E25" s="8">
        <v>32</v>
      </c>
      <c r="F25" s="8">
        <v>47</v>
      </c>
      <c r="G25" s="8">
        <v>0.56666666666666665</v>
      </c>
      <c r="H25" s="8">
        <v>38</v>
      </c>
      <c r="I25" s="8">
        <v>32</v>
      </c>
      <c r="J25" s="8">
        <v>8</v>
      </c>
      <c r="K25" s="8">
        <v>47</v>
      </c>
      <c r="L25" s="8">
        <v>0.76</v>
      </c>
      <c r="M25" s="8">
        <v>5</v>
      </c>
      <c r="N25" s="8">
        <v>32</v>
      </c>
    </row>
    <row r="26" spans="1:14" x14ac:dyDescent="0.2">
      <c r="A26">
        <v>220052551</v>
      </c>
      <c r="B26" s="8">
        <v>0.47923333333333334</v>
      </c>
      <c r="C26" s="8">
        <v>0.59000000000000008</v>
      </c>
      <c r="D26" s="8">
        <v>74</v>
      </c>
      <c r="E26" s="8">
        <v>7</v>
      </c>
      <c r="F26" s="8">
        <v>74</v>
      </c>
      <c r="G26" s="8">
        <v>0.56000000000000005</v>
      </c>
      <c r="H26" s="8">
        <v>90</v>
      </c>
      <c r="I26" s="8">
        <v>7</v>
      </c>
      <c r="J26" s="8">
        <v>7</v>
      </c>
      <c r="K26" s="8">
        <v>74</v>
      </c>
      <c r="L26" s="8">
        <v>0.29333333333333333</v>
      </c>
      <c r="M26" s="8">
        <v>3</v>
      </c>
      <c r="N26" s="8">
        <v>7</v>
      </c>
    </row>
    <row r="27" spans="1:14" x14ac:dyDescent="0.2">
      <c r="A27">
        <v>858571733</v>
      </c>
      <c r="B27" s="8">
        <v>0.20715833333333336</v>
      </c>
      <c r="C27" s="8">
        <v>0.18250000000000002</v>
      </c>
      <c r="D27" s="8">
        <v>19</v>
      </c>
      <c r="E27" s="8">
        <v>8</v>
      </c>
      <c r="F27" s="8">
        <v>19</v>
      </c>
      <c r="G27" s="8">
        <v>0.26666666666666666</v>
      </c>
      <c r="H27" s="8">
        <v>30</v>
      </c>
      <c r="I27" s="8">
        <v>8</v>
      </c>
      <c r="J27" s="8">
        <v>6</v>
      </c>
      <c r="K27" s="8">
        <v>19</v>
      </c>
      <c r="L27" s="8">
        <v>0.17333333333333334</v>
      </c>
      <c r="M27" s="8">
        <v>1</v>
      </c>
      <c r="N27" s="8">
        <v>8</v>
      </c>
    </row>
    <row r="28" spans="1:14" x14ac:dyDescent="0.2">
      <c r="A28">
        <v>363436152</v>
      </c>
      <c r="B28" s="8">
        <v>0.38747500000000007</v>
      </c>
      <c r="C28" s="8">
        <v>0.27250000000000008</v>
      </c>
      <c r="D28" s="8">
        <v>21</v>
      </c>
      <c r="E28" s="8">
        <v>23</v>
      </c>
      <c r="F28" s="8">
        <v>21</v>
      </c>
      <c r="G28" s="8">
        <v>0.44833333333333336</v>
      </c>
      <c r="H28" s="8">
        <v>65</v>
      </c>
      <c r="I28" s="8">
        <v>23</v>
      </c>
      <c r="J28" s="8">
        <v>7</v>
      </c>
      <c r="K28" s="8">
        <v>21</v>
      </c>
      <c r="L28" s="8">
        <v>0.44000000000000006</v>
      </c>
      <c r="M28" s="8">
        <v>2</v>
      </c>
      <c r="N28" s="8">
        <v>23</v>
      </c>
    </row>
    <row r="29" spans="1:14" x14ac:dyDescent="0.2">
      <c r="A29">
        <v>393495083</v>
      </c>
      <c r="B29" s="8">
        <v>0.47514166666666668</v>
      </c>
      <c r="C29" s="8">
        <v>0.72750000000000004</v>
      </c>
      <c r="D29" s="8">
        <v>91</v>
      </c>
      <c r="E29" s="8">
        <v>9</v>
      </c>
      <c r="F29" s="8">
        <v>91</v>
      </c>
      <c r="G29" s="8">
        <v>0.52</v>
      </c>
      <c r="H29" s="8">
        <v>34</v>
      </c>
      <c r="I29" s="8">
        <v>9</v>
      </c>
      <c r="J29" s="8">
        <v>6</v>
      </c>
      <c r="K29" s="8">
        <v>91</v>
      </c>
      <c r="L29" s="8">
        <v>0.18666666666666665</v>
      </c>
      <c r="M29" s="8">
        <v>1</v>
      </c>
      <c r="N29" s="8">
        <v>9</v>
      </c>
    </row>
    <row r="30" spans="1:14" x14ac:dyDescent="0.2">
      <c r="A30">
        <v>769635714</v>
      </c>
      <c r="B30" s="8">
        <v>0.68815000000000015</v>
      </c>
      <c r="C30" s="8">
        <v>0.82000000000000006</v>
      </c>
      <c r="D30" s="8">
        <v>88</v>
      </c>
      <c r="E30" s="8">
        <v>32</v>
      </c>
      <c r="F30" s="8">
        <v>88</v>
      </c>
      <c r="G30" s="8">
        <v>0.68833333333333335</v>
      </c>
      <c r="H30" s="8">
        <v>19</v>
      </c>
      <c r="I30" s="8">
        <v>32</v>
      </c>
      <c r="J30" s="8">
        <v>9</v>
      </c>
      <c r="K30" s="8">
        <v>88</v>
      </c>
      <c r="L30" s="8">
        <v>0.56000000000000005</v>
      </c>
      <c r="M30" s="8">
        <v>2</v>
      </c>
      <c r="N30" s="8">
        <v>32</v>
      </c>
    </row>
    <row r="31" spans="1:14" x14ac:dyDescent="0.2">
      <c r="A31">
        <v>373048949</v>
      </c>
      <c r="B31" s="8">
        <v>0.52473333333333327</v>
      </c>
      <c r="C31" s="8">
        <v>0.67500000000000004</v>
      </c>
      <c r="D31" s="8">
        <v>80</v>
      </c>
      <c r="E31" s="8">
        <v>15</v>
      </c>
      <c r="F31" s="8">
        <v>80</v>
      </c>
      <c r="G31" s="8">
        <v>0.57166666666666666</v>
      </c>
      <c r="H31" s="8">
        <v>23</v>
      </c>
      <c r="I31" s="8">
        <v>15</v>
      </c>
      <c r="J31" s="8">
        <v>10</v>
      </c>
      <c r="K31" s="8">
        <v>80</v>
      </c>
      <c r="L31" s="8">
        <v>0.33333333333333331</v>
      </c>
      <c r="M31" s="8">
        <v>2</v>
      </c>
      <c r="N31" s="8">
        <v>15</v>
      </c>
    </row>
    <row r="32" spans="1:14" x14ac:dyDescent="0.2">
      <c r="A32">
        <v>357061292</v>
      </c>
      <c r="B32" s="8">
        <v>0.43346666666666667</v>
      </c>
      <c r="C32" s="8">
        <v>0.2</v>
      </c>
      <c r="D32" s="8">
        <v>10</v>
      </c>
      <c r="E32" s="8">
        <v>25</v>
      </c>
      <c r="F32" s="8">
        <v>10</v>
      </c>
      <c r="G32" s="8">
        <v>0.42666666666666669</v>
      </c>
      <c r="H32" s="8">
        <v>86</v>
      </c>
      <c r="I32" s="8">
        <v>25</v>
      </c>
      <c r="J32" s="8">
        <v>5</v>
      </c>
      <c r="K32" s="8">
        <v>10</v>
      </c>
      <c r="L32" s="8">
        <v>0.66666666666666663</v>
      </c>
      <c r="M32" s="8">
        <v>5</v>
      </c>
      <c r="N32" s="8">
        <v>25</v>
      </c>
    </row>
    <row r="33" spans="1:14" x14ac:dyDescent="0.2">
      <c r="A33">
        <v>837310284</v>
      </c>
      <c r="B33" s="8">
        <v>0.35907500000000003</v>
      </c>
      <c r="C33" s="8">
        <v>0.42750000000000005</v>
      </c>
      <c r="D33" s="8">
        <v>45</v>
      </c>
      <c r="E33" s="8">
        <v>18</v>
      </c>
      <c r="F33" s="8">
        <v>45</v>
      </c>
      <c r="G33" s="8">
        <v>0.41333333333333333</v>
      </c>
      <c r="H33" s="8">
        <v>46</v>
      </c>
      <c r="I33" s="8">
        <v>18</v>
      </c>
      <c r="J33" s="8">
        <v>4</v>
      </c>
      <c r="K33" s="8">
        <v>45</v>
      </c>
      <c r="L33" s="8">
        <v>0.24000000000000002</v>
      </c>
      <c r="M33" s="8">
        <v>0</v>
      </c>
      <c r="N33" s="8">
        <v>18</v>
      </c>
    </row>
    <row r="34" spans="1:14" x14ac:dyDescent="0.2">
      <c r="A34">
        <v>815854164</v>
      </c>
      <c r="B34" s="8">
        <v>0.60665833333333352</v>
      </c>
      <c r="C34" s="8">
        <v>0.82250000000000012</v>
      </c>
      <c r="D34" s="8">
        <v>89</v>
      </c>
      <c r="E34" s="8">
        <v>31</v>
      </c>
      <c r="F34" s="8">
        <v>89</v>
      </c>
      <c r="G34" s="8">
        <v>0.59000000000000008</v>
      </c>
      <c r="H34" s="8">
        <v>2</v>
      </c>
      <c r="I34" s="8">
        <v>31</v>
      </c>
      <c r="J34" s="8">
        <v>5</v>
      </c>
      <c r="K34" s="8">
        <v>89</v>
      </c>
      <c r="L34" s="8">
        <v>0.41333333333333333</v>
      </c>
      <c r="M34" s="8">
        <v>0</v>
      </c>
      <c r="N34" s="8">
        <v>31</v>
      </c>
    </row>
    <row r="35" spans="1:14" x14ac:dyDescent="0.2">
      <c r="A35">
        <v>315378369</v>
      </c>
      <c r="B35" s="8">
        <v>0.27268333333333333</v>
      </c>
      <c r="C35" s="8">
        <v>0.18000000000000002</v>
      </c>
      <c r="D35" s="8">
        <v>12</v>
      </c>
      <c r="E35" s="8">
        <v>18</v>
      </c>
      <c r="F35" s="8">
        <v>12</v>
      </c>
      <c r="G35" s="8">
        <v>0.26166666666666666</v>
      </c>
      <c r="H35" s="8">
        <v>31</v>
      </c>
      <c r="I35" s="8">
        <v>18</v>
      </c>
      <c r="J35" s="8">
        <v>3</v>
      </c>
      <c r="K35" s="8">
        <v>12</v>
      </c>
      <c r="L35" s="8">
        <v>0.37333333333333329</v>
      </c>
      <c r="M35" s="8">
        <v>2</v>
      </c>
      <c r="N35" s="8">
        <v>18</v>
      </c>
    </row>
    <row r="36" spans="1:14" x14ac:dyDescent="0.2">
      <c r="A36">
        <v>564410540</v>
      </c>
      <c r="B36" s="8">
        <v>0.49040833333333333</v>
      </c>
      <c r="C36" s="8">
        <v>0.33750000000000002</v>
      </c>
      <c r="D36" s="8">
        <v>21</v>
      </c>
      <c r="E36" s="8">
        <v>36</v>
      </c>
      <c r="F36" s="8">
        <v>21</v>
      </c>
      <c r="G36" s="8">
        <v>0.51666666666666672</v>
      </c>
      <c r="H36" s="8">
        <v>64</v>
      </c>
      <c r="I36" s="8">
        <v>36</v>
      </c>
      <c r="J36" s="8">
        <v>6</v>
      </c>
      <c r="K36" s="8">
        <v>21</v>
      </c>
      <c r="L36" s="8">
        <v>0.61333333333333329</v>
      </c>
      <c r="M36" s="8">
        <v>2</v>
      </c>
      <c r="N36" s="8">
        <v>36</v>
      </c>
    </row>
    <row r="37" spans="1:14" x14ac:dyDescent="0.2">
      <c r="A37">
        <v>126539887</v>
      </c>
      <c r="B37" s="8">
        <v>0.44310833333333333</v>
      </c>
      <c r="C37" s="8">
        <v>0.20750000000000002</v>
      </c>
      <c r="D37" s="8">
        <v>7</v>
      </c>
      <c r="E37" s="8">
        <v>31</v>
      </c>
      <c r="F37" s="8">
        <v>7</v>
      </c>
      <c r="G37" s="8">
        <v>0.5033333333333333</v>
      </c>
      <c r="H37" s="8">
        <v>84</v>
      </c>
      <c r="I37" s="8">
        <v>31</v>
      </c>
      <c r="J37" s="8">
        <v>8</v>
      </c>
      <c r="K37" s="8">
        <v>7</v>
      </c>
      <c r="L37" s="8">
        <v>0.61333333333333329</v>
      </c>
      <c r="M37" s="8">
        <v>3</v>
      </c>
      <c r="N37" s="8">
        <v>31</v>
      </c>
    </row>
    <row r="38" spans="1:14" x14ac:dyDescent="0.2">
      <c r="A38">
        <v>563937624</v>
      </c>
      <c r="B38" s="8">
        <v>0.28422500000000006</v>
      </c>
      <c r="C38" s="8">
        <v>8.7499999999999994E-2</v>
      </c>
      <c r="D38" s="8">
        <v>5</v>
      </c>
      <c r="E38" s="8">
        <v>10</v>
      </c>
      <c r="F38" s="8">
        <v>5</v>
      </c>
      <c r="G38" s="8">
        <v>0.36166666666666669</v>
      </c>
      <c r="H38" s="8">
        <v>97</v>
      </c>
      <c r="I38" s="8">
        <v>10</v>
      </c>
      <c r="J38" s="8">
        <v>7</v>
      </c>
      <c r="K38" s="8">
        <v>5</v>
      </c>
      <c r="L38" s="8">
        <v>0.4</v>
      </c>
      <c r="M38" s="8">
        <v>4</v>
      </c>
      <c r="N38" s="8">
        <v>10</v>
      </c>
    </row>
    <row r="39" spans="1:14" x14ac:dyDescent="0.2">
      <c r="A39">
        <v>684291511</v>
      </c>
      <c r="B39" s="8">
        <v>0.49017500000000003</v>
      </c>
      <c r="C39" s="8">
        <v>0.40750000000000003</v>
      </c>
      <c r="D39" s="8">
        <v>37</v>
      </c>
      <c r="E39" s="8">
        <v>26</v>
      </c>
      <c r="F39" s="8">
        <v>37</v>
      </c>
      <c r="G39" s="8">
        <v>0.58333333333333337</v>
      </c>
      <c r="H39" s="8">
        <v>82</v>
      </c>
      <c r="I39" s="8">
        <v>26</v>
      </c>
      <c r="J39" s="8">
        <v>9</v>
      </c>
      <c r="K39" s="8">
        <v>37</v>
      </c>
      <c r="L39" s="8">
        <v>0.48000000000000004</v>
      </c>
      <c r="M39" s="8">
        <v>2</v>
      </c>
      <c r="N39" s="8">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L39"/>
  <sheetViews>
    <sheetView workbookViewId="0">
      <selection sqref="A1:XFD1048576"/>
    </sheetView>
  </sheetViews>
  <sheetFormatPr baseColWidth="10" defaultColWidth="4.6640625" defaultRowHeight="15" x14ac:dyDescent="0.2"/>
  <cols>
    <col min="1" max="1" width="10" bestFit="1" customWidth="1"/>
    <col min="2" max="3" width="4.5" bestFit="1" customWidth="1"/>
    <col min="4" max="10" width="6.5" bestFit="1" customWidth="1"/>
    <col min="11" max="15" width="5.5" bestFit="1" customWidth="1"/>
    <col min="16" max="18" width="6.5" bestFit="1" customWidth="1"/>
    <col min="19" max="19" width="5.5" bestFit="1" customWidth="1"/>
    <col min="20" max="20" width="6.5" bestFit="1" customWidth="1"/>
    <col min="21" max="21" width="5.5" bestFit="1" customWidth="1"/>
    <col min="22" max="22" width="6.5" bestFit="1" customWidth="1"/>
    <col min="23" max="23" width="5.5" bestFit="1" customWidth="1"/>
    <col min="24" max="24" width="6.5" bestFit="1" customWidth="1"/>
    <col min="25" max="25" width="4.5" bestFit="1" customWidth="1"/>
    <col min="26" max="27" width="6.5" bestFit="1" customWidth="1"/>
    <col min="28" max="28" width="4.33203125" customWidth="1"/>
    <col min="29" max="29" width="9.33203125" bestFit="1" customWidth="1"/>
    <col min="30" max="30" width="5.5" bestFit="1" customWidth="1"/>
    <col min="31" max="31" width="4.5" bestFit="1" customWidth="1"/>
    <col min="32" max="32" width="3.6640625" bestFit="1" customWidth="1"/>
    <col min="33" max="33" width="4.5" bestFit="1" customWidth="1"/>
    <col min="34" max="36" width="4.6640625" bestFit="1" customWidth="1"/>
    <col min="37" max="37" width="4.5" bestFit="1" customWidth="1"/>
    <col min="38" max="38" width="4.6640625" bestFit="1" customWidth="1"/>
    <col min="39" max="39" width="4.5" bestFit="1" customWidth="1"/>
    <col min="40" max="40" width="4.6640625" bestFit="1" customWidth="1"/>
    <col min="41" max="41" width="4.5" bestFit="1" customWidth="1"/>
    <col min="42" max="42" width="3.6640625" bestFit="1" customWidth="1"/>
    <col min="43" max="44" width="4.5" bestFit="1" customWidth="1"/>
    <col min="45" max="45" width="4.6640625" bestFit="1" customWidth="1"/>
    <col min="46" max="46" width="3.6640625" bestFit="1" customWidth="1"/>
    <col min="47" max="47" width="4.5" bestFit="1" customWidth="1"/>
    <col min="48" max="48" width="3.33203125" bestFit="1" customWidth="1"/>
    <col min="49" max="49" width="4.5" bestFit="1" customWidth="1"/>
    <col min="50" max="50" width="4.6640625" bestFit="1" customWidth="1"/>
    <col min="51" max="52" width="3.6640625" bestFit="1" customWidth="1"/>
    <col min="53" max="54" width="4.5" bestFit="1" customWidth="1"/>
    <col min="55" max="55" width="4.33203125" bestFit="1" customWidth="1"/>
  </cols>
  <sheetData>
    <row r="1" spans="1:12" x14ac:dyDescent="0.2">
      <c r="A1" t="s">
        <v>42</v>
      </c>
      <c r="C1" t="s">
        <v>159</v>
      </c>
      <c r="E1" t="s">
        <v>135</v>
      </c>
      <c r="H1" t="s">
        <v>56</v>
      </c>
      <c r="K1" t="s">
        <v>155</v>
      </c>
    </row>
    <row r="2" spans="1:12" x14ac:dyDescent="0.2">
      <c r="D2" t="s">
        <v>44</v>
      </c>
      <c r="F2" t="s">
        <v>46</v>
      </c>
      <c r="G2" t="s">
        <v>47</v>
      </c>
      <c r="I2" t="s">
        <v>14</v>
      </c>
      <c r="J2" t="s">
        <v>47</v>
      </c>
      <c r="L2" t="s">
        <v>48</v>
      </c>
    </row>
    <row r="3" spans="1:12" x14ac:dyDescent="0.2">
      <c r="D3">
        <v>50</v>
      </c>
      <c r="F3">
        <v>100</v>
      </c>
      <c r="G3">
        <v>100</v>
      </c>
      <c r="I3">
        <v>100</v>
      </c>
      <c r="J3">
        <v>100</v>
      </c>
      <c r="L3">
        <v>50</v>
      </c>
    </row>
    <row r="4" spans="1:12" x14ac:dyDescent="0.2">
      <c r="D4">
        <v>0.1</v>
      </c>
      <c r="F4">
        <v>0.1</v>
      </c>
      <c r="G4">
        <v>0.1</v>
      </c>
      <c r="I4">
        <v>0.05</v>
      </c>
      <c r="J4">
        <v>0.1</v>
      </c>
      <c r="L4">
        <v>0.2</v>
      </c>
    </row>
    <row r="5" spans="1:12" x14ac:dyDescent="0.2">
      <c r="A5">
        <v>598829620</v>
      </c>
      <c r="B5" s="8">
        <v>0.27500000000000002</v>
      </c>
      <c r="C5" s="8">
        <v>0.4</v>
      </c>
      <c r="D5" s="8">
        <v>20</v>
      </c>
      <c r="E5" s="8">
        <v>0.15</v>
      </c>
      <c r="F5" s="8">
        <v>15</v>
      </c>
      <c r="G5" s="8">
        <v>15</v>
      </c>
      <c r="H5" s="8">
        <v>0.15</v>
      </c>
      <c r="I5" s="8">
        <v>15</v>
      </c>
      <c r="J5" s="8">
        <v>15</v>
      </c>
      <c r="K5" s="8">
        <v>0.4</v>
      </c>
      <c r="L5" s="8">
        <v>20</v>
      </c>
    </row>
    <row r="6" spans="1:12" x14ac:dyDescent="0.2">
      <c r="A6">
        <v>684014860</v>
      </c>
      <c r="B6" s="8">
        <v>0.56000000000000005</v>
      </c>
      <c r="C6" s="8">
        <v>0.56000000000000005</v>
      </c>
      <c r="D6" s="8">
        <v>28</v>
      </c>
      <c r="E6" s="8">
        <v>0.56000000000000005</v>
      </c>
      <c r="F6" s="8">
        <v>56</v>
      </c>
      <c r="G6" s="8">
        <v>56</v>
      </c>
      <c r="H6" s="8">
        <v>0.56000000000000005</v>
      </c>
      <c r="I6" s="8">
        <v>56</v>
      </c>
      <c r="J6" s="8">
        <v>56</v>
      </c>
      <c r="K6" s="8">
        <v>0.56000000000000005</v>
      </c>
      <c r="L6" s="8">
        <v>28</v>
      </c>
    </row>
    <row r="7" spans="1:12" x14ac:dyDescent="0.2">
      <c r="A7">
        <v>843228181</v>
      </c>
      <c r="B7" s="8">
        <v>0.51500000000000001</v>
      </c>
      <c r="C7" s="8">
        <v>0.42000000000000004</v>
      </c>
      <c r="D7" s="8">
        <v>21</v>
      </c>
      <c r="E7" s="8">
        <v>0.6100000000000001</v>
      </c>
      <c r="F7" s="8">
        <v>61</v>
      </c>
      <c r="G7" s="8">
        <v>61</v>
      </c>
      <c r="H7" s="8">
        <v>0.61</v>
      </c>
      <c r="I7" s="8">
        <v>61</v>
      </c>
      <c r="J7" s="8">
        <v>61</v>
      </c>
      <c r="K7" s="8">
        <v>0.42000000000000004</v>
      </c>
      <c r="L7" s="8">
        <v>21</v>
      </c>
    </row>
    <row r="8" spans="1:12" x14ac:dyDescent="0.2">
      <c r="A8">
        <v>820549378</v>
      </c>
      <c r="B8" s="8">
        <v>0.29000000000000004</v>
      </c>
      <c r="C8" s="8">
        <v>0.26</v>
      </c>
      <c r="D8" s="8">
        <v>13</v>
      </c>
      <c r="E8" s="8">
        <v>0.32</v>
      </c>
      <c r="F8" s="8">
        <v>32</v>
      </c>
      <c r="G8" s="8">
        <v>32</v>
      </c>
      <c r="H8" s="8">
        <v>0.32000000000000006</v>
      </c>
      <c r="I8" s="8">
        <v>32</v>
      </c>
      <c r="J8" s="8">
        <v>32</v>
      </c>
      <c r="K8" s="8">
        <v>0.26</v>
      </c>
      <c r="L8" s="8">
        <v>13</v>
      </c>
    </row>
    <row r="9" spans="1:12" x14ac:dyDescent="0.2">
      <c r="A9">
        <v>533572169</v>
      </c>
      <c r="B9" s="8">
        <v>0.17</v>
      </c>
      <c r="C9" s="8">
        <v>0.04</v>
      </c>
      <c r="D9" s="8">
        <v>2</v>
      </c>
      <c r="E9" s="8">
        <v>0.3</v>
      </c>
      <c r="F9" s="8">
        <v>30</v>
      </c>
      <c r="G9" s="8">
        <v>30</v>
      </c>
      <c r="H9" s="8">
        <v>0.3</v>
      </c>
      <c r="I9" s="8">
        <v>30</v>
      </c>
      <c r="J9" s="8">
        <v>30</v>
      </c>
      <c r="K9" s="8">
        <v>0.04</v>
      </c>
      <c r="L9" s="8">
        <v>2</v>
      </c>
    </row>
    <row r="10" spans="1:12" x14ac:dyDescent="0.2">
      <c r="A10">
        <v>975325712</v>
      </c>
      <c r="B10" s="8">
        <v>0.38</v>
      </c>
      <c r="C10" s="8">
        <v>0.36</v>
      </c>
      <c r="D10" s="8">
        <v>18</v>
      </c>
      <c r="E10" s="8">
        <v>0.4</v>
      </c>
      <c r="F10" s="8">
        <v>40</v>
      </c>
      <c r="G10" s="8">
        <v>40</v>
      </c>
      <c r="H10" s="8">
        <v>0.4</v>
      </c>
      <c r="I10" s="8">
        <v>40</v>
      </c>
      <c r="J10" s="8">
        <v>40</v>
      </c>
      <c r="K10" s="8">
        <v>0.36</v>
      </c>
      <c r="L10" s="8">
        <v>18</v>
      </c>
    </row>
    <row r="11" spans="1:12" x14ac:dyDescent="0.2">
      <c r="A11">
        <v>310082419</v>
      </c>
      <c r="B11" s="8">
        <v>0.13</v>
      </c>
      <c r="C11" s="8">
        <v>0.22000000000000003</v>
      </c>
      <c r="D11" s="8">
        <v>11</v>
      </c>
      <c r="E11" s="8">
        <v>0.04</v>
      </c>
      <c r="F11" s="8">
        <v>4</v>
      </c>
      <c r="G11" s="8">
        <v>4</v>
      </c>
      <c r="H11" s="8">
        <v>4.0000000000000008E-2</v>
      </c>
      <c r="I11" s="8">
        <v>4</v>
      </c>
      <c r="J11" s="8">
        <v>4</v>
      </c>
      <c r="K11" s="8">
        <v>0.22000000000000003</v>
      </c>
      <c r="L11" s="8">
        <v>11</v>
      </c>
    </row>
    <row r="12" spans="1:12" x14ac:dyDescent="0.2">
      <c r="A12">
        <v>242132470</v>
      </c>
      <c r="B12" s="8">
        <v>0.33500000000000002</v>
      </c>
      <c r="C12" s="8">
        <v>0.56000000000000005</v>
      </c>
      <c r="D12" s="8">
        <v>28</v>
      </c>
      <c r="E12" s="8">
        <v>0.11000000000000001</v>
      </c>
      <c r="F12" s="8">
        <v>11</v>
      </c>
      <c r="G12" s="8">
        <v>11</v>
      </c>
      <c r="H12" s="8">
        <v>0.11000000000000001</v>
      </c>
      <c r="I12" s="8">
        <v>11</v>
      </c>
      <c r="J12" s="8">
        <v>11</v>
      </c>
      <c r="K12" s="8">
        <v>0.56000000000000005</v>
      </c>
      <c r="L12" s="8">
        <v>28</v>
      </c>
    </row>
    <row r="13" spans="1:12" x14ac:dyDescent="0.2">
      <c r="A13">
        <v>208248363</v>
      </c>
      <c r="B13" s="8">
        <v>0.45500000000000002</v>
      </c>
      <c r="C13" s="8">
        <v>0.4</v>
      </c>
      <c r="D13" s="8">
        <v>20</v>
      </c>
      <c r="E13" s="8">
        <v>0.51</v>
      </c>
      <c r="F13" s="8">
        <v>51</v>
      </c>
      <c r="G13" s="8">
        <v>51</v>
      </c>
      <c r="H13" s="8">
        <v>0.51</v>
      </c>
      <c r="I13" s="8">
        <v>51</v>
      </c>
      <c r="J13" s="8">
        <v>51</v>
      </c>
      <c r="K13" s="8">
        <v>0.4</v>
      </c>
      <c r="L13" s="8">
        <v>20</v>
      </c>
    </row>
    <row r="14" spans="1:12" x14ac:dyDescent="0.2">
      <c r="A14">
        <v>277055951</v>
      </c>
      <c r="B14" s="8">
        <v>0.13</v>
      </c>
      <c r="C14" s="8">
        <v>0</v>
      </c>
      <c r="D14" s="8">
        <v>0</v>
      </c>
      <c r="E14" s="8">
        <v>0.26</v>
      </c>
      <c r="F14" s="8">
        <v>26</v>
      </c>
      <c r="G14" s="8">
        <v>26</v>
      </c>
      <c r="H14" s="8">
        <v>0.26</v>
      </c>
      <c r="I14" s="8">
        <v>26</v>
      </c>
      <c r="J14" s="8">
        <v>26</v>
      </c>
      <c r="K14" s="8">
        <v>0</v>
      </c>
      <c r="L14" s="8">
        <v>0</v>
      </c>
    </row>
    <row r="15" spans="1:12" x14ac:dyDescent="0.2">
      <c r="A15">
        <v>902907559</v>
      </c>
      <c r="B15" s="8">
        <v>0.49</v>
      </c>
      <c r="C15" s="8">
        <v>0.12000000000000002</v>
      </c>
      <c r="D15" s="8">
        <v>6</v>
      </c>
      <c r="E15" s="8">
        <v>0.86</v>
      </c>
      <c r="F15" s="8">
        <v>86</v>
      </c>
      <c r="G15" s="8">
        <v>86</v>
      </c>
      <c r="H15" s="8">
        <v>0.85999999999999988</v>
      </c>
      <c r="I15" s="8">
        <v>86</v>
      </c>
      <c r="J15" s="8">
        <v>86</v>
      </c>
      <c r="K15" s="8">
        <v>0.12000000000000002</v>
      </c>
      <c r="L15" s="8">
        <v>6</v>
      </c>
    </row>
    <row r="16" spans="1:12" x14ac:dyDescent="0.2">
      <c r="A16">
        <v>528297980</v>
      </c>
      <c r="B16" s="8">
        <v>0.60000000000000009</v>
      </c>
      <c r="C16" s="8">
        <v>0.62</v>
      </c>
      <c r="D16" s="8">
        <v>31</v>
      </c>
      <c r="E16" s="8">
        <v>0.58000000000000007</v>
      </c>
      <c r="F16" s="8">
        <v>58</v>
      </c>
      <c r="G16" s="8">
        <v>58</v>
      </c>
      <c r="H16" s="8">
        <v>0.58000000000000007</v>
      </c>
      <c r="I16" s="8">
        <v>58</v>
      </c>
      <c r="J16" s="8">
        <v>58</v>
      </c>
      <c r="K16" s="8">
        <v>0.62</v>
      </c>
      <c r="L16" s="8">
        <v>31</v>
      </c>
    </row>
    <row r="17" spans="1:12" x14ac:dyDescent="0.2">
      <c r="A17">
        <v>444882790</v>
      </c>
      <c r="B17" s="8">
        <v>9.5000000000000001E-2</v>
      </c>
      <c r="C17" s="8">
        <v>0.14000000000000001</v>
      </c>
      <c r="D17" s="8">
        <v>7</v>
      </c>
      <c r="E17" s="8">
        <v>0.05</v>
      </c>
      <c r="F17" s="8">
        <v>5</v>
      </c>
      <c r="G17" s="8">
        <v>5</v>
      </c>
      <c r="H17" s="8">
        <v>0.05</v>
      </c>
      <c r="I17" s="8">
        <v>5</v>
      </c>
      <c r="J17" s="8">
        <v>5</v>
      </c>
      <c r="K17" s="8">
        <v>0.14000000000000001</v>
      </c>
      <c r="L17" s="8">
        <v>7</v>
      </c>
    </row>
    <row r="18" spans="1:12" x14ac:dyDescent="0.2">
      <c r="A18">
        <v>112085131</v>
      </c>
      <c r="B18" s="8">
        <v>0.155</v>
      </c>
      <c r="C18" s="8">
        <v>0.18</v>
      </c>
      <c r="D18" s="8">
        <v>9</v>
      </c>
      <c r="E18" s="8">
        <v>0.13</v>
      </c>
      <c r="F18" s="8">
        <v>13</v>
      </c>
      <c r="G18" s="8">
        <v>13</v>
      </c>
      <c r="H18" s="8">
        <v>0.13</v>
      </c>
      <c r="I18" s="8">
        <v>13</v>
      </c>
      <c r="J18" s="8">
        <v>13</v>
      </c>
      <c r="K18" s="8">
        <v>0.18</v>
      </c>
      <c r="L18" s="8">
        <v>9</v>
      </c>
    </row>
    <row r="19" spans="1:12" x14ac:dyDescent="0.2">
      <c r="A19">
        <v>588642518</v>
      </c>
      <c r="B19" s="8">
        <v>0.81</v>
      </c>
      <c r="C19" s="8">
        <v>0.68</v>
      </c>
      <c r="D19" s="8">
        <v>34</v>
      </c>
      <c r="E19" s="8">
        <v>0.94000000000000006</v>
      </c>
      <c r="F19" s="8">
        <v>94</v>
      </c>
      <c r="G19" s="8">
        <v>94</v>
      </c>
      <c r="H19" s="8">
        <v>0.94000000000000006</v>
      </c>
      <c r="I19" s="8">
        <v>94</v>
      </c>
      <c r="J19" s="8">
        <v>94</v>
      </c>
      <c r="K19" s="8">
        <v>0.68</v>
      </c>
      <c r="L19" s="8">
        <v>34</v>
      </c>
    </row>
    <row r="20" spans="1:12" x14ac:dyDescent="0.2">
      <c r="A20">
        <v>414520736</v>
      </c>
      <c r="B20" s="8">
        <v>0.47499999999999998</v>
      </c>
      <c r="C20" s="8">
        <v>0.14000000000000001</v>
      </c>
      <c r="D20" s="8">
        <v>7</v>
      </c>
      <c r="E20" s="8">
        <v>0.80999999999999994</v>
      </c>
      <c r="F20" s="8">
        <v>81</v>
      </c>
      <c r="G20" s="8">
        <v>81</v>
      </c>
      <c r="H20" s="8">
        <v>0.80999999999999994</v>
      </c>
      <c r="I20" s="8">
        <v>81</v>
      </c>
      <c r="J20" s="8">
        <v>81</v>
      </c>
      <c r="K20" s="8">
        <v>0.14000000000000001</v>
      </c>
      <c r="L20" s="8">
        <v>7</v>
      </c>
    </row>
    <row r="21" spans="1:12" x14ac:dyDescent="0.2">
      <c r="A21">
        <v>356558346</v>
      </c>
      <c r="B21" s="8">
        <v>0.23499999999999999</v>
      </c>
      <c r="C21" s="8">
        <v>0.04</v>
      </c>
      <c r="D21" s="8">
        <v>2</v>
      </c>
      <c r="E21" s="8">
        <v>0.43</v>
      </c>
      <c r="F21" s="8">
        <v>43</v>
      </c>
      <c r="G21" s="8">
        <v>43</v>
      </c>
      <c r="H21" s="8">
        <v>0.42999999999999994</v>
      </c>
      <c r="I21" s="8">
        <v>43</v>
      </c>
      <c r="J21" s="8">
        <v>43</v>
      </c>
      <c r="K21" s="8">
        <v>0.04</v>
      </c>
      <c r="L21" s="8">
        <v>2</v>
      </c>
    </row>
    <row r="22" spans="1:12" x14ac:dyDescent="0.2">
      <c r="A22">
        <v>970698993</v>
      </c>
      <c r="B22" s="8">
        <v>0.51500000000000001</v>
      </c>
      <c r="C22" s="8">
        <v>0.08</v>
      </c>
      <c r="D22" s="8">
        <v>4</v>
      </c>
      <c r="E22" s="8">
        <v>0.95</v>
      </c>
      <c r="F22" s="8">
        <v>95</v>
      </c>
      <c r="G22" s="8">
        <v>95</v>
      </c>
      <c r="H22" s="8">
        <v>0.95</v>
      </c>
      <c r="I22" s="8">
        <v>95</v>
      </c>
      <c r="J22" s="8">
        <v>95</v>
      </c>
      <c r="K22" s="8">
        <v>0.08</v>
      </c>
      <c r="L22" s="8">
        <v>4</v>
      </c>
    </row>
    <row r="23" spans="1:12" x14ac:dyDescent="0.2">
      <c r="A23">
        <v>633537205</v>
      </c>
      <c r="B23" s="8">
        <v>0.23</v>
      </c>
      <c r="C23" s="8">
        <v>0.1</v>
      </c>
      <c r="D23" s="8">
        <v>5</v>
      </c>
      <c r="E23" s="8">
        <v>0.36</v>
      </c>
      <c r="F23" s="8">
        <v>36</v>
      </c>
      <c r="G23" s="8">
        <v>36</v>
      </c>
      <c r="H23" s="8">
        <v>0.36000000000000004</v>
      </c>
      <c r="I23" s="8">
        <v>36</v>
      </c>
      <c r="J23" s="8">
        <v>36</v>
      </c>
      <c r="K23" s="8">
        <v>0.1</v>
      </c>
      <c r="L23" s="8">
        <v>5</v>
      </c>
    </row>
    <row r="24" spans="1:12" x14ac:dyDescent="0.2">
      <c r="A24">
        <v>534292868</v>
      </c>
      <c r="B24" s="8">
        <v>0.49</v>
      </c>
      <c r="C24" s="8">
        <v>0.08</v>
      </c>
      <c r="D24" s="8">
        <v>4</v>
      </c>
      <c r="E24" s="8">
        <v>0.9</v>
      </c>
      <c r="F24" s="8">
        <v>90</v>
      </c>
      <c r="G24" s="8">
        <v>90</v>
      </c>
      <c r="H24" s="8">
        <v>0.9</v>
      </c>
      <c r="I24" s="8">
        <v>90</v>
      </c>
      <c r="J24" s="8">
        <v>90</v>
      </c>
      <c r="K24" s="8">
        <v>0.08</v>
      </c>
      <c r="L24" s="8">
        <v>4</v>
      </c>
    </row>
    <row r="25" spans="1:12" x14ac:dyDescent="0.2">
      <c r="A25">
        <v>816787809</v>
      </c>
      <c r="B25" s="8">
        <v>0.55500000000000005</v>
      </c>
      <c r="C25" s="8">
        <v>0.64</v>
      </c>
      <c r="D25" s="8">
        <v>32</v>
      </c>
      <c r="E25" s="8">
        <v>0.47000000000000003</v>
      </c>
      <c r="F25" s="8">
        <v>47</v>
      </c>
      <c r="G25" s="8">
        <v>47</v>
      </c>
      <c r="H25" s="8">
        <v>0.47000000000000003</v>
      </c>
      <c r="I25" s="8">
        <v>47</v>
      </c>
      <c r="J25" s="8">
        <v>47</v>
      </c>
      <c r="K25" s="8">
        <v>0.64</v>
      </c>
      <c r="L25" s="8">
        <v>32</v>
      </c>
    </row>
    <row r="26" spans="1:12" x14ac:dyDescent="0.2">
      <c r="A26">
        <v>220052551</v>
      </c>
      <c r="B26" s="8">
        <v>0.44000000000000006</v>
      </c>
      <c r="C26" s="8">
        <v>0.14000000000000001</v>
      </c>
      <c r="D26" s="8">
        <v>7</v>
      </c>
      <c r="E26" s="8">
        <v>0.74</v>
      </c>
      <c r="F26" s="8">
        <v>74</v>
      </c>
      <c r="G26" s="8">
        <v>74</v>
      </c>
      <c r="H26" s="8">
        <v>0.7400000000000001</v>
      </c>
      <c r="I26" s="8">
        <v>74</v>
      </c>
      <c r="J26" s="8">
        <v>74</v>
      </c>
      <c r="K26" s="8">
        <v>0.14000000000000001</v>
      </c>
      <c r="L26" s="8">
        <v>7</v>
      </c>
    </row>
    <row r="27" spans="1:12" x14ac:dyDescent="0.2">
      <c r="A27">
        <v>858571733</v>
      </c>
      <c r="B27" s="8">
        <v>0.17500000000000002</v>
      </c>
      <c r="C27" s="8">
        <v>0.16</v>
      </c>
      <c r="D27" s="8">
        <v>8</v>
      </c>
      <c r="E27" s="8">
        <v>0.19</v>
      </c>
      <c r="F27" s="8">
        <v>19</v>
      </c>
      <c r="G27" s="8">
        <v>19</v>
      </c>
      <c r="H27" s="8">
        <v>0.19</v>
      </c>
      <c r="I27" s="8">
        <v>19</v>
      </c>
      <c r="J27" s="8">
        <v>19</v>
      </c>
      <c r="K27" s="8">
        <v>0.16</v>
      </c>
      <c r="L27" s="8">
        <v>8</v>
      </c>
    </row>
    <row r="28" spans="1:12" x14ac:dyDescent="0.2">
      <c r="A28">
        <v>363436152</v>
      </c>
      <c r="B28" s="8">
        <v>0.33500000000000002</v>
      </c>
      <c r="C28" s="8">
        <v>0.46000000000000008</v>
      </c>
      <c r="D28" s="8">
        <v>23</v>
      </c>
      <c r="E28" s="8">
        <v>0.21000000000000002</v>
      </c>
      <c r="F28" s="8">
        <v>21</v>
      </c>
      <c r="G28" s="8">
        <v>21</v>
      </c>
      <c r="H28" s="8">
        <v>0.21000000000000002</v>
      </c>
      <c r="I28" s="8">
        <v>21</v>
      </c>
      <c r="J28" s="8">
        <v>21</v>
      </c>
      <c r="K28" s="8">
        <v>0.46000000000000008</v>
      </c>
      <c r="L28" s="8">
        <v>23</v>
      </c>
    </row>
    <row r="29" spans="1:12" x14ac:dyDescent="0.2">
      <c r="A29">
        <v>393495083</v>
      </c>
      <c r="B29" s="8">
        <v>0.54499999999999993</v>
      </c>
      <c r="C29" s="8">
        <v>0.18</v>
      </c>
      <c r="D29" s="8">
        <v>9</v>
      </c>
      <c r="E29" s="8">
        <v>0.90999999999999992</v>
      </c>
      <c r="F29" s="8">
        <v>91</v>
      </c>
      <c r="G29" s="8">
        <v>91</v>
      </c>
      <c r="H29" s="8">
        <v>0.90999999999999992</v>
      </c>
      <c r="I29" s="8">
        <v>91</v>
      </c>
      <c r="J29" s="8">
        <v>91</v>
      </c>
      <c r="K29" s="8">
        <v>0.18</v>
      </c>
      <c r="L29" s="8">
        <v>9</v>
      </c>
    </row>
    <row r="30" spans="1:12" x14ac:dyDescent="0.2">
      <c r="A30">
        <v>769635714</v>
      </c>
      <c r="B30" s="8">
        <v>0.76</v>
      </c>
      <c r="C30" s="8">
        <v>0.64</v>
      </c>
      <c r="D30" s="8">
        <v>32</v>
      </c>
      <c r="E30" s="8">
        <v>0.88000000000000012</v>
      </c>
      <c r="F30" s="8">
        <v>88</v>
      </c>
      <c r="G30" s="8">
        <v>88</v>
      </c>
      <c r="H30" s="8">
        <v>0.88000000000000012</v>
      </c>
      <c r="I30" s="8">
        <v>88</v>
      </c>
      <c r="J30" s="8">
        <v>88</v>
      </c>
      <c r="K30" s="8">
        <v>0.64</v>
      </c>
      <c r="L30" s="8">
        <v>32</v>
      </c>
    </row>
    <row r="31" spans="1:12" x14ac:dyDescent="0.2">
      <c r="A31">
        <v>373048949</v>
      </c>
      <c r="B31" s="8">
        <v>0.55000000000000004</v>
      </c>
      <c r="C31" s="8">
        <v>0.3</v>
      </c>
      <c r="D31" s="8">
        <v>15</v>
      </c>
      <c r="E31" s="8">
        <v>0.8</v>
      </c>
      <c r="F31" s="8">
        <v>80</v>
      </c>
      <c r="G31" s="8">
        <v>80</v>
      </c>
      <c r="H31" s="8">
        <v>0.8</v>
      </c>
      <c r="I31" s="8">
        <v>80</v>
      </c>
      <c r="J31" s="8">
        <v>80</v>
      </c>
      <c r="K31" s="8">
        <v>0.3</v>
      </c>
      <c r="L31" s="8">
        <v>15</v>
      </c>
    </row>
    <row r="32" spans="1:12" x14ac:dyDescent="0.2">
      <c r="A32">
        <v>357061292</v>
      </c>
      <c r="B32" s="8">
        <v>0.3</v>
      </c>
      <c r="C32" s="8">
        <v>0.5</v>
      </c>
      <c r="D32" s="8">
        <v>25</v>
      </c>
      <c r="E32" s="8">
        <v>0.1</v>
      </c>
      <c r="F32" s="8">
        <v>10</v>
      </c>
      <c r="G32" s="8">
        <v>10</v>
      </c>
      <c r="H32" s="8">
        <v>0.1</v>
      </c>
      <c r="I32" s="8">
        <v>10</v>
      </c>
      <c r="J32" s="8">
        <v>10</v>
      </c>
      <c r="K32" s="8">
        <v>0.5</v>
      </c>
      <c r="L32" s="8">
        <v>25</v>
      </c>
    </row>
    <row r="33" spans="1:12" x14ac:dyDescent="0.2">
      <c r="A33">
        <v>837310284</v>
      </c>
      <c r="B33" s="8">
        <v>0.40500000000000003</v>
      </c>
      <c r="C33" s="8">
        <v>0.36</v>
      </c>
      <c r="D33" s="8">
        <v>18</v>
      </c>
      <c r="E33" s="8">
        <v>0.45</v>
      </c>
      <c r="F33" s="8">
        <v>45</v>
      </c>
      <c r="G33" s="8">
        <v>45</v>
      </c>
      <c r="H33" s="8">
        <v>0.45</v>
      </c>
      <c r="I33" s="8">
        <v>45</v>
      </c>
      <c r="J33" s="8">
        <v>45</v>
      </c>
      <c r="K33" s="8">
        <v>0.36</v>
      </c>
      <c r="L33" s="8">
        <v>18</v>
      </c>
    </row>
    <row r="34" spans="1:12" x14ac:dyDescent="0.2">
      <c r="A34">
        <v>815854164</v>
      </c>
      <c r="B34" s="8">
        <v>0.755</v>
      </c>
      <c r="C34" s="8">
        <v>0.62</v>
      </c>
      <c r="D34" s="8">
        <v>31</v>
      </c>
      <c r="E34" s="8">
        <v>0.89</v>
      </c>
      <c r="F34" s="8">
        <v>89</v>
      </c>
      <c r="G34" s="8">
        <v>89</v>
      </c>
      <c r="H34" s="8">
        <v>0.89000000000000012</v>
      </c>
      <c r="I34" s="8">
        <v>89</v>
      </c>
      <c r="J34" s="8">
        <v>89</v>
      </c>
      <c r="K34" s="8">
        <v>0.62</v>
      </c>
      <c r="L34" s="8">
        <v>31</v>
      </c>
    </row>
    <row r="35" spans="1:12" x14ac:dyDescent="0.2">
      <c r="A35">
        <v>315378369</v>
      </c>
      <c r="B35" s="8">
        <v>0.24</v>
      </c>
      <c r="C35" s="8">
        <v>0.36</v>
      </c>
      <c r="D35" s="8">
        <v>18</v>
      </c>
      <c r="E35" s="8">
        <v>0.12000000000000002</v>
      </c>
      <c r="F35" s="8">
        <v>12</v>
      </c>
      <c r="G35" s="8">
        <v>12</v>
      </c>
      <c r="H35" s="8">
        <v>0.12000000000000002</v>
      </c>
      <c r="I35" s="8">
        <v>12</v>
      </c>
      <c r="J35" s="8">
        <v>12</v>
      </c>
      <c r="K35" s="8">
        <v>0.36</v>
      </c>
      <c r="L35" s="8">
        <v>18</v>
      </c>
    </row>
    <row r="36" spans="1:12" x14ac:dyDescent="0.2">
      <c r="A36">
        <v>564410540</v>
      </c>
      <c r="B36" s="8">
        <v>0.46499999999999997</v>
      </c>
      <c r="C36" s="8">
        <v>0.72</v>
      </c>
      <c r="D36" s="8">
        <v>36</v>
      </c>
      <c r="E36" s="8">
        <v>0.21000000000000002</v>
      </c>
      <c r="F36" s="8">
        <v>21</v>
      </c>
      <c r="G36" s="8">
        <v>21</v>
      </c>
      <c r="H36" s="8">
        <v>0.21000000000000002</v>
      </c>
      <c r="I36" s="8">
        <v>21</v>
      </c>
      <c r="J36" s="8">
        <v>21</v>
      </c>
      <c r="K36" s="8">
        <v>0.72</v>
      </c>
      <c r="L36" s="8">
        <v>36</v>
      </c>
    </row>
    <row r="37" spans="1:12" x14ac:dyDescent="0.2">
      <c r="A37">
        <v>126539887</v>
      </c>
      <c r="B37" s="8">
        <v>0.34499999999999997</v>
      </c>
      <c r="C37" s="8">
        <v>0.62</v>
      </c>
      <c r="D37" s="8">
        <v>31</v>
      </c>
      <c r="E37" s="8">
        <v>7.0000000000000007E-2</v>
      </c>
      <c r="F37" s="8">
        <v>7</v>
      </c>
      <c r="G37" s="8">
        <v>7</v>
      </c>
      <c r="H37" s="8">
        <v>7.0000000000000007E-2</v>
      </c>
      <c r="I37" s="8">
        <v>7</v>
      </c>
      <c r="J37" s="8">
        <v>7</v>
      </c>
      <c r="K37" s="8">
        <v>0.62</v>
      </c>
      <c r="L37" s="8">
        <v>31</v>
      </c>
    </row>
    <row r="38" spans="1:12" x14ac:dyDescent="0.2">
      <c r="A38">
        <v>563937624</v>
      </c>
      <c r="B38" s="8">
        <v>0.125</v>
      </c>
      <c r="C38" s="8">
        <v>0.2</v>
      </c>
      <c r="D38" s="8">
        <v>10</v>
      </c>
      <c r="E38" s="8">
        <v>0.05</v>
      </c>
      <c r="F38" s="8">
        <v>5</v>
      </c>
      <c r="G38" s="8">
        <v>5</v>
      </c>
      <c r="H38" s="8">
        <v>0.05</v>
      </c>
      <c r="I38" s="8">
        <v>5</v>
      </c>
      <c r="J38" s="8">
        <v>5</v>
      </c>
      <c r="K38" s="8">
        <v>0.2</v>
      </c>
      <c r="L38" s="8">
        <v>10</v>
      </c>
    </row>
    <row r="39" spans="1:12" x14ac:dyDescent="0.2">
      <c r="A39">
        <v>684291511</v>
      </c>
      <c r="B39" s="8">
        <v>0.44500000000000001</v>
      </c>
      <c r="C39" s="8">
        <v>0.52</v>
      </c>
      <c r="D39" s="8">
        <v>26</v>
      </c>
      <c r="E39" s="8">
        <v>0.37</v>
      </c>
      <c r="F39" s="8">
        <v>37</v>
      </c>
      <c r="G39" s="8">
        <v>37</v>
      </c>
      <c r="H39" s="8">
        <v>0.37000000000000005</v>
      </c>
      <c r="I39" s="8">
        <v>37</v>
      </c>
      <c r="J39" s="8">
        <v>37</v>
      </c>
      <c r="K39" s="8">
        <v>0.52</v>
      </c>
      <c r="L39" s="8">
        <v>26</v>
      </c>
    </row>
  </sheetData>
  <pageMargins left="0.7" right="0.7" top="0.75" bottom="0.75" header="0.3" footer="0.3"/>
  <pageSetup orientation="portrait" horizontalDpi="200" verticalDpi="2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L39"/>
  <sheetViews>
    <sheetView workbookViewId="0">
      <selection sqref="A1:XFD1048576"/>
    </sheetView>
  </sheetViews>
  <sheetFormatPr baseColWidth="10" defaultColWidth="8.83203125" defaultRowHeight="15" x14ac:dyDescent="0.2"/>
  <cols>
    <col min="1" max="1" width="10" bestFit="1" customWidth="1"/>
    <col min="2" max="2" width="4.5" bestFit="1" customWidth="1"/>
    <col min="3" max="3" width="5" bestFit="1" customWidth="1"/>
    <col min="4" max="4" width="6.5" bestFit="1" customWidth="1"/>
    <col min="5" max="5" width="9" bestFit="1" customWidth="1"/>
    <col min="6" max="6" width="6.5" bestFit="1" customWidth="1"/>
    <col min="7" max="7" width="9" bestFit="1" customWidth="1"/>
    <col min="8" max="8" width="6.5" bestFit="1" customWidth="1"/>
    <col min="9" max="9" width="9" bestFit="1" customWidth="1"/>
    <col min="10" max="10" width="6" bestFit="1" customWidth="1"/>
  </cols>
  <sheetData>
    <row r="1" spans="1:12" x14ac:dyDescent="0.2">
      <c r="A1" t="s">
        <v>479</v>
      </c>
      <c r="C1" t="s">
        <v>57</v>
      </c>
      <c r="K1" t="s">
        <v>58</v>
      </c>
    </row>
    <row r="2" spans="1:12" x14ac:dyDescent="0.2">
      <c r="D2" t="s">
        <v>13</v>
      </c>
      <c r="E2" t="s">
        <v>14</v>
      </c>
      <c r="F2" t="s">
        <v>16</v>
      </c>
      <c r="G2" t="s">
        <v>45</v>
      </c>
      <c r="H2" t="s">
        <v>49</v>
      </c>
      <c r="I2" t="s">
        <v>50</v>
      </c>
      <c r="J2" t="s">
        <v>51</v>
      </c>
      <c r="L2" t="s">
        <v>48</v>
      </c>
    </row>
    <row r="3" spans="1:12" x14ac:dyDescent="0.2">
      <c r="D3">
        <v>5</v>
      </c>
      <c r="E3">
        <v>100</v>
      </c>
      <c r="F3">
        <v>100</v>
      </c>
      <c r="G3">
        <v>40</v>
      </c>
      <c r="H3">
        <v>10</v>
      </c>
      <c r="I3">
        <v>100</v>
      </c>
      <c r="J3">
        <v>50</v>
      </c>
      <c r="L3">
        <v>50</v>
      </c>
    </row>
    <row r="4" spans="1:12" x14ac:dyDescent="0.2">
      <c r="D4">
        <v>1</v>
      </c>
      <c r="E4">
        <v>0.05</v>
      </c>
      <c r="F4">
        <v>0.05</v>
      </c>
      <c r="G4">
        <v>0.125</v>
      </c>
      <c r="H4">
        <v>0.5</v>
      </c>
      <c r="I4">
        <v>0.1</v>
      </c>
      <c r="J4">
        <v>0.2</v>
      </c>
      <c r="L4">
        <v>0.2</v>
      </c>
    </row>
    <row r="5" spans="1:12" x14ac:dyDescent="0.2">
      <c r="A5">
        <v>598829620</v>
      </c>
      <c r="B5" s="8">
        <v>0.34444444444444444</v>
      </c>
      <c r="C5" s="8">
        <v>0.28888888888888886</v>
      </c>
      <c r="D5" s="8">
        <v>3</v>
      </c>
      <c r="E5" s="8">
        <v>15</v>
      </c>
      <c r="F5" s="8">
        <v>55</v>
      </c>
      <c r="G5" s="8">
        <v>8</v>
      </c>
      <c r="H5" s="8">
        <v>0</v>
      </c>
      <c r="I5" s="8">
        <v>15</v>
      </c>
      <c r="J5" s="8">
        <v>20</v>
      </c>
      <c r="K5" s="8">
        <v>0.4</v>
      </c>
      <c r="L5" s="8">
        <v>20</v>
      </c>
    </row>
    <row r="6" spans="1:12" x14ac:dyDescent="0.2">
      <c r="A6">
        <v>684014860</v>
      </c>
      <c r="B6" s="8">
        <v>0.52666666666666673</v>
      </c>
      <c r="C6" s="8">
        <v>0.4933333333333334</v>
      </c>
      <c r="D6" s="8">
        <v>4</v>
      </c>
      <c r="E6" s="8">
        <v>56</v>
      </c>
      <c r="F6" s="8">
        <v>9</v>
      </c>
      <c r="G6" s="8">
        <v>22</v>
      </c>
      <c r="H6" s="8">
        <v>2</v>
      </c>
      <c r="I6" s="8">
        <v>56</v>
      </c>
      <c r="J6" s="8">
        <v>28</v>
      </c>
      <c r="K6" s="8">
        <v>0.56000000000000005</v>
      </c>
      <c r="L6" s="8">
        <v>28</v>
      </c>
    </row>
    <row r="7" spans="1:12" x14ac:dyDescent="0.2">
      <c r="A7">
        <v>843228181</v>
      </c>
      <c r="B7" s="8">
        <v>0.47861111111111115</v>
      </c>
      <c r="C7" s="8">
        <v>0.53722222222222227</v>
      </c>
      <c r="D7" s="8">
        <v>5</v>
      </c>
      <c r="E7" s="8">
        <v>61</v>
      </c>
      <c r="F7" s="8">
        <v>19</v>
      </c>
      <c r="G7" s="8">
        <v>19</v>
      </c>
      <c r="H7" s="8">
        <v>5</v>
      </c>
      <c r="I7" s="8">
        <v>61</v>
      </c>
      <c r="J7" s="8">
        <v>21</v>
      </c>
      <c r="K7" s="8">
        <v>0.42000000000000004</v>
      </c>
      <c r="L7" s="8">
        <v>21</v>
      </c>
    </row>
    <row r="8" spans="1:12" x14ac:dyDescent="0.2">
      <c r="A8">
        <v>820549378</v>
      </c>
      <c r="B8" s="8">
        <v>0.36027777777777781</v>
      </c>
      <c r="C8" s="8">
        <v>0.46055555555555561</v>
      </c>
      <c r="D8" s="8">
        <v>4</v>
      </c>
      <c r="E8" s="8">
        <v>32</v>
      </c>
      <c r="F8" s="8">
        <v>79</v>
      </c>
      <c r="G8" s="8">
        <v>31</v>
      </c>
      <c r="H8" s="8">
        <v>3</v>
      </c>
      <c r="I8" s="8">
        <v>32</v>
      </c>
      <c r="J8" s="8">
        <v>13</v>
      </c>
      <c r="K8" s="8">
        <v>0.26</v>
      </c>
      <c r="L8" s="8">
        <v>13</v>
      </c>
    </row>
    <row r="9" spans="1:12" x14ac:dyDescent="0.2">
      <c r="A9">
        <v>533572169</v>
      </c>
      <c r="B9" s="8">
        <v>0.21083333333333329</v>
      </c>
      <c r="C9" s="8">
        <v>0.3816666666666666</v>
      </c>
      <c r="D9" s="8">
        <v>0</v>
      </c>
      <c r="E9" s="8">
        <v>30</v>
      </c>
      <c r="F9" s="8">
        <v>88</v>
      </c>
      <c r="G9" s="8">
        <v>27</v>
      </c>
      <c r="H9" s="8">
        <v>9</v>
      </c>
      <c r="I9" s="8">
        <v>30</v>
      </c>
      <c r="J9" s="8">
        <v>2</v>
      </c>
      <c r="K9" s="8">
        <v>0.04</v>
      </c>
      <c r="L9" s="8">
        <v>2</v>
      </c>
    </row>
    <row r="10" spans="1:12" x14ac:dyDescent="0.2">
      <c r="A10">
        <v>975325712</v>
      </c>
      <c r="B10" s="8">
        <v>0.38972222222222225</v>
      </c>
      <c r="C10" s="8">
        <v>0.41944444444444445</v>
      </c>
      <c r="D10" s="8">
        <v>2</v>
      </c>
      <c r="E10" s="8">
        <v>40</v>
      </c>
      <c r="F10" s="8">
        <v>63</v>
      </c>
      <c r="G10" s="8">
        <v>1</v>
      </c>
      <c r="H10" s="8">
        <v>8</v>
      </c>
      <c r="I10" s="8">
        <v>40</v>
      </c>
      <c r="J10" s="8">
        <v>18</v>
      </c>
      <c r="K10" s="8">
        <v>0.36</v>
      </c>
      <c r="L10" s="8">
        <v>18</v>
      </c>
    </row>
    <row r="11" spans="1:12" x14ac:dyDescent="0.2">
      <c r="A11">
        <v>310082419</v>
      </c>
      <c r="B11" s="8">
        <v>0.26083333333333336</v>
      </c>
      <c r="C11" s="8">
        <v>0.30166666666666675</v>
      </c>
      <c r="D11" s="8">
        <v>3</v>
      </c>
      <c r="E11" s="8">
        <v>4</v>
      </c>
      <c r="F11" s="8">
        <v>83</v>
      </c>
      <c r="G11" s="8">
        <v>17</v>
      </c>
      <c r="H11" s="8">
        <v>3</v>
      </c>
      <c r="I11" s="8">
        <v>4</v>
      </c>
      <c r="J11" s="8">
        <v>11</v>
      </c>
      <c r="K11" s="8">
        <v>0.22000000000000003</v>
      </c>
      <c r="L11" s="8">
        <v>11</v>
      </c>
    </row>
    <row r="12" spans="1:12" x14ac:dyDescent="0.2">
      <c r="A12">
        <v>242132470</v>
      </c>
      <c r="B12" s="8">
        <v>0.45916666666666672</v>
      </c>
      <c r="C12" s="8">
        <v>0.35833333333333334</v>
      </c>
      <c r="D12" s="8">
        <v>0</v>
      </c>
      <c r="E12" s="8">
        <v>11</v>
      </c>
      <c r="F12" s="8">
        <v>55</v>
      </c>
      <c r="G12" s="8">
        <v>9</v>
      </c>
      <c r="H12" s="8">
        <v>10</v>
      </c>
      <c r="I12" s="8">
        <v>11</v>
      </c>
      <c r="J12" s="8">
        <v>28</v>
      </c>
      <c r="K12" s="8">
        <v>0.56000000000000005</v>
      </c>
      <c r="L12" s="8">
        <v>28</v>
      </c>
    </row>
    <row r="13" spans="1:12" x14ac:dyDescent="0.2">
      <c r="A13">
        <v>208248363</v>
      </c>
      <c r="B13" s="8">
        <v>0.47138888888888891</v>
      </c>
      <c r="C13" s="8">
        <v>0.5427777777777778</v>
      </c>
      <c r="D13" s="8">
        <v>4</v>
      </c>
      <c r="E13" s="8">
        <v>51</v>
      </c>
      <c r="F13" s="8">
        <v>58</v>
      </c>
      <c r="G13" s="8">
        <v>19</v>
      </c>
      <c r="H13" s="8">
        <v>7</v>
      </c>
      <c r="I13" s="8">
        <v>51</v>
      </c>
      <c r="J13" s="8">
        <v>20</v>
      </c>
      <c r="K13" s="8">
        <v>0.4</v>
      </c>
      <c r="L13" s="8">
        <v>20</v>
      </c>
    </row>
    <row r="14" spans="1:12" x14ac:dyDescent="0.2">
      <c r="A14">
        <v>277055951</v>
      </c>
      <c r="B14" s="8">
        <v>0.18555555555555558</v>
      </c>
      <c r="C14" s="8">
        <v>0.37111111111111117</v>
      </c>
      <c r="D14" s="8">
        <v>2</v>
      </c>
      <c r="E14" s="8">
        <v>26</v>
      </c>
      <c r="F14" s="8">
        <v>96</v>
      </c>
      <c r="G14" s="8">
        <v>24</v>
      </c>
      <c r="H14" s="8">
        <v>6</v>
      </c>
      <c r="I14" s="8">
        <v>26</v>
      </c>
      <c r="J14" s="8">
        <v>0</v>
      </c>
      <c r="K14" s="8">
        <v>0</v>
      </c>
      <c r="L14" s="8">
        <v>0</v>
      </c>
    </row>
    <row r="15" spans="1:12" x14ac:dyDescent="0.2">
      <c r="A15">
        <v>902907559</v>
      </c>
      <c r="B15" s="8">
        <v>0.32222222222222219</v>
      </c>
      <c r="C15" s="8">
        <v>0.52444444444444438</v>
      </c>
      <c r="D15" s="8">
        <v>5</v>
      </c>
      <c r="E15" s="8">
        <v>86</v>
      </c>
      <c r="F15" s="8">
        <v>30</v>
      </c>
      <c r="G15" s="8">
        <v>4</v>
      </c>
      <c r="H15" s="8">
        <v>5</v>
      </c>
      <c r="I15" s="8">
        <v>86</v>
      </c>
      <c r="J15" s="8">
        <v>6</v>
      </c>
      <c r="K15" s="8">
        <v>0.12000000000000002</v>
      </c>
      <c r="L15" s="8">
        <v>6</v>
      </c>
    </row>
    <row r="16" spans="1:12" x14ac:dyDescent="0.2">
      <c r="A16">
        <v>528297980</v>
      </c>
      <c r="B16" s="8">
        <v>0.61611111111111116</v>
      </c>
      <c r="C16" s="8">
        <v>0.61222222222222222</v>
      </c>
      <c r="D16" s="8">
        <v>3</v>
      </c>
      <c r="E16" s="8">
        <v>58</v>
      </c>
      <c r="F16" s="8">
        <v>78</v>
      </c>
      <c r="G16" s="8">
        <v>14</v>
      </c>
      <c r="H16" s="8">
        <v>8</v>
      </c>
      <c r="I16" s="8">
        <v>58</v>
      </c>
      <c r="J16" s="8">
        <v>31</v>
      </c>
      <c r="K16" s="8">
        <v>0.62</v>
      </c>
      <c r="L16" s="8">
        <v>31</v>
      </c>
    </row>
    <row r="17" spans="1:12" x14ac:dyDescent="0.2">
      <c r="A17">
        <v>444882790</v>
      </c>
      <c r="B17" s="8">
        <v>0.23333333333333336</v>
      </c>
      <c r="C17" s="8">
        <v>0.32666666666666672</v>
      </c>
      <c r="D17" s="8">
        <v>4</v>
      </c>
      <c r="E17" s="8">
        <v>5</v>
      </c>
      <c r="F17" s="8">
        <v>21</v>
      </c>
      <c r="G17" s="8">
        <v>24</v>
      </c>
      <c r="H17" s="8">
        <v>9</v>
      </c>
      <c r="I17" s="8">
        <v>5</v>
      </c>
      <c r="J17" s="8">
        <v>7</v>
      </c>
      <c r="K17" s="8">
        <v>0.14000000000000001</v>
      </c>
      <c r="L17" s="8">
        <v>7</v>
      </c>
    </row>
    <row r="18" spans="1:12" x14ac:dyDescent="0.2">
      <c r="A18">
        <v>112085131</v>
      </c>
      <c r="B18" s="8">
        <v>0.22972222222222224</v>
      </c>
      <c r="C18" s="8">
        <v>0.2794444444444445</v>
      </c>
      <c r="D18" s="8">
        <v>0</v>
      </c>
      <c r="E18" s="8">
        <v>13</v>
      </c>
      <c r="F18" s="8">
        <v>69</v>
      </c>
      <c r="G18" s="8">
        <v>27</v>
      </c>
      <c r="H18" s="8">
        <v>4</v>
      </c>
      <c r="I18" s="8">
        <v>13</v>
      </c>
      <c r="J18" s="8">
        <v>9</v>
      </c>
      <c r="K18" s="8">
        <v>0.18</v>
      </c>
      <c r="L18" s="8">
        <v>9</v>
      </c>
    </row>
    <row r="19" spans="1:12" x14ac:dyDescent="0.2">
      <c r="A19">
        <v>588642518</v>
      </c>
      <c r="B19" s="8">
        <v>0.59555555555555562</v>
      </c>
      <c r="C19" s="8">
        <v>0.51111111111111118</v>
      </c>
      <c r="D19" s="8">
        <v>0</v>
      </c>
      <c r="E19" s="8">
        <v>94</v>
      </c>
      <c r="F19" s="8">
        <v>27</v>
      </c>
      <c r="G19" s="8">
        <v>6</v>
      </c>
      <c r="H19" s="8">
        <v>0</v>
      </c>
      <c r="I19" s="8">
        <v>94</v>
      </c>
      <c r="J19" s="8">
        <v>34</v>
      </c>
      <c r="K19" s="8">
        <v>0.68</v>
      </c>
      <c r="L19" s="8">
        <v>34</v>
      </c>
    </row>
    <row r="20" spans="1:12" x14ac:dyDescent="0.2">
      <c r="A20">
        <v>414520736</v>
      </c>
      <c r="B20" s="8">
        <v>0.34638888888888891</v>
      </c>
      <c r="C20" s="8">
        <v>0.55277777777777781</v>
      </c>
      <c r="D20" s="8">
        <v>1</v>
      </c>
      <c r="E20" s="8">
        <v>81</v>
      </c>
      <c r="F20" s="8">
        <v>64</v>
      </c>
      <c r="G20" s="8">
        <v>17</v>
      </c>
      <c r="H20" s="8">
        <v>10</v>
      </c>
      <c r="I20" s="8">
        <v>81</v>
      </c>
      <c r="J20" s="8">
        <v>7</v>
      </c>
      <c r="K20" s="8">
        <v>0.14000000000000001</v>
      </c>
      <c r="L20" s="8">
        <v>7</v>
      </c>
    </row>
    <row r="21" spans="1:12" x14ac:dyDescent="0.2">
      <c r="A21">
        <v>356558346</v>
      </c>
      <c r="B21" s="8">
        <v>0.21749999999999997</v>
      </c>
      <c r="C21" s="8">
        <v>0.39499999999999996</v>
      </c>
      <c r="D21" s="8">
        <v>3</v>
      </c>
      <c r="E21" s="8">
        <v>43</v>
      </c>
      <c r="F21" s="8">
        <v>46</v>
      </c>
      <c r="G21" s="8">
        <v>9</v>
      </c>
      <c r="H21" s="8">
        <v>9</v>
      </c>
      <c r="I21" s="8">
        <v>43</v>
      </c>
      <c r="J21" s="8">
        <v>2</v>
      </c>
      <c r="K21" s="8">
        <v>0.04</v>
      </c>
      <c r="L21" s="8">
        <v>2</v>
      </c>
    </row>
    <row r="22" spans="1:12" x14ac:dyDescent="0.2">
      <c r="A22">
        <v>970698993</v>
      </c>
      <c r="B22" s="8">
        <v>0.30166666666666664</v>
      </c>
      <c r="C22" s="8">
        <v>0.52333333333333332</v>
      </c>
      <c r="D22" s="8">
        <v>2</v>
      </c>
      <c r="E22" s="8">
        <v>95</v>
      </c>
      <c r="F22" s="8">
        <v>15</v>
      </c>
      <c r="G22" s="8">
        <v>14</v>
      </c>
      <c r="H22" s="8">
        <v>8</v>
      </c>
      <c r="I22" s="8">
        <v>95</v>
      </c>
      <c r="J22" s="8">
        <v>4</v>
      </c>
      <c r="K22" s="8">
        <v>0.08</v>
      </c>
      <c r="L22" s="8">
        <v>4</v>
      </c>
    </row>
    <row r="23" spans="1:12" x14ac:dyDescent="0.2">
      <c r="A23">
        <v>633537205</v>
      </c>
      <c r="B23" s="8">
        <v>0.17944444444444443</v>
      </c>
      <c r="C23" s="8">
        <v>0.25888888888888889</v>
      </c>
      <c r="D23" s="8">
        <v>1</v>
      </c>
      <c r="E23" s="8">
        <v>36</v>
      </c>
      <c r="F23" s="8">
        <v>75</v>
      </c>
      <c r="G23" s="8">
        <v>4</v>
      </c>
      <c r="H23" s="8">
        <v>0</v>
      </c>
      <c r="I23" s="8">
        <v>36</v>
      </c>
      <c r="J23" s="8">
        <v>5</v>
      </c>
      <c r="K23" s="8">
        <v>0.1</v>
      </c>
      <c r="L23" s="8">
        <v>5</v>
      </c>
    </row>
    <row r="24" spans="1:12" x14ac:dyDescent="0.2">
      <c r="A24">
        <v>534292868</v>
      </c>
      <c r="B24" s="8">
        <v>0.25833333333333336</v>
      </c>
      <c r="C24" s="8">
        <v>0.4366666666666667</v>
      </c>
      <c r="D24" s="8">
        <v>2</v>
      </c>
      <c r="E24" s="8">
        <v>90</v>
      </c>
      <c r="F24" s="8">
        <v>12</v>
      </c>
      <c r="G24" s="8">
        <v>2</v>
      </c>
      <c r="H24" s="8">
        <v>5</v>
      </c>
      <c r="I24" s="8">
        <v>90</v>
      </c>
      <c r="J24" s="8">
        <v>4</v>
      </c>
      <c r="K24" s="8">
        <v>0.08</v>
      </c>
      <c r="L24" s="8">
        <v>4</v>
      </c>
    </row>
    <row r="25" spans="1:12" x14ac:dyDescent="0.2">
      <c r="A25">
        <v>816787809</v>
      </c>
      <c r="B25" s="8">
        <v>0.60305555555555557</v>
      </c>
      <c r="C25" s="8">
        <v>0.56611111111111112</v>
      </c>
      <c r="D25" s="8">
        <v>5</v>
      </c>
      <c r="E25" s="8">
        <v>47</v>
      </c>
      <c r="F25" s="8">
        <v>38</v>
      </c>
      <c r="G25" s="8">
        <v>9</v>
      </c>
      <c r="H25" s="8">
        <v>8</v>
      </c>
      <c r="I25" s="8">
        <v>47</v>
      </c>
      <c r="J25" s="8">
        <v>32</v>
      </c>
      <c r="K25" s="8">
        <v>0.64</v>
      </c>
      <c r="L25" s="8">
        <v>32</v>
      </c>
    </row>
    <row r="26" spans="1:12" x14ac:dyDescent="0.2">
      <c r="A26">
        <v>220052551</v>
      </c>
      <c r="B26" s="8">
        <v>0.34083333333333332</v>
      </c>
      <c r="C26" s="8">
        <v>0.54166666666666663</v>
      </c>
      <c r="D26" s="8">
        <v>3</v>
      </c>
      <c r="E26" s="8">
        <v>74</v>
      </c>
      <c r="F26" s="8">
        <v>90</v>
      </c>
      <c r="G26" s="8">
        <v>7</v>
      </c>
      <c r="H26" s="8">
        <v>7</v>
      </c>
      <c r="I26" s="8">
        <v>74</v>
      </c>
      <c r="J26" s="8">
        <v>7</v>
      </c>
      <c r="K26" s="8">
        <v>0.14000000000000001</v>
      </c>
      <c r="L26" s="8">
        <v>7</v>
      </c>
    </row>
    <row r="27" spans="1:12" x14ac:dyDescent="0.2">
      <c r="A27">
        <v>858571733</v>
      </c>
      <c r="B27" s="8">
        <v>0.19333333333333333</v>
      </c>
      <c r="C27" s="8">
        <v>0.22666666666666666</v>
      </c>
      <c r="D27" s="8">
        <v>1</v>
      </c>
      <c r="E27" s="8">
        <v>19</v>
      </c>
      <c r="F27" s="8">
        <v>30</v>
      </c>
      <c r="G27" s="8">
        <v>2</v>
      </c>
      <c r="H27" s="8">
        <v>6</v>
      </c>
      <c r="I27" s="8">
        <v>19</v>
      </c>
      <c r="J27" s="8">
        <v>8</v>
      </c>
      <c r="K27" s="8">
        <v>0.16</v>
      </c>
      <c r="L27" s="8">
        <v>8</v>
      </c>
    </row>
    <row r="28" spans="1:12" x14ac:dyDescent="0.2">
      <c r="A28">
        <v>363436152</v>
      </c>
      <c r="B28" s="8">
        <v>0.43972222222222224</v>
      </c>
      <c r="C28" s="8">
        <v>0.41944444444444445</v>
      </c>
      <c r="D28" s="8">
        <v>2</v>
      </c>
      <c r="E28" s="8">
        <v>21</v>
      </c>
      <c r="F28" s="8">
        <v>65</v>
      </c>
      <c r="G28" s="8">
        <v>19</v>
      </c>
      <c r="H28" s="8">
        <v>7</v>
      </c>
      <c r="I28" s="8">
        <v>21</v>
      </c>
      <c r="J28" s="8">
        <v>23</v>
      </c>
      <c r="K28" s="8">
        <v>0.46000000000000008</v>
      </c>
      <c r="L28" s="8">
        <v>23</v>
      </c>
    </row>
    <row r="29" spans="1:12" x14ac:dyDescent="0.2">
      <c r="A29">
        <v>393495083</v>
      </c>
      <c r="B29" s="8">
        <v>0.32638888888888895</v>
      </c>
      <c r="C29" s="8">
        <v>0.47277777777777785</v>
      </c>
      <c r="D29" s="8">
        <v>1</v>
      </c>
      <c r="E29" s="8">
        <v>91</v>
      </c>
      <c r="F29" s="8">
        <v>34</v>
      </c>
      <c r="G29" s="8">
        <v>1</v>
      </c>
      <c r="H29" s="8">
        <v>6</v>
      </c>
      <c r="I29" s="8">
        <v>91</v>
      </c>
      <c r="J29" s="8">
        <v>9</v>
      </c>
      <c r="K29" s="8">
        <v>0.18</v>
      </c>
      <c r="L29" s="8">
        <v>9</v>
      </c>
    </row>
    <row r="30" spans="1:12" x14ac:dyDescent="0.2">
      <c r="A30">
        <v>769635714</v>
      </c>
      <c r="B30" s="8">
        <v>0.62194444444444452</v>
      </c>
      <c r="C30" s="8">
        <v>0.60388888888888903</v>
      </c>
      <c r="D30" s="8">
        <v>2</v>
      </c>
      <c r="E30" s="8">
        <v>88</v>
      </c>
      <c r="F30" s="8">
        <v>19</v>
      </c>
      <c r="G30" s="8">
        <v>1</v>
      </c>
      <c r="H30" s="8">
        <v>9</v>
      </c>
      <c r="I30" s="8">
        <v>88</v>
      </c>
      <c r="J30" s="8">
        <v>32</v>
      </c>
      <c r="K30" s="8">
        <v>0.64</v>
      </c>
      <c r="L30" s="8">
        <v>32</v>
      </c>
    </row>
    <row r="31" spans="1:12" x14ac:dyDescent="0.2">
      <c r="A31">
        <v>373048949</v>
      </c>
      <c r="B31" s="8">
        <v>0.44888888888888889</v>
      </c>
      <c r="C31" s="8">
        <v>0.59777777777777774</v>
      </c>
      <c r="D31" s="8">
        <v>2</v>
      </c>
      <c r="E31" s="8">
        <v>80</v>
      </c>
      <c r="F31" s="8">
        <v>23</v>
      </c>
      <c r="G31" s="8">
        <v>30</v>
      </c>
      <c r="H31" s="8">
        <v>10</v>
      </c>
      <c r="I31" s="8">
        <v>80</v>
      </c>
      <c r="J31" s="8">
        <v>15</v>
      </c>
      <c r="K31" s="8">
        <v>0.3</v>
      </c>
      <c r="L31" s="8">
        <v>15</v>
      </c>
    </row>
    <row r="32" spans="1:12" x14ac:dyDescent="0.2">
      <c r="A32">
        <v>357061292</v>
      </c>
      <c r="B32" s="8">
        <v>0.46305555555555555</v>
      </c>
      <c r="C32" s="8">
        <v>0.42611111111111111</v>
      </c>
      <c r="D32" s="8">
        <v>5</v>
      </c>
      <c r="E32" s="8">
        <v>10</v>
      </c>
      <c r="F32" s="8">
        <v>86</v>
      </c>
      <c r="G32" s="8">
        <v>7</v>
      </c>
      <c r="H32" s="8">
        <v>5</v>
      </c>
      <c r="I32" s="8">
        <v>10</v>
      </c>
      <c r="J32" s="8">
        <v>25</v>
      </c>
      <c r="K32" s="8">
        <v>0.5</v>
      </c>
      <c r="L32" s="8">
        <v>25</v>
      </c>
    </row>
    <row r="33" spans="1:12" x14ac:dyDescent="0.2">
      <c r="A33">
        <v>837310284</v>
      </c>
      <c r="B33" s="8">
        <v>0.37888888888888894</v>
      </c>
      <c r="C33" s="8">
        <v>0.39777777777777784</v>
      </c>
      <c r="D33" s="8">
        <v>0</v>
      </c>
      <c r="E33" s="8">
        <v>45</v>
      </c>
      <c r="F33" s="8">
        <v>46</v>
      </c>
      <c r="G33" s="8">
        <v>26</v>
      </c>
      <c r="H33" s="8">
        <v>4</v>
      </c>
      <c r="I33" s="8">
        <v>45</v>
      </c>
      <c r="J33" s="8">
        <v>18</v>
      </c>
      <c r="K33" s="8">
        <v>0.36</v>
      </c>
      <c r="L33" s="8">
        <v>18</v>
      </c>
    </row>
    <row r="34" spans="1:12" x14ac:dyDescent="0.2">
      <c r="A34">
        <v>815854164</v>
      </c>
      <c r="B34" s="8">
        <v>0.56722222222222229</v>
      </c>
      <c r="C34" s="8">
        <v>0.51444444444444448</v>
      </c>
      <c r="D34" s="8">
        <v>0</v>
      </c>
      <c r="E34" s="8">
        <v>89</v>
      </c>
      <c r="F34" s="8">
        <v>2</v>
      </c>
      <c r="G34" s="8">
        <v>8</v>
      </c>
      <c r="H34" s="8">
        <v>5</v>
      </c>
      <c r="I34" s="8">
        <v>89</v>
      </c>
      <c r="J34" s="8">
        <v>31</v>
      </c>
      <c r="K34" s="8">
        <v>0.62</v>
      </c>
      <c r="L34" s="8">
        <v>31</v>
      </c>
    </row>
    <row r="35" spans="1:12" x14ac:dyDescent="0.2">
      <c r="A35">
        <v>315378369</v>
      </c>
      <c r="B35" s="8">
        <v>0.29888888888888893</v>
      </c>
      <c r="C35" s="8">
        <v>0.23777777777777781</v>
      </c>
      <c r="D35" s="8">
        <v>2</v>
      </c>
      <c r="E35" s="8">
        <v>12</v>
      </c>
      <c r="F35" s="8">
        <v>31</v>
      </c>
      <c r="G35" s="8">
        <v>2</v>
      </c>
      <c r="H35" s="8">
        <v>3</v>
      </c>
      <c r="I35" s="8">
        <v>12</v>
      </c>
      <c r="J35" s="8">
        <v>18</v>
      </c>
      <c r="K35" s="8">
        <v>0.36</v>
      </c>
      <c r="L35" s="8">
        <v>18</v>
      </c>
    </row>
    <row r="36" spans="1:12" x14ac:dyDescent="0.2">
      <c r="A36">
        <v>564410540</v>
      </c>
      <c r="B36" s="8">
        <v>0.61472222222222228</v>
      </c>
      <c r="C36" s="8">
        <v>0.50944444444444448</v>
      </c>
      <c r="D36" s="8">
        <v>2</v>
      </c>
      <c r="E36" s="8">
        <v>21</v>
      </c>
      <c r="F36" s="8">
        <v>64</v>
      </c>
      <c r="G36" s="8">
        <v>35</v>
      </c>
      <c r="H36" s="8">
        <v>6</v>
      </c>
      <c r="I36" s="8">
        <v>21</v>
      </c>
      <c r="J36" s="8">
        <v>36</v>
      </c>
      <c r="K36" s="8">
        <v>0.72</v>
      </c>
      <c r="L36" s="8">
        <v>36</v>
      </c>
    </row>
    <row r="37" spans="1:12" x14ac:dyDescent="0.2">
      <c r="A37">
        <v>126539887</v>
      </c>
      <c r="B37" s="8">
        <v>0.55111111111111111</v>
      </c>
      <c r="C37" s="8">
        <v>0.48222222222222222</v>
      </c>
      <c r="D37" s="8">
        <v>3</v>
      </c>
      <c r="E37" s="8">
        <v>7</v>
      </c>
      <c r="F37" s="8">
        <v>84</v>
      </c>
      <c r="G37" s="8">
        <v>26</v>
      </c>
      <c r="H37" s="8">
        <v>8</v>
      </c>
      <c r="I37" s="8">
        <v>7</v>
      </c>
      <c r="J37" s="8">
        <v>31</v>
      </c>
      <c r="K37" s="8">
        <v>0.62</v>
      </c>
      <c r="L37" s="8">
        <v>31</v>
      </c>
    </row>
    <row r="38" spans="1:12" x14ac:dyDescent="0.2">
      <c r="A38">
        <v>563937624</v>
      </c>
      <c r="B38" s="8">
        <v>0.3066666666666667</v>
      </c>
      <c r="C38" s="8">
        <v>0.41333333333333339</v>
      </c>
      <c r="D38" s="8">
        <v>4</v>
      </c>
      <c r="E38" s="8">
        <v>5</v>
      </c>
      <c r="F38" s="8">
        <v>97</v>
      </c>
      <c r="G38" s="8">
        <v>28</v>
      </c>
      <c r="H38" s="8">
        <v>7</v>
      </c>
      <c r="I38" s="8">
        <v>5</v>
      </c>
      <c r="J38" s="8">
        <v>10</v>
      </c>
      <c r="K38" s="8">
        <v>0.2</v>
      </c>
      <c r="L38" s="8">
        <v>10</v>
      </c>
    </row>
    <row r="39" spans="1:12" x14ac:dyDescent="0.2">
      <c r="A39">
        <v>684291511</v>
      </c>
      <c r="B39" s="8">
        <v>0.51944444444444449</v>
      </c>
      <c r="C39" s="8">
        <v>0.51888888888888896</v>
      </c>
      <c r="D39" s="8">
        <v>2</v>
      </c>
      <c r="E39" s="8">
        <v>37</v>
      </c>
      <c r="F39" s="8">
        <v>82</v>
      </c>
      <c r="G39" s="8">
        <v>16</v>
      </c>
      <c r="H39" s="8">
        <v>9</v>
      </c>
      <c r="I39" s="8">
        <v>37</v>
      </c>
      <c r="J39" s="8">
        <v>26</v>
      </c>
      <c r="K39" s="8">
        <v>0.52</v>
      </c>
      <c r="L39" s="8">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J39"/>
  <sheetViews>
    <sheetView workbookViewId="0">
      <selection sqref="A1:XFD1048576"/>
    </sheetView>
  </sheetViews>
  <sheetFormatPr baseColWidth="10" defaultColWidth="8.83203125" defaultRowHeight="15" x14ac:dyDescent="0.2"/>
  <sheetData>
    <row r="1" spans="1:10" x14ac:dyDescent="0.2">
      <c r="A1" t="s">
        <v>480</v>
      </c>
      <c r="C1" t="s">
        <v>456</v>
      </c>
      <c r="G1" t="s">
        <v>452</v>
      </c>
    </row>
    <row r="2" spans="1:10" x14ac:dyDescent="0.2">
      <c r="D2" t="s">
        <v>46</v>
      </c>
      <c r="E2" t="s">
        <v>47</v>
      </c>
      <c r="F2" t="s">
        <v>48</v>
      </c>
      <c r="H2" t="s">
        <v>46</v>
      </c>
      <c r="I2" t="s">
        <v>47</v>
      </c>
      <c r="J2" t="s">
        <v>48</v>
      </c>
    </row>
    <row r="3" spans="1:10" x14ac:dyDescent="0.2">
      <c r="D3">
        <v>100</v>
      </c>
      <c r="E3">
        <v>100</v>
      </c>
      <c r="F3">
        <v>50</v>
      </c>
      <c r="H3">
        <v>100</v>
      </c>
      <c r="I3">
        <v>100</v>
      </c>
      <c r="J3">
        <v>50</v>
      </c>
    </row>
    <row r="4" spans="1:10" x14ac:dyDescent="0.2">
      <c r="D4">
        <v>0.1</v>
      </c>
      <c r="E4">
        <v>0.1</v>
      </c>
      <c r="F4">
        <v>0.2</v>
      </c>
      <c r="H4">
        <v>0.1</v>
      </c>
      <c r="I4">
        <v>0.1</v>
      </c>
      <c r="J4">
        <v>0.2</v>
      </c>
    </row>
    <row r="5" spans="1:10" x14ac:dyDescent="0.2">
      <c r="A5">
        <v>598829620</v>
      </c>
      <c r="B5" s="8">
        <v>0.23333333333333334</v>
      </c>
      <c r="C5" s="8">
        <v>0.23333333333333334</v>
      </c>
      <c r="D5" s="8">
        <v>15</v>
      </c>
      <c r="E5" s="8">
        <v>15</v>
      </c>
      <c r="F5" s="8">
        <v>20</v>
      </c>
      <c r="G5" s="8">
        <v>0.23333333333333334</v>
      </c>
      <c r="H5" s="8">
        <v>15</v>
      </c>
      <c r="I5" s="8">
        <v>15</v>
      </c>
      <c r="J5" s="8">
        <v>20</v>
      </c>
    </row>
    <row r="6" spans="1:10" x14ac:dyDescent="0.2">
      <c r="A6">
        <v>684014860</v>
      </c>
      <c r="B6" s="8">
        <v>0.56000000000000005</v>
      </c>
      <c r="C6" s="8">
        <v>0.56000000000000005</v>
      </c>
      <c r="D6" s="8">
        <v>56</v>
      </c>
      <c r="E6" s="8">
        <v>56</v>
      </c>
      <c r="F6" s="8">
        <v>28</v>
      </c>
      <c r="G6" s="8">
        <v>0.56000000000000005</v>
      </c>
      <c r="H6" s="8">
        <v>56</v>
      </c>
      <c r="I6" s="8">
        <v>56</v>
      </c>
      <c r="J6" s="8">
        <v>28</v>
      </c>
    </row>
    <row r="7" spans="1:10" x14ac:dyDescent="0.2">
      <c r="A7">
        <v>843228181</v>
      </c>
      <c r="B7" s="8">
        <v>0.54666666666666675</v>
      </c>
      <c r="C7" s="8">
        <v>0.54666666666666675</v>
      </c>
      <c r="D7" s="8">
        <v>61</v>
      </c>
      <c r="E7" s="8">
        <v>61</v>
      </c>
      <c r="F7" s="8">
        <v>21</v>
      </c>
      <c r="G7" s="8">
        <v>0.54666666666666675</v>
      </c>
      <c r="H7" s="8">
        <v>61</v>
      </c>
      <c r="I7" s="8">
        <v>61</v>
      </c>
      <c r="J7" s="8">
        <v>21</v>
      </c>
    </row>
    <row r="8" spans="1:10" x14ac:dyDescent="0.2">
      <c r="A8">
        <v>820549378</v>
      </c>
      <c r="B8" s="8">
        <v>0.3</v>
      </c>
      <c r="C8" s="8">
        <v>0.3</v>
      </c>
      <c r="D8" s="8">
        <v>32</v>
      </c>
      <c r="E8" s="8">
        <v>32</v>
      </c>
      <c r="F8" s="8">
        <v>13</v>
      </c>
      <c r="G8" s="8">
        <v>0.3</v>
      </c>
      <c r="H8" s="8">
        <v>32</v>
      </c>
      <c r="I8" s="8">
        <v>32</v>
      </c>
      <c r="J8" s="8">
        <v>13</v>
      </c>
    </row>
    <row r="9" spans="1:10" x14ac:dyDescent="0.2">
      <c r="A9">
        <v>533572169</v>
      </c>
      <c r="B9" s="8">
        <v>0.21333333333333335</v>
      </c>
      <c r="C9" s="8">
        <v>0.21333333333333335</v>
      </c>
      <c r="D9" s="8">
        <v>30</v>
      </c>
      <c r="E9" s="8">
        <v>30</v>
      </c>
      <c r="F9" s="8">
        <v>2</v>
      </c>
      <c r="G9" s="8">
        <v>0.21333333333333335</v>
      </c>
      <c r="H9" s="8">
        <v>30</v>
      </c>
      <c r="I9" s="8">
        <v>30</v>
      </c>
      <c r="J9" s="8">
        <v>2</v>
      </c>
    </row>
    <row r="10" spans="1:10" x14ac:dyDescent="0.2">
      <c r="A10">
        <v>975325712</v>
      </c>
      <c r="B10" s="8">
        <v>0.38666666666666666</v>
      </c>
      <c r="C10" s="8">
        <v>0.38666666666666666</v>
      </c>
      <c r="D10" s="8">
        <v>40</v>
      </c>
      <c r="E10" s="8">
        <v>40</v>
      </c>
      <c r="F10" s="8">
        <v>18</v>
      </c>
      <c r="G10" s="8">
        <v>0.38666666666666666</v>
      </c>
      <c r="H10" s="8">
        <v>40</v>
      </c>
      <c r="I10" s="8">
        <v>40</v>
      </c>
      <c r="J10" s="8">
        <v>18</v>
      </c>
    </row>
    <row r="11" spans="1:10" x14ac:dyDescent="0.2">
      <c r="A11">
        <v>310082419</v>
      </c>
      <c r="B11" s="8">
        <v>0.1</v>
      </c>
      <c r="C11" s="8">
        <v>0.1</v>
      </c>
      <c r="D11" s="8">
        <v>4</v>
      </c>
      <c r="E11" s="8">
        <v>4</v>
      </c>
      <c r="F11" s="8">
        <v>11</v>
      </c>
      <c r="G11" s="8">
        <v>0.1</v>
      </c>
      <c r="H11" s="8">
        <v>4</v>
      </c>
      <c r="I11" s="8">
        <v>4</v>
      </c>
      <c r="J11" s="8">
        <v>11</v>
      </c>
    </row>
    <row r="12" spans="1:10" x14ac:dyDescent="0.2">
      <c r="A12">
        <v>242132470</v>
      </c>
      <c r="B12" s="8">
        <v>0.26</v>
      </c>
      <c r="C12" s="8">
        <v>0.26</v>
      </c>
      <c r="D12" s="8">
        <v>11</v>
      </c>
      <c r="E12" s="8">
        <v>11</v>
      </c>
      <c r="F12" s="8">
        <v>28</v>
      </c>
      <c r="G12" s="8">
        <v>0.26</v>
      </c>
      <c r="H12" s="8">
        <v>11</v>
      </c>
      <c r="I12" s="8">
        <v>11</v>
      </c>
      <c r="J12" s="8">
        <v>28</v>
      </c>
    </row>
    <row r="13" spans="1:10" x14ac:dyDescent="0.2">
      <c r="A13">
        <v>208248363</v>
      </c>
      <c r="B13" s="8">
        <v>0.47333333333333338</v>
      </c>
      <c r="C13" s="8">
        <v>0.47333333333333338</v>
      </c>
      <c r="D13" s="8">
        <v>51</v>
      </c>
      <c r="E13" s="8">
        <v>51</v>
      </c>
      <c r="F13" s="8">
        <v>20</v>
      </c>
      <c r="G13" s="8">
        <v>0.47333333333333338</v>
      </c>
      <c r="H13" s="8">
        <v>51</v>
      </c>
      <c r="I13" s="8">
        <v>51</v>
      </c>
      <c r="J13" s="8">
        <v>20</v>
      </c>
    </row>
    <row r="14" spans="1:10" x14ac:dyDescent="0.2">
      <c r="A14">
        <v>277055951</v>
      </c>
      <c r="B14" s="8">
        <v>0.17333333333333334</v>
      </c>
      <c r="C14" s="8">
        <v>0.17333333333333334</v>
      </c>
      <c r="D14" s="8">
        <v>26</v>
      </c>
      <c r="E14" s="8">
        <v>26</v>
      </c>
      <c r="F14" s="8">
        <v>0</v>
      </c>
      <c r="G14" s="8">
        <v>0.17333333333333334</v>
      </c>
      <c r="H14" s="8">
        <v>26</v>
      </c>
      <c r="I14" s="8">
        <v>26</v>
      </c>
      <c r="J14" s="8">
        <v>0</v>
      </c>
    </row>
    <row r="15" spans="1:10" x14ac:dyDescent="0.2">
      <c r="A15">
        <v>902907559</v>
      </c>
      <c r="B15" s="8">
        <v>0.61333333333333329</v>
      </c>
      <c r="C15" s="8">
        <v>0.61333333333333329</v>
      </c>
      <c r="D15" s="8">
        <v>86</v>
      </c>
      <c r="E15" s="8">
        <v>86</v>
      </c>
      <c r="F15" s="8">
        <v>6</v>
      </c>
      <c r="G15" s="8">
        <v>0.61333333333333329</v>
      </c>
      <c r="H15" s="8">
        <v>86</v>
      </c>
      <c r="I15" s="8">
        <v>86</v>
      </c>
      <c r="J15" s="8">
        <v>6</v>
      </c>
    </row>
    <row r="16" spans="1:10" x14ac:dyDescent="0.2">
      <c r="A16">
        <v>528297980</v>
      </c>
      <c r="B16" s="8">
        <v>0.59333333333333338</v>
      </c>
      <c r="C16" s="8">
        <v>0.59333333333333338</v>
      </c>
      <c r="D16" s="8">
        <v>58</v>
      </c>
      <c r="E16" s="8">
        <v>58</v>
      </c>
      <c r="F16" s="8">
        <v>31</v>
      </c>
      <c r="G16" s="8">
        <v>0.59333333333333338</v>
      </c>
      <c r="H16" s="8">
        <v>58</v>
      </c>
      <c r="I16" s="8">
        <v>58</v>
      </c>
      <c r="J16" s="8">
        <v>31</v>
      </c>
    </row>
    <row r="17" spans="1:10" x14ac:dyDescent="0.2">
      <c r="A17">
        <v>444882790</v>
      </c>
      <c r="B17" s="8">
        <v>8.0000000000000016E-2</v>
      </c>
      <c r="C17" s="8">
        <v>8.0000000000000016E-2</v>
      </c>
      <c r="D17" s="8">
        <v>5</v>
      </c>
      <c r="E17" s="8">
        <v>5</v>
      </c>
      <c r="F17" s="8">
        <v>7</v>
      </c>
      <c r="G17" s="8">
        <v>8.0000000000000016E-2</v>
      </c>
      <c r="H17" s="8">
        <v>5</v>
      </c>
      <c r="I17" s="8">
        <v>5</v>
      </c>
      <c r="J17" s="8">
        <v>7</v>
      </c>
    </row>
    <row r="18" spans="1:10" x14ac:dyDescent="0.2">
      <c r="A18">
        <v>112085131</v>
      </c>
      <c r="B18" s="8">
        <v>0.14666666666666667</v>
      </c>
      <c r="C18" s="8">
        <v>0.14666666666666667</v>
      </c>
      <c r="D18" s="8">
        <v>13</v>
      </c>
      <c r="E18" s="8">
        <v>13</v>
      </c>
      <c r="F18" s="8">
        <v>9</v>
      </c>
      <c r="G18" s="8">
        <v>0.14666666666666667</v>
      </c>
      <c r="H18" s="8">
        <v>13</v>
      </c>
      <c r="I18" s="8">
        <v>13</v>
      </c>
      <c r="J18" s="8">
        <v>9</v>
      </c>
    </row>
    <row r="19" spans="1:10" x14ac:dyDescent="0.2">
      <c r="A19">
        <v>588642518</v>
      </c>
      <c r="B19" s="8">
        <v>0.85333333333333339</v>
      </c>
      <c r="C19" s="8">
        <v>0.85333333333333339</v>
      </c>
      <c r="D19" s="8">
        <v>94</v>
      </c>
      <c r="E19" s="8">
        <v>94</v>
      </c>
      <c r="F19" s="8">
        <v>34</v>
      </c>
      <c r="G19" s="8">
        <v>0.85333333333333339</v>
      </c>
      <c r="H19" s="8">
        <v>94</v>
      </c>
      <c r="I19" s="8">
        <v>94</v>
      </c>
      <c r="J19" s="8">
        <v>34</v>
      </c>
    </row>
    <row r="20" spans="1:10" x14ac:dyDescent="0.2">
      <c r="A20">
        <v>414520736</v>
      </c>
      <c r="B20" s="8">
        <v>0.58666666666666656</v>
      </c>
      <c r="C20" s="8">
        <v>0.58666666666666656</v>
      </c>
      <c r="D20" s="8">
        <v>81</v>
      </c>
      <c r="E20" s="8">
        <v>81</v>
      </c>
      <c r="F20" s="8">
        <v>7</v>
      </c>
      <c r="G20" s="8">
        <v>0.58666666666666656</v>
      </c>
      <c r="H20" s="8">
        <v>81</v>
      </c>
      <c r="I20" s="8">
        <v>81</v>
      </c>
      <c r="J20" s="8">
        <v>7</v>
      </c>
    </row>
    <row r="21" spans="1:10" x14ac:dyDescent="0.2">
      <c r="A21">
        <v>356558346</v>
      </c>
      <c r="B21" s="8">
        <v>0.3</v>
      </c>
      <c r="C21" s="8">
        <v>0.3</v>
      </c>
      <c r="D21" s="8">
        <v>43</v>
      </c>
      <c r="E21" s="8">
        <v>43</v>
      </c>
      <c r="F21" s="8">
        <v>2</v>
      </c>
      <c r="G21" s="8">
        <v>0.3</v>
      </c>
      <c r="H21" s="8">
        <v>43</v>
      </c>
      <c r="I21" s="8">
        <v>43</v>
      </c>
      <c r="J21" s="8">
        <v>2</v>
      </c>
    </row>
    <row r="22" spans="1:10" x14ac:dyDescent="0.2">
      <c r="A22">
        <v>970698993</v>
      </c>
      <c r="B22" s="8">
        <v>0.66</v>
      </c>
      <c r="C22" s="8">
        <v>0.66</v>
      </c>
      <c r="D22" s="8">
        <v>95</v>
      </c>
      <c r="E22" s="8">
        <v>95</v>
      </c>
      <c r="F22" s="8">
        <v>4</v>
      </c>
      <c r="G22" s="8">
        <v>0.66</v>
      </c>
      <c r="H22" s="8">
        <v>95</v>
      </c>
      <c r="I22" s="8">
        <v>95</v>
      </c>
      <c r="J22" s="8">
        <v>4</v>
      </c>
    </row>
    <row r="23" spans="1:10" x14ac:dyDescent="0.2">
      <c r="A23">
        <v>633537205</v>
      </c>
      <c r="B23" s="8">
        <v>0.27333333333333332</v>
      </c>
      <c r="C23" s="8">
        <v>0.27333333333333332</v>
      </c>
      <c r="D23" s="8">
        <v>36</v>
      </c>
      <c r="E23" s="8">
        <v>36</v>
      </c>
      <c r="F23" s="8">
        <v>5</v>
      </c>
      <c r="G23" s="8">
        <v>0.27333333333333332</v>
      </c>
      <c r="H23" s="8">
        <v>36</v>
      </c>
      <c r="I23" s="8">
        <v>36</v>
      </c>
      <c r="J23" s="8">
        <v>5</v>
      </c>
    </row>
    <row r="24" spans="1:10" x14ac:dyDescent="0.2">
      <c r="A24">
        <v>534292868</v>
      </c>
      <c r="B24" s="8">
        <v>0.62666666666666671</v>
      </c>
      <c r="C24" s="8">
        <v>0.62666666666666671</v>
      </c>
      <c r="D24" s="8">
        <v>90</v>
      </c>
      <c r="E24" s="8">
        <v>90</v>
      </c>
      <c r="F24" s="8">
        <v>4</v>
      </c>
      <c r="G24" s="8">
        <v>0.62666666666666671</v>
      </c>
      <c r="H24" s="8">
        <v>90</v>
      </c>
      <c r="I24" s="8">
        <v>90</v>
      </c>
      <c r="J24" s="8">
        <v>4</v>
      </c>
    </row>
    <row r="25" spans="1:10" x14ac:dyDescent="0.2">
      <c r="A25">
        <v>816787809</v>
      </c>
      <c r="B25" s="8">
        <v>0.52666666666666673</v>
      </c>
      <c r="C25" s="8">
        <v>0.52666666666666673</v>
      </c>
      <c r="D25" s="8">
        <v>47</v>
      </c>
      <c r="E25" s="8">
        <v>47</v>
      </c>
      <c r="F25" s="8">
        <v>32</v>
      </c>
      <c r="G25" s="8">
        <v>0.52666666666666673</v>
      </c>
      <c r="H25" s="8">
        <v>47</v>
      </c>
      <c r="I25" s="8">
        <v>47</v>
      </c>
      <c r="J25" s="8">
        <v>32</v>
      </c>
    </row>
    <row r="26" spans="1:10" x14ac:dyDescent="0.2">
      <c r="A26">
        <v>220052551</v>
      </c>
      <c r="B26" s="8">
        <v>0.53999999999999992</v>
      </c>
      <c r="C26" s="8">
        <v>0.53999999999999992</v>
      </c>
      <c r="D26" s="8">
        <v>74</v>
      </c>
      <c r="E26" s="8">
        <v>74</v>
      </c>
      <c r="F26" s="8">
        <v>7</v>
      </c>
      <c r="G26" s="8">
        <v>0.53999999999999992</v>
      </c>
      <c r="H26" s="8">
        <v>74</v>
      </c>
      <c r="I26" s="8">
        <v>74</v>
      </c>
      <c r="J26" s="8">
        <v>7</v>
      </c>
    </row>
    <row r="27" spans="1:10" x14ac:dyDescent="0.2">
      <c r="A27">
        <v>858571733</v>
      </c>
      <c r="B27" s="8">
        <v>0.18000000000000002</v>
      </c>
      <c r="C27" s="8">
        <v>0.18000000000000002</v>
      </c>
      <c r="D27" s="8">
        <v>19</v>
      </c>
      <c r="E27" s="8">
        <v>19</v>
      </c>
      <c r="F27" s="8">
        <v>8</v>
      </c>
      <c r="G27" s="8">
        <v>0.18000000000000002</v>
      </c>
      <c r="H27" s="8">
        <v>19</v>
      </c>
      <c r="I27" s="8">
        <v>19</v>
      </c>
      <c r="J27" s="8">
        <v>8</v>
      </c>
    </row>
    <row r="28" spans="1:10" x14ac:dyDescent="0.2">
      <c r="A28">
        <v>363436152</v>
      </c>
      <c r="B28" s="8">
        <v>0.29333333333333333</v>
      </c>
      <c r="C28" s="8">
        <v>0.29333333333333333</v>
      </c>
      <c r="D28" s="8">
        <v>21</v>
      </c>
      <c r="E28" s="8">
        <v>21</v>
      </c>
      <c r="F28" s="8">
        <v>23</v>
      </c>
      <c r="G28" s="8">
        <v>0.29333333333333333</v>
      </c>
      <c r="H28" s="8">
        <v>21</v>
      </c>
      <c r="I28" s="8">
        <v>21</v>
      </c>
      <c r="J28" s="8">
        <v>23</v>
      </c>
    </row>
    <row r="29" spans="1:10" x14ac:dyDescent="0.2">
      <c r="A29">
        <v>393495083</v>
      </c>
      <c r="B29" s="8">
        <v>0.66666666666666663</v>
      </c>
      <c r="C29" s="8">
        <v>0.66666666666666663</v>
      </c>
      <c r="D29" s="8">
        <v>91</v>
      </c>
      <c r="E29" s="8">
        <v>91</v>
      </c>
      <c r="F29" s="8">
        <v>9</v>
      </c>
      <c r="G29" s="8">
        <v>0.66666666666666663</v>
      </c>
      <c r="H29" s="8">
        <v>91</v>
      </c>
      <c r="I29" s="8">
        <v>91</v>
      </c>
      <c r="J29" s="8">
        <v>9</v>
      </c>
    </row>
    <row r="30" spans="1:10" x14ac:dyDescent="0.2">
      <c r="A30">
        <v>769635714</v>
      </c>
      <c r="B30" s="8">
        <v>0.8</v>
      </c>
      <c r="C30" s="8">
        <v>0.8</v>
      </c>
      <c r="D30" s="8">
        <v>88</v>
      </c>
      <c r="E30" s="8">
        <v>88</v>
      </c>
      <c r="F30" s="8">
        <v>32</v>
      </c>
      <c r="G30" s="8">
        <v>0.8</v>
      </c>
      <c r="H30" s="8">
        <v>88</v>
      </c>
      <c r="I30" s="8">
        <v>88</v>
      </c>
      <c r="J30" s="8">
        <v>32</v>
      </c>
    </row>
    <row r="31" spans="1:10" x14ac:dyDescent="0.2">
      <c r="A31">
        <v>373048949</v>
      </c>
      <c r="B31" s="8">
        <v>0.6333333333333333</v>
      </c>
      <c r="C31" s="8">
        <v>0.6333333333333333</v>
      </c>
      <c r="D31" s="8">
        <v>80</v>
      </c>
      <c r="E31" s="8">
        <v>80</v>
      </c>
      <c r="F31" s="8">
        <v>15</v>
      </c>
      <c r="G31" s="8">
        <v>0.6333333333333333</v>
      </c>
      <c r="H31" s="8">
        <v>80</v>
      </c>
      <c r="I31" s="8">
        <v>80</v>
      </c>
      <c r="J31" s="8">
        <v>15</v>
      </c>
    </row>
    <row r="32" spans="1:10" x14ac:dyDescent="0.2">
      <c r="A32">
        <v>357061292</v>
      </c>
      <c r="B32" s="8">
        <v>0.23333333333333334</v>
      </c>
      <c r="C32" s="8">
        <v>0.23333333333333334</v>
      </c>
      <c r="D32" s="8">
        <v>10</v>
      </c>
      <c r="E32" s="8">
        <v>10</v>
      </c>
      <c r="F32" s="8">
        <v>25</v>
      </c>
      <c r="G32" s="8">
        <v>0.23333333333333334</v>
      </c>
      <c r="H32" s="8">
        <v>10</v>
      </c>
      <c r="I32" s="8">
        <v>10</v>
      </c>
      <c r="J32" s="8">
        <v>25</v>
      </c>
    </row>
    <row r="33" spans="1:10" x14ac:dyDescent="0.2">
      <c r="A33">
        <v>837310284</v>
      </c>
      <c r="B33" s="8">
        <v>0.42</v>
      </c>
      <c r="C33" s="8">
        <v>0.42</v>
      </c>
      <c r="D33" s="8">
        <v>45</v>
      </c>
      <c r="E33" s="8">
        <v>45</v>
      </c>
      <c r="F33" s="8">
        <v>18</v>
      </c>
      <c r="G33" s="8">
        <v>0.42</v>
      </c>
      <c r="H33" s="8">
        <v>45</v>
      </c>
      <c r="I33" s="8">
        <v>45</v>
      </c>
      <c r="J33" s="8">
        <v>18</v>
      </c>
    </row>
    <row r="34" spans="1:10" x14ac:dyDescent="0.2">
      <c r="A34">
        <v>815854164</v>
      </c>
      <c r="B34" s="8">
        <v>0.8</v>
      </c>
      <c r="C34" s="8">
        <v>0.8</v>
      </c>
      <c r="D34" s="8">
        <v>89</v>
      </c>
      <c r="E34" s="8">
        <v>89</v>
      </c>
      <c r="F34" s="8">
        <v>31</v>
      </c>
      <c r="G34" s="8">
        <v>0.8</v>
      </c>
      <c r="H34" s="8">
        <v>89</v>
      </c>
      <c r="I34" s="8">
        <v>89</v>
      </c>
      <c r="J34" s="8">
        <v>31</v>
      </c>
    </row>
    <row r="35" spans="1:10" x14ac:dyDescent="0.2">
      <c r="A35">
        <v>315378369</v>
      </c>
      <c r="B35" s="8">
        <v>0.2</v>
      </c>
      <c r="C35" s="8">
        <v>0.2</v>
      </c>
      <c r="D35" s="8">
        <v>12</v>
      </c>
      <c r="E35" s="8">
        <v>12</v>
      </c>
      <c r="F35" s="8">
        <v>18</v>
      </c>
      <c r="G35" s="8">
        <v>0.2</v>
      </c>
      <c r="H35" s="8">
        <v>12</v>
      </c>
      <c r="I35" s="8">
        <v>12</v>
      </c>
      <c r="J35" s="8">
        <v>18</v>
      </c>
    </row>
    <row r="36" spans="1:10" x14ac:dyDescent="0.2">
      <c r="A36">
        <v>564410540</v>
      </c>
      <c r="B36" s="8">
        <v>0.38</v>
      </c>
      <c r="C36" s="8">
        <v>0.38</v>
      </c>
      <c r="D36" s="8">
        <v>21</v>
      </c>
      <c r="E36" s="8">
        <v>21</v>
      </c>
      <c r="F36" s="8">
        <v>36</v>
      </c>
      <c r="G36" s="8">
        <v>0.38</v>
      </c>
      <c r="H36" s="8">
        <v>21</v>
      </c>
      <c r="I36" s="8">
        <v>21</v>
      </c>
      <c r="J36" s="8">
        <v>36</v>
      </c>
    </row>
    <row r="37" spans="1:10" x14ac:dyDescent="0.2">
      <c r="A37">
        <v>126539887</v>
      </c>
      <c r="B37" s="8">
        <v>0.25333333333333335</v>
      </c>
      <c r="C37" s="8">
        <v>0.25333333333333335</v>
      </c>
      <c r="D37" s="8">
        <v>7</v>
      </c>
      <c r="E37" s="8">
        <v>7</v>
      </c>
      <c r="F37" s="8">
        <v>31</v>
      </c>
      <c r="G37" s="8">
        <v>0.25333333333333335</v>
      </c>
      <c r="H37" s="8">
        <v>7</v>
      </c>
      <c r="I37" s="8">
        <v>7</v>
      </c>
      <c r="J37" s="8">
        <v>31</v>
      </c>
    </row>
    <row r="38" spans="1:10" x14ac:dyDescent="0.2">
      <c r="A38">
        <v>563937624</v>
      </c>
      <c r="B38" s="8">
        <v>0.1</v>
      </c>
      <c r="C38" s="8">
        <v>0.1</v>
      </c>
      <c r="D38" s="8">
        <v>5</v>
      </c>
      <c r="E38" s="8">
        <v>5</v>
      </c>
      <c r="F38" s="8">
        <v>10</v>
      </c>
      <c r="G38" s="8">
        <v>0.1</v>
      </c>
      <c r="H38" s="8">
        <v>5</v>
      </c>
      <c r="I38" s="8">
        <v>5</v>
      </c>
      <c r="J38" s="8">
        <v>10</v>
      </c>
    </row>
    <row r="39" spans="1:10" x14ac:dyDescent="0.2">
      <c r="A39">
        <v>684291511</v>
      </c>
      <c r="B39" s="8">
        <v>0.42000000000000004</v>
      </c>
      <c r="C39" s="8">
        <v>0.42000000000000004</v>
      </c>
      <c r="D39" s="8">
        <v>37</v>
      </c>
      <c r="E39" s="8">
        <v>37</v>
      </c>
      <c r="F39" s="8">
        <v>26</v>
      </c>
      <c r="G39" s="8">
        <v>0.42000000000000004</v>
      </c>
      <c r="H39" s="8">
        <v>37</v>
      </c>
      <c r="I39" s="8">
        <v>37</v>
      </c>
      <c r="J39" s="8">
        <v>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F39"/>
  <sheetViews>
    <sheetView workbookViewId="0">
      <selection sqref="A1:XFD1048576"/>
    </sheetView>
  </sheetViews>
  <sheetFormatPr baseColWidth="10" defaultColWidth="8.83203125" defaultRowHeight="15" x14ac:dyDescent="0.2"/>
  <sheetData>
    <row r="1" spans="1:6" x14ac:dyDescent="0.2">
      <c r="A1" t="s">
        <v>481</v>
      </c>
      <c r="C1" t="s">
        <v>533</v>
      </c>
      <c r="E1" t="s">
        <v>106</v>
      </c>
    </row>
    <row r="2" spans="1:6" x14ac:dyDescent="0.2">
      <c r="D2" t="s">
        <v>48</v>
      </c>
      <c r="F2" t="s">
        <v>48</v>
      </c>
    </row>
    <row r="3" spans="1:6" x14ac:dyDescent="0.2">
      <c r="D3">
        <v>50</v>
      </c>
      <c r="F3">
        <v>50</v>
      </c>
    </row>
    <row r="4" spans="1:6" x14ac:dyDescent="0.2">
      <c r="D4">
        <v>0.2</v>
      </c>
      <c r="F4">
        <v>0.2</v>
      </c>
    </row>
    <row r="5" spans="1:6" x14ac:dyDescent="0.2">
      <c r="A5">
        <v>598829620</v>
      </c>
      <c r="B5" s="8">
        <v>0.4</v>
      </c>
      <c r="C5" s="8">
        <v>0.4</v>
      </c>
      <c r="D5" s="8">
        <v>20</v>
      </c>
      <c r="E5" s="8">
        <v>0.4</v>
      </c>
      <c r="F5" s="8">
        <v>20</v>
      </c>
    </row>
    <row r="6" spans="1:6" x14ac:dyDescent="0.2">
      <c r="A6">
        <v>684014860</v>
      </c>
      <c r="B6" s="8">
        <v>0.56000000000000005</v>
      </c>
      <c r="C6" s="8">
        <v>0.56000000000000005</v>
      </c>
      <c r="D6" s="8">
        <v>28</v>
      </c>
      <c r="E6" s="8">
        <v>0.56000000000000005</v>
      </c>
      <c r="F6" s="8">
        <v>28</v>
      </c>
    </row>
    <row r="7" spans="1:6" x14ac:dyDescent="0.2">
      <c r="A7">
        <v>843228181</v>
      </c>
      <c r="B7" s="8">
        <v>0.42000000000000004</v>
      </c>
      <c r="C7" s="8">
        <v>0.42000000000000004</v>
      </c>
      <c r="D7" s="8">
        <v>21</v>
      </c>
      <c r="E7" s="8">
        <v>0.42000000000000004</v>
      </c>
      <c r="F7" s="8">
        <v>21</v>
      </c>
    </row>
    <row r="8" spans="1:6" x14ac:dyDescent="0.2">
      <c r="A8">
        <v>820549378</v>
      </c>
      <c r="B8" s="8">
        <v>0.26</v>
      </c>
      <c r="C8" s="8">
        <v>0.26</v>
      </c>
      <c r="D8" s="8">
        <v>13</v>
      </c>
      <c r="E8" s="8">
        <v>0.26</v>
      </c>
      <c r="F8" s="8">
        <v>13</v>
      </c>
    </row>
    <row r="9" spans="1:6" x14ac:dyDescent="0.2">
      <c r="A9">
        <v>533572169</v>
      </c>
      <c r="B9" s="8">
        <v>0.04</v>
      </c>
      <c r="C9" s="8">
        <v>0.04</v>
      </c>
      <c r="D9" s="8">
        <v>2</v>
      </c>
      <c r="E9" s="8">
        <v>0.04</v>
      </c>
      <c r="F9" s="8">
        <v>2</v>
      </c>
    </row>
    <row r="10" spans="1:6" x14ac:dyDescent="0.2">
      <c r="A10">
        <v>975325712</v>
      </c>
      <c r="B10" s="8">
        <v>0.36</v>
      </c>
      <c r="C10" s="8">
        <v>0.36</v>
      </c>
      <c r="D10" s="8">
        <v>18</v>
      </c>
      <c r="E10" s="8">
        <v>0.36</v>
      </c>
      <c r="F10" s="8">
        <v>18</v>
      </c>
    </row>
    <row r="11" spans="1:6" x14ac:dyDescent="0.2">
      <c r="A11">
        <v>310082419</v>
      </c>
      <c r="B11" s="8">
        <v>0.22000000000000003</v>
      </c>
      <c r="C11" s="8">
        <v>0.22000000000000003</v>
      </c>
      <c r="D11" s="8">
        <v>11</v>
      </c>
      <c r="E11" s="8">
        <v>0.22000000000000003</v>
      </c>
      <c r="F11" s="8">
        <v>11</v>
      </c>
    </row>
    <row r="12" spans="1:6" x14ac:dyDescent="0.2">
      <c r="A12">
        <v>242132470</v>
      </c>
      <c r="B12" s="8">
        <v>0.56000000000000005</v>
      </c>
      <c r="C12" s="8">
        <v>0.56000000000000005</v>
      </c>
      <c r="D12" s="8">
        <v>28</v>
      </c>
      <c r="E12" s="8">
        <v>0.56000000000000005</v>
      </c>
      <c r="F12" s="8">
        <v>28</v>
      </c>
    </row>
    <row r="13" spans="1:6" x14ac:dyDescent="0.2">
      <c r="A13">
        <v>208248363</v>
      </c>
      <c r="B13" s="8">
        <v>0.4</v>
      </c>
      <c r="C13" s="8">
        <v>0.4</v>
      </c>
      <c r="D13" s="8">
        <v>20</v>
      </c>
      <c r="E13" s="8">
        <v>0.4</v>
      </c>
      <c r="F13" s="8">
        <v>20</v>
      </c>
    </row>
    <row r="14" spans="1:6" x14ac:dyDescent="0.2">
      <c r="A14">
        <v>277055951</v>
      </c>
      <c r="C14" s="8">
        <v>0</v>
      </c>
      <c r="D14" s="8">
        <v>0</v>
      </c>
      <c r="E14" s="8">
        <v>0</v>
      </c>
      <c r="F14" s="8">
        <v>0</v>
      </c>
    </row>
    <row r="15" spans="1:6" x14ac:dyDescent="0.2">
      <c r="A15">
        <v>902907559</v>
      </c>
      <c r="B15" s="8">
        <v>0.12000000000000002</v>
      </c>
      <c r="C15" s="8">
        <v>0.12000000000000002</v>
      </c>
      <c r="D15" s="8">
        <v>6</v>
      </c>
      <c r="E15" s="8">
        <v>0.12000000000000002</v>
      </c>
      <c r="F15" s="8">
        <v>6</v>
      </c>
    </row>
    <row r="16" spans="1:6" x14ac:dyDescent="0.2">
      <c r="A16">
        <v>528297980</v>
      </c>
      <c r="B16" s="8">
        <v>0.62</v>
      </c>
      <c r="C16" s="8">
        <v>0.62</v>
      </c>
      <c r="D16" s="8">
        <v>31</v>
      </c>
      <c r="E16" s="8">
        <v>0.62</v>
      </c>
      <c r="F16" s="8">
        <v>31</v>
      </c>
    </row>
    <row r="17" spans="1:6" x14ac:dyDescent="0.2">
      <c r="A17">
        <v>444882790</v>
      </c>
      <c r="B17" s="8">
        <v>0.14000000000000001</v>
      </c>
      <c r="C17" s="8">
        <v>0.14000000000000001</v>
      </c>
      <c r="D17" s="8">
        <v>7</v>
      </c>
      <c r="E17" s="8">
        <v>0.14000000000000001</v>
      </c>
      <c r="F17" s="8">
        <v>7</v>
      </c>
    </row>
    <row r="18" spans="1:6" x14ac:dyDescent="0.2">
      <c r="A18">
        <v>112085131</v>
      </c>
      <c r="B18" s="8">
        <v>0.18</v>
      </c>
      <c r="C18" s="8">
        <v>0.18</v>
      </c>
      <c r="D18" s="8">
        <v>9</v>
      </c>
      <c r="E18" s="8">
        <v>0.18</v>
      </c>
      <c r="F18" s="8">
        <v>9</v>
      </c>
    </row>
    <row r="19" spans="1:6" x14ac:dyDescent="0.2">
      <c r="A19">
        <v>588642518</v>
      </c>
      <c r="B19" s="8">
        <v>0.68</v>
      </c>
      <c r="C19" s="8">
        <v>0.68</v>
      </c>
      <c r="D19" s="8">
        <v>34</v>
      </c>
      <c r="E19" s="8">
        <v>0.68</v>
      </c>
      <c r="F19" s="8">
        <v>34</v>
      </c>
    </row>
    <row r="20" spans="1:6" x14ac:dyDescent="0.2">
      <c r="A20">
        <v>414520736</v>
      </c>
      <c r="B20" s="8">
        <v>0.14000000000000001</v>
      </c>
      <c r="C20" s="8">
        <v>0.14000000000000001</v>
      </c>
      <c r="D20" s="8">
        <v>7</v>
      </c>
      <c r="E20" s="8">
        <v>0.14000000000000001</v>
      </c>
      <c r="F20" s="8">
        <v>7</v>
      </c>
    </row>
    <row r="21" spans="1:6" x14ac:dyDescent="0.2">
      <c r="A21">
        <v>356558346</v>
      </c>
      <c r="B21" s="8">
        <v>0.04</v>
      </c>
      <c r="C21" s="8">
        <v>0.04</v>
      </c>
      <c r="D21" s="8">
        <v>2</v>
      </c>
      <c r="E21" s="8">
        <v>0.04</v>
      </c>
      <c r="F21" s="8">
        <v>2</v>
      </c>
    </row>
    <row r="22" spans="1:6" x14ac:dyDescent="0.2">
      <c r="A22">
        <v>970698993</v>
      </c>
      <c r="B22" s="8">
        <v>0.08</v>
      </c>
      <c r="C22" s="8">
        <v>0.08</v>
      </c>
      <c r="D22" s="8">
        <v>4</v>
      </c>
      <c r="E22" s="8">
        <v>0.08</v>
      </c>
      <c r="F22" s="8">
        <v>4</v>
      </c>
    </row>
    <row r="23" spans="1:6" x14ac:dyDescent="0.2">
      <c r="A23">
        <v>633537205</v>
      </c>
      <c r="B23" s="8">
        <v>0.1</v>
      </c>
      <c r="C23" s="8">
        <v>0.1</v>
      </c>
      <c r="D23" s="8">
        <v>5</v>
      </c>
      <c r="E23" s="8">
        <v>0.1</v>
      </c>
      <c r="F23" s="8">
        <v>5</v>
      </c>
    </row>
    <row r="24" spans="1:6" x14ac:dyDescent="0.2">
      <c r="A24">
        <v>534292868</v>
      </c>
      <c r="B24" s="8">
        <v>0.08</v>
      </c>
      <c r="C24" s="8">
        <v>0.08</v>
      </c>
      <c r="D24" s="8">
        <v>4</v>
      </c>
      <c r="E24" s="8">
        <v>0.08</v>
      </c>
      <c r="F24" s="8">
        <v>4</v>
      </c>
    </row>
    <row r="25" spans="1:6" x14ac:dyDescent="0.2">
      <c r="A25">
        <v>816787809</v>
      </c>
      <c r="B25" s="8">
        <v>0.64</v>
      </c>
      <c r="C25" s="8">
        <v>0.64</v>
      </c>
      <c r="D25" s="8">
        <v>32</v>
      </c>
      <c r="E25" s="8">
        <v>0.64</v>
      </c>
      <c r="F25" s="8">
        <v>32</v>
      </c>
    </row>
    <row r="26" spans="1:6" x14ac:dyDescent="0.2">
      <c r="A26">
        <v>220052551</v>
      </c>
      <c r="B26" s="8">
        <v>0.14000000000000001</v>
      </c>
      <c r="C26" s="8">
        <v>0.14000000000000001</v>
      </c>
      <c r="D26" s="8">
        <v>7</v>
      </c>
      <c r="E26" s="8">
        <v>0.14000000000000001</v>
      </c>
      <c r="F26" s="8">
        <v>7</v>
      </c>
    </row>
    <row r="27" spans="1:6" x14ac:dyDescent="0.2">
      <c r="A27">
        <v>858571733</v>
      </c>
      <c r="B27" s="8">
        <v>0.16</v>
      </c>
      <c r="C27" s="8">
        <v>0.16</v>
      </c>
      <c r="D27" s="8">
        <v>8</v>
      </c>
      <c r="E27" s="8">
        <v>0.16</v>
      </c>
      <c r="F27" s="8">
        <v>8</v>
      </c>
    </row>
    <row r="28" spans="1:6" x14ac:dyDescent="0.2">
      <c r="A28">
        <v>363436152</v>
      </c>
      <c r="B28" s="8">
        <v>0.46000000000000008</v>
      </c>
      <c r="C28" s="8">
        <v>0.46000000000000008</v>
      </c>
      <c r="D28" s="8">
        <v>23</v>
      </c>
      <c r="E28" s="8">
        <v>0.46000000000000008</v>
      </c>
      <c r="F28" s="8">
        <v>23</v>
      </c>
    </row>
    <row r="29" spans="1:6" x14ac:dyDescent="0.2">
      <c r="A29">
        <v>393495083</v>
      </c>
      <c r="B29" s="8">
        <v>0.18</v>
      </c>
      <c r="C29" s="8">
        <v>0.18</v>
      </c>
      <c r="D29" s="8">
        <v>9</v>
      </c>
      <c r="E29" s="8">
        <v>0.18</v>
      </c>
      <c r="F29" s="8">
        <v>9</v>
      </c>
    </row>
    <row r="30" spans="1:6" x14ac:dyDescent="0.2">
      <c r="A30">
        <v>769635714</v>
      </c>
      <c r="B30" s="8">
        <v>0.64</v>
      </c>
      <c r="C30" s="8">
        <v>0.64</v>
      </c>
      <c r="D30" s="8">
        <v>32</v>
      </c>
      <c r="E30" s="8">
        <v>0.64</v>
      </c>
      <c r="F30" s="8">
        <v>32</v>
      </c>
    </row>
    <row r="31" spans="1:6" x14ac:dyDescent="0.2">
      <c r="A31">
        <v>373048949</v>
      </c>
      <c r="B31" s="8">
        <v>0.3</v>
      </c>
      <c r="C31" s="8">
        <v>0.3</v>
      </c>
      <c r="D31" s="8">
        <v>15</v>
      </c>
      <c r="E31" s="8">
        <v>0.3</v>
      </c>
      <c r="F31" s="8">
        <v>15</v>
      </c>
    </row>
    <row r="32" spans="1:6" x14ac:dyDescent="0.2">
      <c r="A32">
        <v>357061292</v>
      </c>
      <c r="B32" s="8">
        <v>0.5</v>
      </c>
      <c r="C32" s="8">
        <v>0.5</v>
      </c>
      <c r="D32" s="8">
        <v>25</v>
      </c>
      <c r="E32" s="8">
        <v>0.5</v>
      </c>
      <c r="F32" s="8">
        <v>25</v>
      </c>
    </row>
    <row r="33" spans="1:6" x14ac:dyDescent="0.2">
      <c r="A33">
        <v>837310284</v>
      </c>
      <c r="B33" s="8">
        <v>0.36</v>
      </c>
      <c r="C33" s="8">
        <v>0.36</v>
      </c>
      <c r="D33" s="8">
        <v>18</v>
      </c>
      <c r="E33" s="8">
        <v>0.36</v>
      </c>
      <c r="F33" s="8">
        <v>18</v>
      </c>
    </row>
    <row r="34" spans="1:6" x14ac:dyDescent="0.2">
      <c r="A34">
        <v>815854164</v>
      </c>
      <c r="B34" s="8">
        <v>0.62</v>
      </c>
      <c r="C34" s="8">
        <v>0.62</v>
      </c>
      <c r="D34" s="8">
        <v>31</v>
      </c>
      <c r="E34" s="8">
        <v>0.62</v>
      </c>
      <c r="F34" s="8">
        <v>31</v>
      </c>
    </row>
    <row r="35" spans="1:6" x14ac:dyDescent="0.2">
      <c r="A35">
        <v>315378369</v>
      </c>
      <c r="B35" s="8">
        <v>0.36</v>
      </c>
      <c r="C35" s="8">
        <v>0.36</v>
      </c>
      <c r="D35" s="8">
        <v>18</v>
      </c>
      <c r="E35" s="8">
        <v>0.36</v>
      </c>
      <c r="F35" s="8">
        <v>18</v>
      </c>
    </row>
    <row r="36" spans="1:6" x14ac:dyDescent="0.2">
      <c r="A36">
        <v>564410540</v>
      </c>
      <c r="B36" s="8">
        <v>0.72</v>
      </c>
      <c r="C36" s="8">
        <v>0.72</v>
      </c>
      <c r="D36" s="8">
        <v>36</v>
      </c>
      <c r="E36" s="8">
        <v>0.72</v>
      </c>
      <c r="F36" s="8">
        <v>36</v>
      </c>
    </row>
    <row r="37" spans="1:6" x14ac:dyDescent="0.2">
      <c r="A37">
        <v>126539887</v>
      </c>
      <c r="B37" s="8">
        <v>0.62</v>
      </c>
      <c r="C37" s="8">
        <v>0.62</v>
      </c>
      <c r="D37" s="8">
        <v>31</v>
      </c>
      <c r="E37" s="8">
        <v>0.62</v>
      </c>
      <c r="F37" s="8">
        <v>31</v>
      </c>
    </row>
    <row r="38" spans="1:6" x14ac:dyDescent="0.2">
      <c r="A38">
        <v>563937624</v>
      </c>
      <c r="B38" s="8">
        <v>0.2</v>
      </c>
      <c r="C38" s="8">
        <v>0.2</v>
      </c>
      <c r="D38" s="8">
        <v>10</v>
      </c>
      <c r="E38" s="8">
        <v>0.2</v>
      </c>
      <c r="F38" s="8">
        <v>10</v>
      </c>
    </row>
    <row r="39" spans="1:6" x14ac:dyDescent="0.2">
      <c r="A39">
        <v>684291511</v>
      </c>
      <c r="B39" s="8">
        <v>0.52</v>
      </c>
      <c r="C39" s="8">
        <v>0.52</v>
      </c>
      <c r="D39" s="8">
        <v>26</v>
      </c>
      <c r="E39" s="8">
        <v>0.52</v>
      </c>
      <c r="F39" s="8">
        <v>26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39"/>
  <sheetViews>
    <sheetView workbookViewId="0">
      <selection sqref="A1:XFD1048576"/>
    </sheetView>
  </sheetViews>
  <sheetFormatPr baseColWidth="10" defaultColWidth="8.83203125" defaultRowHeight="15" x14ac:dyDescent="0.2"/>
  <cols>
    <col min="1" max="1" width="10" bestFit="1" customWidth="1"/>
    <col min="2" max="3" width="4.5" bestFit="1" customWidth="1"/>
    <col min="4" max="4" width="6.6640625" bestFit="1" customWidth="1"/>
    <col min="5" max="5" width="5.5" bestFit="1" customWidth="1"/>
    <col min="6" max="6" width="6.6640625" bestFit="1" customWidth="1"/>
  </cols>
  <sheetData>
    <row r="1" spans="1:6" x14ac:dyDescent="0.2">
      <c r="A1" t="s">
        <v>43</v>
      </c>
      <c r="C1" t="s">
        <v>59</v>
      </c>
    </row>
    <row r="2" spans="1:6" x14ac:dyDescent="0.2">
      <c r="D2" t="s">
        <v>44</v>
      </c>
      <c r="E2" t="s">
        <v>48</v>
      </c>
      <c r="F2" t="s">
        <v>50</v>
      </c>
    </row>
    <row r="3" spans="1:6" x14ac:dyDescent="0.2">
      <c r="D3">
        <v>50</v>
      </c>
      <c r="E3">
        <v>50</v>
      </c>
      <c r="F3">
        <v>100</v>
      </c>
    </row>
    <row r="4" spans="1:6" x14ac:dyDescent="0.2">
      <c r="D4">
        <v>0.1</v>
      </c>
      <c r="E4">
        <v>0.2</v>
      </c>
      <c r="F4">
        <v>0.1</v>
      </c>
    </row>
    <row r="5" spans="1:6" x14ac:dyDescent="0.2">
      <c r="A5">
        <v>598829620</v>
      </c>
      <c r="B5" s="8">
        <v>0.3</v>
      </c>
      <c r="C5" s="8">
        <v>0.3</v>
      </c>
      <c r="D5" s="8">
        <v>20</v>
      </c>
      <c r="E5" s="8">
        <v>20</v>
      </c>
      <c r="F5" s="8">
        <v>15</v>
      </c>
    </row>
    <row r="6" spans="1:6" x14ac:dyDescent="0.2">
      <c r="A6">
        <v>684014860</v>
      </c>
      <c r="B6" s="8">
        <v>0.56000000000000005</v>
      </c>
      <c r="C6" s="8">
        <v>0.56000000000000005</v>
      </c>
      <c r="D6" s="8">
        <v>28</v>
      </c>
      <c r="E6" s="8">
        <v>28</v>
      </c>
      <c r="F6" s="8">
        <v>56</v>
      </c>
    </row>
    <row r="7" spans="1:6" x14ac:dyDescent="0.2">
      <c r="A7">
        <v>843228181</v>
      </c>
      <c r="B7" s="8">
        <v>0.49600000000000011</v>
      </c>
      <c r="C7" s="8">
        <v>0.49600000000000011</v>
      </c>
      <c r="D7" s="8">
        <v>21</v>
      </c>
      <c r="E7" s="8">
        <v>21</v>
      </c>
      <c r="F7" s="8">
        <v>61</v>
      </c>
    </row>
    <row r="8" spans="1:6" x14ac:dyDescent="0.2">
      <c r="A8">
        <v>820549378</v>
      </c>
      <c r="B8" s="8">
        <v>0.28400000000000003</v>
      </c>
      <c r="C8" s="8">
        <v>0.28400000000000003</v>
      </c>
      <c r="D8" s="8">
        <v>13</v>
      </c>
      <c r="E8" s="8">
        <v>13</v>
      </c>
      <c r="F8" s="8">
        <v>32</v>
      </c>
    </row>
    <row r="9" spans="1:6" x14ac:dyDescent="0.2">
      <c r="A9">
        <v>533572169</v>
      </c>
      <c r="B9" s="8">
        <v>0.14400000000000002</v>
      </c>
      <c r="C9" s="8">
        <v>0.14400000000000002</v>
      </c>
      <c r="D9" s="8">
        <v>2</v>
      </c>
      <c r="E9" s="8">
        <v>2</v>
      </c>
      <c r="F9" s="8">
        <v>30</v>
      </c>
    </row>
    <row r="10" spans="1:6" x14ac:dyDescent="0.2">
      <c r="A10">
        <v>975325712</v>
      </c>
      <c r="B10" s="8">
        <v>0.376</v>
      </c>
      <c r="C10" s="8">
        <v>0.376</v>
      </c>
      <c r="D10" s="8">
        <v>18</v>
      </c>
      <c r="E10" s="8">
        <v>18</v>
      </c>
      <c r="F10" s="8">
        <v>40</v>
      </c>
    </row>
    <row r="11" spans="1:6" x14ac:dyDescent="0.2">
      <c r="A11">
        <v>310082419</v>
      </c>
      <c r="B11" s="8">
        <v>0.14800000000000002</v>
      </c>
      <c r="C11" s="8">
        <v>0.14800000000000002</v>
      </c>
      <c r="D11" s="8">
        <v>11</v>
      </c>
      <c r="E11" s="8">
        <v>11</v>
      </c>
      <c r="F11" s="8">
        <v>4</v>
      </c>
    </row>
    <row r="12" spans="1:6" x14ac:dyDescent="0.2">
      <c r="A12">
        <v>242132470</v>
      </c>
      <c r="B12" s="8">
        <v>0.38</v>
      </c>
      <c r="C12" s="8">
        <v>0.38</v>
      </c>
      <c r="D12" s="8">
        <v>28</v>
      </c>
      <c r="E12" s="8">
        <v>28</v>
      </c>
      <c r="F12" s="8">
        <v>11</v>
      </c>
    </row>
    <row r="13" spans="1:6" x14ac:dyDescent="0.2">
      <c r="A13">
        <v>208248363</v>
      </c>
      <c r="B13" s="8">
        <v>0.44400000000000006</v>
      </c>
      <c r="C13" s="8">
        <v>0.44400000000000006</v>
      </c>
      <c r="D13" s="8">
        <v>20</v>
      </c>
      <c r="E13" s="8">
        <v>20</v>
      </c>
      <c r="F13" s="8">
        <v>51</v>
      </c>
    </row>
    <row r="14" spans="1:6" x14ac:dyDescent="0.2">
      <c r="A14">
        <v>277055951</v>
      </c>
      <c r="B14" s="8">
        <v>0.10400000000000001</v>
      </c>
      <c r="C14" s="8">
        <v>0.10400000000000001</v>
      </c>
      <c r="D14" s="8">
        <v>0</v>
      </c>
      <c r="E14" s="8">
        <v>0</v>
      </c>
      <c r="F14" s="8">
        <v>26</v>
      </c>
    </row>
    <row r="15" spans="1:6" x14ac:dyDescent="0.2">
      <c r="A15">
        <v>902907559</v>
      </c>
      <c r="B15" s="8">
        <v>0.41600000000000004</v>
      </c>
      <c r="C15" s="8">
        <v>0.41600000000000004</v>
      </c>
      <c r="D15" s="8">
        <v>6</v>
      </c>
      <c r="E15" s="8">
        <v>6</v>
      </c>
      <c r="F15" s="8">
        <v>86</v>
      </c>
    </row>
    <row r="16" spans="1:6" x14ac:dyDescent="0.2">
      <c r="A16">
        <v>528297980</v>
      </c>
      <c r="B16" s="8">
        <v>0.60400000000000009</v>
      </c>
      <c r="C16" s="8">
        <v>0.60400000000000009</v>
      </c>
      <c r="D16" s="8">
        <v>31</v>
      </c>
      <c r="E16" s="8">
        <v>31</v>
      </c>
      <c r="F16" s="8">
        <v>58</v>
      </c>
    </row>
    <row r="17" spans="1:6" x14ac:dyDescent="0.2">
      <c r="A17">
        <v>444882790</v>
      </c>
      <c r="B17" s="8">
        <v>0.10400000000000001</v>
      </c>
      <c r="C17" s="8">
        <v>0.10400000000000001</v>
      </c>
      <c r="D17" s="8">
        <v>7</v>
      </c>
      <c r="E17" s="8">
        <v>7</v>
      </c>
      <c r="F17" s="8">
        <v>5</v>
      </c>
    </row>
    <row r="18" spans="1:6" x14ac:dyDescent="0.2">
      <c r="A18">
        <v>112085131</v>
      </c>
      <c r="B18" s="8">
        <v>0.16</v>
      </c>
      <c r="C18" s="8">
        <v>0.16</v>
      </c>
      <c r="D18" s="8">
        <v>9</v>
      </c>
      <c r="E18" s="8">
        <v>9</v>
      </c>
      <c r="F18" s="8">
        <v>13</v>
      </c>
    </row>
    <row r="19" spans="1:6" x14ac:dyDescent="0.2">
      <c r="A19">
        <v>588642518</v>
      </c>
      <c r="B19" s="8">
        <v>0.78400000000000003</v>
      </c>
      <c r="C19" s="8">
        <v>0.78400000000000003</v>
      </c>
      <c r="D19" s="8">
        <v>34</v>
      </c>
      <c r="E19" s="8">
        <v>34</v>
      </c>
      <c r="F19" s="8">
        <v>94</v>
      </c>
    </row>
    <row r="20" spans="1:6" x14ac:dyDescent="0.2">
      <c r="A20">
        <v>414520736</v>
      </c>
      <c r="B20" s="8">
        <v>0.40799999999999997</v>
      </c>
      <c r="C20" s="8">
        <v>0.40799999999999997</v>
      </c>
      <c r="D20" s="8">
        <v>7</v>
      </c>
      <c r="E20" s="8">
        <v>7</v>
      </c>
      <c r="F20" s="8">
        <v>81</v>
      </c>
    </row>
    <row r="21" spans="1:6" x14ac:dyDescent="0.2">
      <c r="A21">
        <v>356558346</v>
      </c>
      <c r="B21" s="8">
        <v>0.19600000000000001</v>
      </c>
      <c r="C21" s="8">
        <v>0.19600000000000001</v>
      </c>
      <c r="D21" s="8">
        <v>2</v>
      </c>
      <c r="E21" s="8">
        <v>2</v>
      </c>
      <c r="F21" s="8">
        <v>43</v>
      </c>
    </row>
    <row r="22" spans="1:6" x14ac:dyDescent="0.2">
      <c r="A22">
        <v>970698993</v>
      </c>
      <c r="B22" s="8">
        <v>0.42799999999999999</v>
      </c>
      <c r="C22" s="8">
        <v>0.42799999999999999</v>
      </c>
      <c r="D22" s="8">
        <v>4</v>
      </c>
      <c r="E22" s="8">
        <v>4</v>
      </c>
      <c r="F22" s="8">
        <v>95</v>
      </c>
    </row>
    <row r="23" spans="1:6" x14ac:dyDescent="0.2">
      <c r="A23">
        <v>633537205</v>
      </c>
      <c r="B23" s="8">
        <v>0.20399999999999999</v>
      </c>
      <c r="C23" s="8">
        <v>0.20399999999999999</v>
      </c>
      <c r="D23" s="8">
        <v>5</v>
      </c>
      <c r="E23" s="8">
        <v>5</v>
      </c>
      <c r="F23" s="8">
        <v>36</v>
      </c>
    </row>
    <row r="24" spans="1:6" x14ac:dyDescent="0.2">
      <c r="A24">
        <v>534292868</v>
      </c>
      <c r="B24" s="8">
        <v>0.40799999999999997</v>
      </c>
      <c r="C24" s="8">
        <v>0.40799999999999997</v>
      </c>
      <c r="D24" s="8">
        <v>4</v>
      </c>
      <c r="E24" s="8">
        <v>4</v>
      </c>
      <c r="F24" s="8">
        <v>90</v>
      </c>
    </row>
    <row r="25" spans="1:6" x14ac:dyDescent="0.2">
      <c r="A25">
        <v>816787809</v>
      </c>
      <c r="B25" s="8">
        <v>0.57200000000000006</v>
      </c>
      <c r="C25" s="8">
        <v>0.57200000000000006</v>
      </c>
      <c r="D25" s="8">
        <v>32</v>
      </c>
      <c r="E25" s="8">
        <v>32</v>
      </c>
      <c r="F25" s="8">
        <v>47</v>
      </c>
    </row>
    <row r="26" spans="1:6" x14ac:dyDescent="0.2">
      <c r="A26">
        <v>220052551</v>
      </c>
      <c r="B26" s="8">
        <v>0.38</v>
      </c>
      <c r="C26" s="8">
        <v>0.38</v>
      </c>
      <c r="D26" s="8">
        <v>7</v>
      </c>
      <c r="E26" s="8">
        <v>7</v>
      </c>
      <c r="F26" s="8">
        <v>74</v>
      </c>
    </row>
    <row r="27" spans="1:6" x14ac:dyDescent="0.2">
      <c r="A27">
        <v>858571733</v>
      </c>
      <c r="B27" s="8">
        <v>0.17200000000000004</v>
      </c>
      <c r="C27" s="8">
        <v>0.17200000000000004</v>
      </c>
      <c r="D27" s="8">
        <v>8</v>
      </c>
      <c r="E27" s="8">
        <v>8</v>
      </c>
      <c r="F27" s="8">
        <v>19</v>
      </c>
    </row>
    <row r="28" spans="1:6" x14ac:dyDescent="0.2">
      <c r="A28">
        <v>363436152</v>
      </c>
      <c r="B28" s="8">
        <v>0.36</v>
      </c>
      <c r="C28" s="8">
        <v>0.36</v>
      </c>
      <c r="D28" s="8">
        <v>23</v>
      </c>
      <c r="E28" s="8">
        <v>23</v>
      </c>
      <c r="F28" s="8">
        <v>21</v>
      </c>
    </row>
    <row r="29" spans="1:6" x14ac:dyDescent="0.2">
      <c r="A29">
        <v>393495083</v>
      </c>
      <c r="B29" s="8">
        <v>0.47200000000000003</v>
      </c>
      <c r="C29" s="8">
        <v>0.47200000000000003</v>
      </c>
      <c r="D29" s="8">
        <v>9</v>
      </c>
      <c r="E29" s="8">
        <v>9</v>
      </c>
      <c r="F29" s="8">
        <v>91</v>
      </c>
    </row>
    <row r="30" spans="1:6" x14ac:dyDescent="0.2">
      <c r="A30">
        <v>769635714</v>
      </c>
      <c r="B30" s="8">
        <v>0.7360000000000001</v>
      </c>
      <c r="C30" s="8">
        <v>0.7360000000000001</v>
      </c>
      <c r="D30" s="8">
        <v>32</v>
      </c>
      <c r="E30" s="8">
        <v>32</v>
      </c>
      <c r="F30" s="8">
        <v>88</v>
      </c>
    </row>
    <row r="31" spans="1:6" x14ac:dyDescent="0.2">
      <c r="A31">
        <v>373048949</v>
      </c>
      <c r="B31" s="8">
        <v>0.5</v>
      </c>
      <c r="C31" s="8">
        <v>0.5</v>
      </c>
      <c r="D31" s="8">
        <v>15</v>
      </c>
      <c r="E31" s="8">
        <v>15</v>
      </c>
      <c r="F31" s="8">
        <v>80</v>
      </c>
    </row>
    <row r="32" spans="1:6" x14ac:dyDescent="0.2">
      <c r="A32">
        <v>357061292</v>
      </c>
      <c r="B32" s="8">
        <v>0.34</v>
      </c>
      <c r="C32" s="8">
        <v>0.34</v>
      </c>
      <c r="D32" s="8">
        <v>25</v>
      </c>
      <c r="E32" s="8">
        <v>25</v>
      </c>
      <c r="F32" s="8">
        <v>10</v>
      </c>
    </row>
    <row r="33" spans="1:6" x14ac:dyDescent="0.2">
      <c r="A33">
        <v>837310284</v>
      </c>
      <c r="B33" s="8">
        <v>0.39600000000000002</v>
      </c>
      <c r="C33" s="8">
        <v>0.39600000000000002</v>
      </c>
      <c r="D33" s="8">
        <v>18</v>
      </c>
      <c r="E33" s="8">
        <v>18</v>
      </c>
      <c r="F33" s="8">
        <v>45</v>
      </c>
    </row>
    <row r="34" spans="1:6" x14ac:dyDescent="0.2">
      <c r="A34">
        <v>815854164</v>
      </c>
      <c r="B34" s="8">
        <v>0.72800000000000009</v>
      </c>
      <c r="C34" s="8">
        <v>0.72800000000000009</v>
      </c>
      <c r="D34" s="8">
        <v>31</v>
      </c>
      <c r="E34" s="8">
        <v>31</v>
      </c>
      <c r="F34" s="8">
        <v>89</v>
      </c>
    </row>
    <row r="35" spans="1:6" x14ac:dyDescent="0.2">
      <c r="A35">
        <v>315378369</v>
      </c>
      <c r="B35" s="8">
        <v>0.26400000000000001</v>
      </c>
      <c r="C35" s="8">
        <v>0.26400000000000001</v>
      </c>
      <c r="D35" s="8">
        <v>18</v>
      </c>
      <c r="E35" s="8">
        <v>18</v>
      </c>
      <c r="F35" s="8">
        <v>12</v>
      </c>
    </row>
    <row r="36" spans="1:6" x14ac:dyDescent="0.2">
      <c r="A36">
        <v>564410540</v>
      </c>
      <c r="B36" s="8">
        <v>0.51600000000000001</v>
      </c>
      <c r="C36" s="8">
        <v>0.51600000000000001</v>
      </c>
      <c r="D36" s="8">
        <v>36</v>
      </c>
      <c r="E36" s="8">
        <v>36</v>
      </c>
      <c r="F36" s="8">
        <v>21</v>
      </c>
    </row>
    <row r="37" spans="1:6" x14ac:dyDescent="0.2">
      <c r="A37">
        <v>126539887</v>
      </c>
      <c r="B37" s="8">
        <v>0.4</v>
      </c>
      <c r="C37" s="8">
        <v>0.4</v>
      </c>
      <c r="D37" s="8">
        <v>31</v>
      </c>
      <c r="E37" s="8">
        <v>31</v>
      </c>
      <c r="F37" s="8">
        <v>7</v>
      </c>
    </row>
    <row r="38" spans="1:6" x14ac:dyDescent="0.2">
      <c r="A38">
        <v>563937624</v>
      </c>
      <c r="B38" s="8">
        <v>0.14000000000000001</v>
      </c>
      <c r="C38" s="8">
        <v>0.14000000000000001</v>
      </c>
      <c r="D38" s="8">
        <v>10</v>
      </c>
      <c r="E38" s="8">
        <v>10</v>
      </c>
      <c r="F38" s="8">
        <v>5</v>
      </c>
    </row>
    <row r="39" spans="1:6" x14ac:dyDescent="0.2">
      <c r="A39">
        <v>684291511</v>
      </c>
      <c r="B39" s="8">
        <v>0.46</v>
      </c>
      <c r="C39" s="8">
        <v>0.46</v>
      </c>
      <c r="D39" s="8">
        <v>26</v>
      </c>
      <c r="E39" s="8">
        <v>26</v>
      </c>
      <c r="F39" s="8">
        <v>37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L39"/>
  <sheetViews>
    <sheetView workbookViewId="0">
      <selection sqref="A1:XFD1048576"/>
    </sheetView>
  </sheetViews>
  <sheetFormatPr baseColWidth="10" defaultColWidth="8.83203125" defaultRowHeight="15" x14ac:dyDescent="0.2"/>
  <sheetData>
    <row r="1" spans="1:12" x14ac:dyDescent="0.2">
      <c r="A1" t="s">
        <v>482</v>
      </c>
      <c r="C1" t="s">
        <v>436</v>
      </c>
      <c r="I1" t="s">
        <v>436</v>
      </c>
    </row>
    <row r="2" spans="1:12" x14ac:dyDescent="0.2">
      <c r="D2" t="s">
        <v>15</v>
      </c>
      <c r="E2" t="s">
        <v>45</v>
      </c>
      <c r="F2" t="s">
        <v>47</v>
      </c>
      <c r="G2" t="s">
        <v>486</v>
      </c>
      <c r="H2" t="s">
        <v>50</v>
      </c>
      <c r="J2" t="s">
        <v>47</v>
      </c>
      <c r="K2" t="s">
        <v>49</v>
      </c>
      <c r="L2" t="s">
        <v>50</v>
      </c>
    </row>
    <row r="3" spans="1:12" x14ac:dyDescent="0.2">
      <c r="D3">
        <v>100</v>
      </c>
      <c r="E3">
        <v>40</v>
      </c>
      <c r="F3">
        <v>100</v>
      </c>
      <c r="G3">
        <v>5</v>
      </c>
      <c r="H3">
        <v>100</v>
      </c>
      <c r="J3">
        <v>100</v>
      </c>
      <c r="K3">
        <v>10</v>
      </c>
      <c r="L3">
        <v>100</v>
      </c>
    </row>
    <row r="4" spans="1:12" x14ac:dyDescent="0.2">
      <c r="D4">
        <v>0.05</v>
      </c>
      <c r="E4">
        <v>0.125</v>
      </c>
      <c r="F4">
        <v>0.1</v>
      </c>
      <c r="G4">
        <v>1</v>
      </c>
      <c r="H4">
        <v>0.1</v>
      </c>
      <c r="J4">
        <v>0.1</v>
      </c>
      <c r="K4">
        <v>0.5</v>
      </c>
      <c r="L4">
        <v>0.1</v>
      </c>
    </row>
    <row r="5" spans="1:12" x14ac:dyDescent="0.2">
      <c r="A5">
        <v>598829620</v>
      </c>
      <c r="B5" s="8">
        <v>0.21928571428571428</v>
      </c>
      <c r="C5" s="8">
        <v>0.31857142857142856</v>
      </c>
      <c r="D5" s="8">
        <v>83</v>
      </c>
      <c r="E5" s="8">
        <v>8</v>
      </c>
      <c r="F5" s="8">
        <v>15</v>
      </c>
      <c r="G5" s="8">
        <v>3</v>
      </c>
      <c r="H5" s="8">
        <v>15</v>
      </c>
      <c r="I5" s="8">
        <v>0.12</v>
      </c>
      <c r="J5" s="8">
        <v>15</v>
      </c>
      <c r="K5" s="8">
        <v>0</v>
      </c>
      <c r="L5" s="8">
        <v>15</v>
      </c>
    </row>
    <row r="6" spans="1:12" x14ac:dyDescent="0.2">
      <c r="A6">
        <v>684014860</v>
      </c>
      <c r="B6" s="8">
        <v>0.56685714285714295</v>
      </c>
      <c r="C6" s="8">
        <v>0.6457142857142858</v>
      </c>
      <c r="D6" s="8">
        <v>93</v>
      </c>
      <c r="E6" s="8">
        <v>22</v>
      </c>
      <c r="F6" s="8">
        <v>56</v>
      </c>
      <c r="G6" s="8">
        <v>4</v>
      </c>
      <c r="H6" s="8">
        <v>56</v>
      </c>
      <c r="I6" s="8">
        <v>0.48800000000000004</v>
      </c>
      <c r="J6" s="8">
        <v>56</v>
      </c>
      <c r="K6" s="8">
        <v>2</v>
      </c>
      <c r="L6" s="8">
        <v>56</v>
      </c>
    </row>
    <row r="7" spans="1:12" x14ac:dyDescent="0.2">
      <c r="A7">
        <v>843228181</v>
      </c>
      <c r="B7" s="8">
        <v>0.5922142857142858</v>
      </c>
      <c r="C7" s="8">
        <v>0.59642857142857142</v>
      </c>
      <c r="D7" s="8">
        <v>26</v>
      </c>
      <c r="E7" s="8">
        <v>19</v>
      </c>
      <c r="F7" s="8">
        <v>61</v>
      </c>
      <c r="G7" s="8">
        <v>5</v>
      </c>
      <c r="H7" s="8">
        <v>61</v>
      </c>
      <c r="I7" s="8">
        <v>0.58800000000000008</v>
      </c>
      <c r="J7" s="8">
        <v>61</v>
      </c>
      <c r="K7" s="8">
        <v>5</v>
      </c>
      <c r="L7" s="8">
        <v>61</v>
      </c>
    </row>
    <row r="8" spans="1:12" x14ac:dyDescent="0.2">
      <c r="A8">
        <v>820549378</v>
      </c>
      <c r="B8" s="8">
        <v>0.4076428571428572</v>
      </c>
      <c r="C8" s="8">
        <v>0.49928571428571433</v>
      </c>
      <c r="D8" s="8">
        <v>64</v>
      </c>
      <c r="E8" s="8">
        <v>31</v>
      </c>
      <c r="F8" s="8">
        <v>32</v>
      </c>
      <c r="G8" s="8">
        <v>4</v>
      </c>
      <c r="H8" s="8">
        <v>32</v>
      </c>
      <c r="I8" s="8">
        <v>0.316</v>
      </c>
      <c r="J8" s="8">
        <v>32</v>
      </c>
      <c r="K8" s="8">
        <v>3</v>
      </c>
      <c r="L8" s="8">
        <v>32</v>
      </c>
    </row>
    <row r="9" spans="1:12" x14ac:dyDescent="0.2">
      <c r="A9">
        <v>533572169</v>
      </c>
      <c r="B9" s="8">
        <v>0.3725</v>
      </c>
      <c r="C9" s="8">
        <v>0.32500000000000001</v>
      </c>
      <c r="D9" s="8">
        <v>40</v>
      </c>
      <c r="E9" s="8">
        <v>27</v>
      </c>
      <c r="F9" s="8">
        <v>30</v>
      </c>
      <c r="G9" s="8">
        <v>0</v>
      </c>
      <c r="H9" s="8">
        <v>30</v>
      </c>
      <c r="I9" s="8">
        <v>0.42</v>
      </c>
      <c r="J9" s="8">
        <v>30</v>
      </c>
      <c r="K9" s="8">
        <v>9</v>
      </c>
      <c r="L9" s="8">
        <v>30</v>
      </c>
    </row>
    <row r="10" spans="1:12" x14ac:dyDescent="0.2">
      <c r="A10">
        <v>975325712</v>
      </c>
      <c r="B10" s="8">
        <v>0.41464285714285715</v>
      </c>
      <c r="C10" s="8">
        <v>0.34928571428571425</v>
      </c>
      <c r="D10" s="8">
        <v>42</v>
      </c>
      <c r="E10" s="8">
        <v>1</v>
      </c>
      <c r="F10" s="8">
        <v>40</v>
      </c>
      <c r="G10" s="8">
        <v>2</v>
      </c>
      <c r="H10" s="8">
        <v>40</v>
      </c>
      <c r="I10" s="8">
        <v>0.48</v>
      </c>
      <c r="J10" s="8">
        <v>40</v>
      </c>
      <c r="K10" s="8">
        <v>8</v>
      </c>
      <c r="L10" s="8">
        <v>40</v>
      </c>
    </row>
    <row r="11" spans="1:12" x14ac:dyDescent="0.2">
      <c r="A11">
        <v>310082419</v>
      </c>
      <c r="B11" s="8">
        <v>0.16064285714285714</v>
      </c>
      <c r="C11" s="8">
        <v>0.22928571428571429</v>
      </c>
      <c r="D11" s="8">
        <v>42</v>
      </c>
      <c r="E11" s="8">
        <v>17</v>
      </c>
      <c r="F11" s="8">
        <v>4</v>
      </c>
      <c r="G11" s="8">
        <v>3</v>
      </c>
      <c r="H11" s="8">
        <v>4</v>
      </c>
      <c r="I11" s="8">
        <v>9.1999999999999998E-2</v>
      </c>
      <c r="J11" s="8">
        <v>4</v>
      </c>
      <c r="K11" s="8">
        <v>3</v>
      </c>
      <c r="L11" s="8">
        <v>4</v>
      </c>
    </row>
    <row r="12" spans="1:12" x14ac:dyDescent="0.2">
      <c r="A12">
        <v>242132470</v>
      </c>
      <c r="B12" s="8">
        <v>0.23435714285714282</v>
      </c>
      <c r="C12" s="8">
        <v>0.18071428571428569</v>
      </c>
      <c r="D12" s="8">
        <v>60</v>
      </c>
      <c r="E12" s="8">
        <v>9</v>
      </c>
      <c r="F12" s="8">
        <v>11</v>
      </c>
      <c r="G12" s="8">
        <v>0</v>
      </c>
      <c r="H12" s="8">
        <v>11</v>
      </c>
      <c r="I12" s="8">
        <v>0.28799999999999998</v>
      </c>
      <c r="J12" s="8">
        <v>11</v>
      </c>
      <c r="K12" s="8">
        <v>10</v>
      </c>
      <c r="L12" s="8">
        <v>11</v>
      </c>
    </row>
    <row r="13" spans="1:12" x14ac:dyDescent="0.2">
      <c r="A13">
        <v>208248363</v>
      </c>
      <c r="B13" s="8">
        <v>0.52864285714285719</v>
      </c>
      <c r="C13" s="8">
        <v>0.50928571428571434</v>
      </c>
      <c r="D13" s="8">
        <v>25</v>
      </c>
      <c r="E13" s="8">
        <v>19</v>
      </c>
      <c r="F13" s="8">
        <v>51</v>
      </c>
      <c r="G13" s="8">
        <v>4</v>
      </c>
      <c r="H13" s="8">
        <v>51</v>
      </c>
      <c r="I13" s="8">
        <v>0.54800000000000015</v>
      </c>
      <c r="J13" s="8">
        <v>51</v>
      </c>
      <c r="K13" s="8">
        <v>7</v>
      </c>
      <c r="L13" s="8">
        <v>51</v>
      </c>
    </row>
    <row r="14" spans="1:12" x14ac:dyDescent="0.2">
      <c r="A14">
        <v>277055951</v>
      </c>
      <c r="B14" s="8">
        <v>0.32971428571428568</v>
      </c>
      <c r="C14" s="8">
        <v>0.33142857142857141</v>
      </c>
      <c r="D14" s="8">
        <v>28</v>
      </c>
      <c r="E14" s="8">
        <v>24</v>
      </c>
      <c r="F14" s="8">
        <v>26</v>
      </c>
      <c r="G14" s="8">
        <v>2</v>
      </c>
      <c r="H14" s="8">
        <v>26</v>
      </c>
      <c r="I14" s="8">
        <v>0.32799999999999996</v>
      </c>
      <c r="J14" s="8">
        <v>26</v>
      </c>
      <c r="K14" s="8">
        <v>6</v>
      </c>
      <c r="L14" s="8">
        <v>26</v>
      </c>
    </row>
    <row r="15" spans="1:12" x14ac:dyDescent="0.2">
      <c r="A15">
        <v>902907559</v>
      </c>
      <c r="B15" s="8">
        <v>0.78614285714285714</v>
      </c>
      <c r="C15" s="8">
        <v>0.78428571428571436</v>
      </c>
      <c r="D15" s="8">
        <v>95</v>
      </c>
      <c r="E15" s="8">
        <v>4</v>
      </c>
      <c r="F15" s="8">
        <v>86</v>
      </c>
      <c r="G15" s="8">
        <v>5</v>
      </c>
      <c r="H15" s="8">
        <v>86</v>
      </c>
      <c r="I15" s="8">
        <v>0.78799999999999992</v>
      </c>
      <c r="J15" s="8">
        <v>86</v>
      </c>
      <c r="K15" s="8">
        <v>5</v>
      </c>
      <c r="L15" s="8">
        <v>86</v>
      </c>
    </row>
    <row r="16" spans="1:12" x14ac:dyDescent="0.2">
      <c r="A16">
        <v>528297980</v>
      </c>
      <c r="B16" s="8">
        <v>0.59842857142857142</v>
      </c>
      <c r="C16" s="8">
        <v>0.57285714285714284</v>
      </c>
      <c r="D16" s="8">
        <v>74</v>
      </c>
      <c r="E16" s="8">
        <v>14</v>
      </c>
      <c r="F16" s="8">
        <v>58</v>
      </c>
      <c r="G16" s="8">
        <v>3</v>
      </c>
      <c r="H16" s="8">
        <v>58</v>
      </c>
      <c r="I16" s="8">
        <v>0.62400000000000011</v>
      </c>
      <c r="J16" s="8">
        <v>58</v>
      </c>
      <c r="K16" s="8">
        <v>8</v>
      </c>
      <c r="L16" s="8">
        <v>58</v>
      </c>
    </row>
    <row r="17" spans="1:12" x14ac:dyDescent="0.2">
      <c r="A17">
        <v>444882790</v>
      </c>
      <c r="B17" s="8">
        <v>0.27214285714285713</v>
      </c>
      <c r="C17" s="8">
        <v>0.32428571428571429</v>
      </c>
      <c r="D17" s="8">
        <v>67</v>
      </c>
      <c r="E17" s="8">
        <v>24</v>
      </c>
      <c r="F17" s="8">
        <v>5</v>
      </c>
      <c r="G17" s="8">
        <v>4</v>
      </c>
      <c r="H17" s="8">
        <v>5</v>
      </c>
      <c r="I17" s="8">
        <v>0.22</v>
      </c>
      <c r="J17" s="8">
        <v>5</v>
      </c>
      <c r="K17" s="8">
        <v>9</v>
      </c>
      <c r="L17" s="8">
        <v>5</v>
      </c>
    </row>
    <row r="18" spans="1:12" x14ac:dyDescent="0.2">
      <c r="A18">
        <v>112085131</v>
      </c>
      <c r="B18" s="8">
        <v>0.2202142857142857</v>
      </c>
      <c r="C18" s="8">
        <v>0.25642857142857139</v>
      </c>
      <c r="D18" s="8">
        <v>60</v>
      </c>
      <c r="E18" s="8">
        <v>27</v>
      </c>
      <c r="F18" s="8">
        <v>13</v>
      </c>
      <c r="G18" s="8">
        <v>0</v>
      </c>
      <c r="H18" s="8">
        <v>13</v>
      </c>
      <c r="I18" s="8">
        <v>0.184</v>
      </c>
      <c r="J18" s="8">
        <v>13</v>
      </c>
      <c r="K18" s="8">
        <v>4</v>
      </c>
      <c r="L18" s="8">
        <v>13</v>
      </c>
    </row>
    <row r="19" spans="1:12" x14ac:dyDescent="0.2">
      <c r="A19">
        <v>588642518</v>
      </c>
      <c r="B19" s="8">
        <v>0.70671428571428574</v>
      </c>
      <c r="C19" s="8">
        <v>0.66142857142857137</v>
      </c>
      <c r="D19" s="8">
        <v>72</v>
      </c>
      <c r="E19" s="8">
        <v>6</v>
      </c>
      <c r="F19" s="8">
        <v>94</v>
      </c>
      <c r="G19" s="8">
        <v>0</v>
      </c>
      <c r="H19" s="8">
        <v>94</v>
      </c>
      <c r="I19" s="8">
        <v>0.752</v>
      </c>
      <c r="J19" s="8">
        <v>94</v>
      </c>
      <c r="K19" s="8">
        <v>0</v>
      </c>
      <c r="L19" s="8">
        <v>94</v>
      </c>
    </row>
    <row r="20" spans="1:12" x14ac:dyDescent="0.2">
      <c r="A20">
        <v>414520736</v>
      </c>
      <c r="B20" s="8">
        <v>0.70792857142857135</v>
      </c>
      <c r="C20" s="8">
        <v>0.56785714285714284</v>
      </c>
      <c r="D20" s="8">
        <v>11</v>
      </c>
      <c r="E20" s="8">
        <v>17</v>
      </c>
      <c r="F20" s="8">
        <v>81</v>
      </c>
      <c r="G20" s="8">
        <v>1</v>
      </c>
      <c r="H20" s="8">
        <v>81</v>
      </c>
      <c r="I20" s="8">
        <v>0.84799999999999998</v>
      </c>
      <c r="J20" s="8">
        <v>81</v>
      </c>
      <c r="K20" s="8">
        <v>10</v>
      </c>
      <c r="L20" s="8">
        <v>81</v>
      </c>
    </row>
    <row r="21" spans="1:12" x14ac:dyDescent="0.2">
      <c r="A21">
        <v>356558346</v>
      </c>
      <c r="B21" s="8">
        <v>0.47950000000000004</v>
      </c>
      <c r="C21" s="8">
        <v>0.43500000000000005</v>
      </c>
      <c r="D21" s="8">
        <v>50</v>
      </c>
      <c r="E21" s="8">
        <v>9</v>
      </c>
      <c r="F21" s="8">
        <v>43</v>
      </c>
      <c r="G21" s="8">
        <v>3</v>
      </c>
      <c r="H21" s="8">
        <v>43</v>
      </c>
      <c r="I21" s="8">
        <v>0.52400000000000002</v>
      </c>
      <c r="J21" s="8">
        <v>43</v>
      </c>
      <c r="K21" s="8">
        <v>9</v>
      </c>
      <c r="L21" s="8">
        <v>43</v>
      </c>
    </row>
    <row r="22" spans="1:12" x14ac:dyDescent="0.2">
      <c r="A22">
        <v>970698993</v>
      </c>
      <c r="B22" s="8">
        <v>0.84071428571428564</v>
      </c>
      <c r="C22" s="8">
        <v>0.76142857142857134</v>
      </c>
      <c r="D22" s="8">
        <v>78</v>
      </c>
      <c r="E22" s="8">
        <v>14</v>
      </c>
      <c r="F22" s="8">
        <v>95</v>
      </c>
      <c r="G22" s="8">
        <v>2</v>
      </c>
      <c r="H22" s="8">
        <v>95</v>
      </c>
      <c r="I22" s="8">
        <v>0.92</v>
      </c>
      <c r="J22" s="8">
        <v>95</v>
      </c>
      <c r="K22" s="8">
        <v>8</v>
      </c>
      <c r="L22" s="8">
        <v>95</v>
      </c>
    </row>
    <row r="23" spans="1:12" x14ac:dyDescent="0.2">
      <c r="A23">
        <v>633537205</v>
      </c>
      <c r="B23" s="8">
        <v>0.29899999999999999</v>
      </c>
      <c r="C23" s="8">
        <v>0.31</v>
      </c>
      <c r="D23" s="8">
        <v>43</v>
      </c>
      <c r="E23" s="8">
        <v>4</v>
      </c>
      <c r="F23" s="8">
        <v>36</v>
      </c>
      <c r="G23" s="8">
        <v>1</v>
      </c>
      <c r="H23" s="8">
        <v>36</v>
      </c>
      <c r="I23" s="8">
        <v>0.28800000000000003</v>
      </c>
      <c r="J23" s="8">
        <v>36</v>
      </c>
      <c r="K23" s="8">
        <v>0</v>
      </c>
      <c r="L23" s="8">
        <v>36</v>
      </c>
    </row>
    <row r="24" spans="1:12" x14ac:dyDescent="0.2">
      <c r="A24">
        <v>534292868</v>
      </c>
      <c r="B24" s="8">
        <v>0.76214285714285712</v>
      </c>
      <c r="C24" s="8">
        <v>0.70428571428571429</v>
      </c>
      <c r="D24" s="8">
        <v>88</v>
      </c>
      <c r="E24" s="8">
        <v>2</v>
      </c>
      <c r="F24" s="8">
        <v>90</v>
      </c>
      <c r="G24" s="8">
        <v>2</v>
      </c>
      <c r="H24" s="8">
        <v>90</v>
      </c>
      <c r="I24" s="8">
        <v>0.82</v>
      </c>
      <c r="J24" s="8">
        <v>90</v>
      </c>
      <c r="K24" s="8">
        <v>5</v>
      </c>
      <c r="L24" s="8">
        <v>90</v>
      </c>
    </row>
    <row r="25" spans="1:12" x14ac:dyDescent="0.2">
      <c r="A25">
        <v>816787809</v>
      </c>
      <c r="B25" s="8">
        <v>0.50978571428571429</v>
      </c>
      <c r="C25" s="8">
        <v>0.4835714285714286</v>
      </c>
      <c r="D25" s="8">
        <v>28</v>
      </c>
      <c r="E25" s="8">
        <v>9</v>
      </c>
      <c r="F25" s="8">
        <v>47</v>
      </c>
      <c r="G25" s="8">
        <v>5</v>
      </c>
      <c r="H25" s="8">
        <v>47</v>
      </c>
      <c r="I25" s="8">
        <v>0.53599999999999992</v>
      </c>
      <c r="J25" s="8">
        <v>47</v>
      </c>
      <c r="K25" s="8">
        <v>8</v>
      </c>
      <c r="L25" s="8">
        <v>47</v>
      </c>
    </row>
    <row r="26" spans="1:12" x14ac:dyDescent="0.2">
      <c r="A26">
        <v>220052551</v>
      </c>
      <c r="B26" s="8">
        <v>0.63707142857142862</v>
      </c>
      <c r="C26" s="8">
        <v>0.54214285714285715</v>
      </c>
      <c r="D26" s="8">
        <v>6</v>
      </c>
      <c r="E26" s="8">
        <v>7</v>
      </c>
      <c r="F26" s="8">
        <v>74</v>
      </c>
      <c r="G26" s="8">
        <v>3</v>
      </c>
      <c r="H26" s="8">
        <v>74</v>
      </c>
      <c r="I26" s="8">
        <v>0.73199999999999998</v>
      </c>
      <c r="J26" s="8">
        <v>74</v>
      </c>
      <c r="K26" s="8">
        <v>7</v>
      </c>
      <c r="L26" s="8">
        <v>74</v>
      </c>
    </row>
    <row r="27" spans="1:12" x14ac:dyDescent="0.2">
      <c r="A27">
        <v>858571733</v>
      </c>
      <c r="B27" s="8">
        <v>0.2638571428571429</v>
      </c>
      <c r="C27" s="8">
        <v>0.25571428571428573</v>
      </c>
      <c r="D27" s="8">
        <v>78</v>
      </c>
      <c r="E27" s="8">
        <v>2</v>
      </c>
      <c r="F27" s="8">
        <v>19</v>
      </c>
      <c r="G27" s="8">
        <v>1</v>
      </c>
      <c r="H27" s="8">
        <v>19</v>
      </c>
      <c r="I27" s="8">
        <v>0.27200000000000002</v>
      </c>
      <c r="J27" s="8">
        <v>19</v>
      </c>
      <c r="K27" s="8">
        <v>6</v>
      </c>
      <c r="L27" s="8">
        <v>19</v>
      </c>
    </row>
    <row r="28" spans="1:12" x14ac:dyDescent="0.2">
      <c r="A28">
        <v>363436152</v>
      </c>
      <c r="B28" s="8">
        <v>0.28792857142857142</v>
      </c>
      <c r="C28" s="8">
        <v>0.26785714285714285</v>
      </c>
      <c r="D28" s="8">
        <v>16</v>
      </c>
      <c r="E28" s="8">
        <v>19</v>
      </c>
      <c r="F28" s="8">
        <v>21</v>
      </c>
      <c r="G28" s="8">
        <v>2</v>
      </c>
      <c r="H28" s="8">
        <v>21</v>
      </c>
      <c r="I28" s="8">
        <v>0.308</v>
      </c>
      <c r="J28" s="8">
        <v>21</v>
      </c>
      <c r="K28" s="8">
        <v>7</v>
      </c>
      <c r="L28" s="8">
        <v>21</v>
      </c>
    </row>
    <row r="29" spans="1:12" x14ac:dyDescent="0.2">
      <c r="A29">
        <v>393495083</v>
      </c>
      <c r="B29" s="8">
        <v>0.74935714285714283</v>
      </c>
      <c r="C29" s="8">
        <v>0.65071428571428569</v>
      </c>
      <c r="D29" s="8">
        <v>69</v>
      </c>
      <c r="E29" s="8">
        <v>1</v>
      </c>
      <c r="F29" s="8">
        <v>91</v>
      </c>
      <c r="G29" s="8">
        <v>1</v>
      </c>
      <c r="H29" s="8">
        <v>91</v>
      </c>
      <c r="I29" s="8">
        <v>0.84799999999999998</v>
      </c>
      <c r="J29" s="8">
        <v>91</v>
      </c>
      <c r="K29" s="8">
        <v>6</v>
      </c>
      <c r="L29" s="8">
        <v>91</v>
      </c>
    </row>
    <row r="30" spans="1:12" x14ac:dyDescent="0.2">
      <c r="A30">
        <v>769635714</v>
      </c>
      <c r="B30" s="8">
        <v>0.77735714285714286</v>
      </c>
      <c r="C30" s="8">
        <v>0.67071428571428571</v>
      </c>
      <c r="D30" s="8">
        <v>75</v>
      </c>
      <c r="E30" s="8">
        <v>1</v>
      </c>
      <c r="F30" s="8">
        <v>88</v>
      </c>
      <c r="G30" s="8">
        <v>2</v>
      </c>
      <c r="H30" s="8">
        <v>88</v>
      </c>
      <c r="I30" s="8">
        <v>0.88400000000000001</v>
      </c>
      <c r="J30" s="8">
        <v>88</v>
      </c>
      <c r="K30" s="8">
        <v>9</v>
      </c>
      <c r="L30" s="8">
        <v>88</v>
      </c>
    </row>
    <row r="31" spans="1:12" x14ac:dyDescent="0.2">
      <c r="A31">
        <v>373048949</v>
      </c>
      <c r="B31" s="8">
        <v>0.76500000000000001</v>
      </c>
      <c r="C31" s="8">
        <v>0.69</v>
      </c>
      <c r="D31" s="8">
        <v>48</v>
      </c>
      <c r="E31" s="8">
        <v>30</v>
      </c>
      <c r="F31" s="8">
        <v>80</v>
      </c>
      <c r="G31" s="8">
        <v>2</v>
      </c>
      <c r="H31" s="8">
        <v>80</v>
      </c>
      <c r="I31" s="8">
        <v>0.84</v>
      </c>
      <c r="J31" s="8">
        <v>80</v>
      </c>
      <c r="K31" s="8">
        <v>10</v>
      </c>
      <c r="L31" s="8">
        <v>80</v>
      </c>
    </row>
    <row r="32" spans="1:12" x14ac:dyDescent="0.2">
      <c r="A32">
        <v>357061292</v>
      </c>
      <c r="B32" s="8">
        <v>0.20749999999999999</v>
      </c>
      <c r="C32" s="8">
        <v>0.23499999999999999</v>
      </c>
      <c r="D32" s="8">
        <v>7</v>
      </c>
      <c r="E32" s="8">
        <v>7</v>
      </c>
      <c r="F32" s="8">
        <v>10</v>
      </c>
      <c r="G32" s="8">
        <v>5</v>
      </c>
      <c r="H32" s="8">
        <v>10</v>
      </c>
      <c r="I32" s="8">
        <v>0.18</v>
      </c>
      <c r="J32" s="8">
        <v>10</v>
      </c>
      <c r="K32" s="8">
        <v>5</v>
      </c>
      <c r="L32" s="8">
        <v>10</v>
      </c>
    </row>
    <row r="33" spans="1:12" x14ac:dyDescent="0.2">
      <c r="A33">
        <v>837310284</v>
      </c>
      <c r="B33" s="8">
        <v>0.39499999999999996</v>
      </c>
      <c r="C33" s="8">
        <v>0.35</v>
      </c>
      <c r="D33" s="8">
        <v>0</v>
      </c>
      <c r="E33" s="8">
        <v>26</v>
      </c>
      <c r="F33" s="8">
        <v>45</v>
      </c>
      <c r="G33" s="8">
        <v>0</v>
      </c>
      <c r="H33" s="8">
        <v>45</v>
      </c>
      <c r="I33" s="8">
        <v>0.44</v>
      </c>
      <c r="J33" s="8">
        <v>45</v>
      </c>
      <c r="K33" s="8">
        <v>4</v>
      </c>
      <c r="L33" s="8">
        <v>45</v>
      </c>
    </row>
    <row r="34" spans="1:12" x14ac:dyDescent="0.2">
      <c r="A34">
        <v>815854164</v>
      </c>
      <c r="B34" s="8">
        <v>0.74457142857142866</v>
      </c>
      <c r="C34" s="8">
        <v>0.67714285714285727</v>
      </c>
      <c r="D34" s="8">
        <v>98</v>
      </c>
      <c r="E34" s="8">
        <v>8</v>
      </c>
      <c r="F34" s="8">
        <v>89</v>
      </c>
      <c r="G34" s="8">
        <v>0</v>
      </c>
      <c r="H34" s="8">
        <v>89</v>
      </c>
      <c r="I34" s="8">
        <v>0.81200000000000006</v>
      </c>
      <c r="J34" s="8">
        <v>89</v>
      </c>
      <c r="K34" s="8">
        <v>5</v>
      </c>
      <c r="L34" s="8">
        <v>89</v>
      </c>
    </row>
    <row r="35" spans="1:12" x14ac:dyDescent="0.2">
      <c r="A35">
        <v>315378369</v>
      </c>
      <c r="B35" s="8">
        <v>0.1772857142857143</v>
      </c>
      <c r="C35" s="8">
        <v>0.19857142857142857</v>
      </c>
      <c r="D35" s="8">
        <v>46</v>
      </c>
      <c r="E35" s="8">
        <v>2</v>
      </c>
      <c r="F35" s="8">
        <v>12</v>
      </c>
      <c r="G35" s="8">
        <v>2</v>
      </c>
      <c r="H35" s="8">
        <v>12</v>
      </c>
      <c r="I35" s="8">
        <v>0.15600000000000003</v>
      </c>
      <c r="J35" s="8">
        <v>12</v>
      </c>
      <c r="K35" s="8">
        <v>3</v>
      </c>
      <c r="L35" s="8">
        <v>12</v>
      </c>
    </row>
    <row r="36" spans="1:12" x14ac:dyDescent="0.2">
      <c r="A36">
        <v>564410540</v>
      </c>
      <c r="B36" s="8">
        <v>0.32221428571428568</v>
      </c>
      <c r="C36" s="8">
        <v>0.35642857142857143</v>
      </c>
      <c r="D36" s="8">
        <v>38</v>
      </c>
      <c r="E36" s="8">
        <v>35</v>
      </c>
      <c r="F36" s="8">
        <v>21</v>
      </c>
      <c r="G36" s="8">
        <v>2</v>
      </c>
      <c r="H36" s="8">
        <v>21</v>
      </c>
      <c r="I36" s="8">
        <v>0.28799999999999998</v>
      </c>
      <c r="J36" s="8">
        <v>21</v>
      </c>
      <c r="K36" s="8">
        <v>6</v>
      </c>
      <c r="L36" s="8">
        <v>21</v>
      </c>
    </row>
    <row r="37" spans="1:12" x14ac:dyDescent="0.2">
      <c r="A37">
        <v>126539887</v>
      </c>
      <c r="B37" s="8">
        <v>0.28585714285714287</v>
      </c>
      <c r="C37" s="8">
        <v>0.35571428571428571</v>
      </c>
      <c r="D37" s="8">
        <v>96</v>
      </c>
      <c r="E37" s="8">
        <v>26</v>
      </c>
      <c r="F37" s="8">
        <v>7</v>
      </c>
      <c r="G37" s="8">
        <v>3</v>
      </c>
      <c r="H37" s="8">
        <v>7</v>
      </c>
      <c r="I37" s="8">
        <v>0.21600000000000003</v>
      </c>
      <c r="J37" s="8">
        <v>7</v>
      </c>
      <c r="K37" s="8">
        <v>8</v>
      </c>
      <c r="L37" s="8">
        <v>7</v>
      </c>
    </row>
    <row r="38" spans="1:12" x14ac:dyDescent="0.2">
      <c r="A38">
        <v>563937624</v>
      </c>
      <c r="B38" s="8">
        <v>0.28214285714285714</v>
      </c>
      <c r="C38" s="8">
        <v>0.38428571428571429</v>
      </c>
      <c r="D38" s="8">
        <v>99</v>
      </c>
      <c r="E38" s="8">
        <v>28</v>
      </c>
      <c r="F38" s="8">
        <v>5</v>
      </c>
      <c r="G38" s="8">
        <v>4</v>
      </c>
      <c r="H38" s="8">
        <v>5</v>
      </c>
      <c r="I38" s="8">
        <v>0.18</v>
      </c>
      <c r="J38" s="8">
        <v>5</v>
      </c>
      <c r="K38" s="8">
        <v>7</v>
      </c>
      <c r="L38" s="8">
        <v>5</v>
      </c>
    </row>
    <row r="39" spans="1:12" x14ac:dyDescent="0.2">
      <c r="A39">
        <v>684291511</v>
      </c>
      <c r="B39" s="8">
        <v>0.41657142857142854</v>
      </c>
      <c r="C39" s="8">
        <v>0.35714285714285715</v>
      </c>
      <c r="D39" s="8">
        <v>22</v>
      </c>
      <c r="E39" s="8">
        <v>16</v>
      </c>
      <c r="F39" s="8">
        <v>37</v>
      </c>
      <c r="G39" s="8">
        <v>2</v>
      </c>
      <c r="H39" s="8">
        <v>37</v>
      </c>
      <c r="I39" s="8">
        <v>0.47599999999999992</v>
      </c>
      <c r="J39" s="8">
        <v>37</v>
      </c>
      <c r="K39" s="8">
        <v>9</v>
      </c>
      <c r="L39" s="8">
        <v>37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Q39"/>
  <sheetViews>
    <sheetView workbookViewId="0">
      <selection sqref="A1:XFD1048576"/>
    </sheetView>
  </sheetViews>
  <sheetFormatPr baseColWidth="10" defaultColWidth="8.83203125" defaultRowHeight="15" x14ac:dyDescent="0.2"/>
  <sheetData>
    <row r="1" spans="1:17" x14ac:dyDescent="0.2">
      <c r="A1" t="s">
        <v>483</v>
      </c>
      <c r="C1" t="s">
        <v>197</v>
      </c>
      <c r="E1" t="s">
        <v>196</v>
      </c>
      <c r="G1" t="s">
        <v>197</v>
      </c>
      <c r="K1" t="s">
        <v>196</v>
      </c>
      <c r="O1" t="s">
        <v>197</v>
      </c>
    </row>
    <row r="2" spans="1:17" x14ac:dyDescent="0.2">
      <c r="D2" t="s">
        <v>46</v>
      </c>
      <c r="F2" t="s">
        <v>48</v>
      </c>
      <c r="H2" t="s">
        <v>46</v>
      </c>
      <c r="I2" t="s">
        <v>47</v>
      </c>
      <c r="J2" t="s">
        <v>48</v>
      </c>
      <c r="L2" t="s">
        <v>48</v>
      </c>
      <c r="M2" t="s">
        <v>486</v>
      </c>
      <c r="N2" t="s">
        <v>51</v>
      </c>
      <c r="P2" t="s">
        <v>486</v>
      </c>
      <c r="Q2" t="s">
        <v>52</v>
      </c>
    </row>
    <row r="3" spans="1:17" x14ac:dyDescent="0.2">
      <c r="D3">
        <v>100</v>
      </c>
      <c r="F3">
        <v>50</v>
      </c>
      <c r="H3">
        <v>100</v>
      </c>
      <c r="I3">
        <v>100</v>
      </c>
      <c r="J3">
        <v>50</v>
      </c>
      <c r="L3">
        <v>50</v>
      </c>
      <c r="M3">
        <v>5</v>
      </c>
      <c r="N3">
        <v>50</v>
      </c>
      <c r="P3">
        <v>5</v>
      </c>
      <c r="Q3">
        <v>50</v>
      </c>
    </row>
    <row r="4" spans="1:17" x14ac:dyDescent="0.2">
      <c r="D4">
        <v>0.1</v>
      </c>
      <c r="F4">
        <v>0.2</v>
      </c>
      <c r="H4">
        <v>0.1</v>
      </c>
      <c r="I4">
        <v>0.1</v>
      </c>
      <c r="J4">
        <v>0.2</v>
      </c>
      <c r="L4">
        <v>0.2</v>
      </c>
      <c r="M4">
        <v>1</v>
      </c>
      <c r="N4">
        <v>0.2</v>
      </c>
      <c r="P4">
        <v>1</v>
      </c>
      <c r="Q4">
        <v>0.2</v>
      </c>
    </row>
    <row r="5" spans="1:17" x14ac:dyDescent="0.2">
      <c r="A5">
        <v>598829620</v>
      </c>
      <c r="B5" s="8">
        <v>0.33800000000000002</v>
      </c>
      <c r="C5" s="8">
        <v>0.15</v>
      </c>
      <c r="D5" s="8">
        <v>15</v>
      </c>
      <c r="E5" s="8">
        <v>0.4</v>
      </c>
      <c r="F5" s="8">
        <v>20</v>
      </c>
      <c r="G5" s="8">
        <v>0.23333333333333334</v>
      </c>
      <c r="H5" s="8">
        <v>15</v>
      </c>
      <c r="I5" s="8">
        <v>15</v>
      </c>
      <c r="J5" s="8">
        <v>20</v>
      </c>
      <c r="K5" s="8">
        <v>0.44</v>
      </c>
      <c r="L5" s="8">
        <v>20</v>
      </c>
      <c r="M5" s="8">
        <v>3</v>
      </c>
      <c r="N5" s="8">
        <v>20</v>
      </c>
      <c r="O5" s="8">
        <v>0.46666666666666667</v>
      </c>
      <c r="P5" s="8">
        <v>3</v>
      </c>
      <c r="Q5" s="8">
        <v>20</v>
      </c>
    </row>
    <row r="6" spans="1:17" x14ac:dyDescent="0.2">
      <c r="A6">
        <v>684014860</v>
      </c>
      <c r="B6" s="8">
        <v>0.58560000000000012</v>
      </c>
      <c r="C6" s="8">
        <v>0.56000000000000005</v>
      </c>
      <c r="D6" s="8">
        <v>56</v>
      </c>
      <c r="E6" s="8">
        <v>0.56000000000000005</v>
      </c>
      <c r="F6" s="8">
        <v>28</v>
      </c>
      <c r="G6" s="8">
        <v>0.56000000000000005</v>
      </c>
      <c r="H6" s="8">
        <v>56</v>
      </c>
      <c r="I6" s="8">
        <v>56</v>
      </c>
      <c r="J6" s="8">
        <v>28</v>
      </c>
      <c r="K6" s="8">
        <v>0.6080000000000001</v>
      </c>
      <c r="L6" s="8">
        <v>28</v>
      </c>
      <c r="M6" s="8">
        <v>4</v>
      </c>
      <c r="N6" s="8">
        <v>28</v>
      </c>
      <c r="O6" s="8">
        <v>0.64000000000000012</v>
      </c>
      <c r="P6" s="8">
        <v>4</v>
      </c>
      <c r="Q6" s="8">
        <v>28</v>
      </c>
    </row>
    <row r="7" spans="1:17" x14ac:dyDescent="0.2">
      <c r="A7">
        <v>843228181</v>
      </c>
      <c r="B7" s="8">
        <v>0.54520000000000002</v>
      </c>
      <c r="C7" s="8">
        <v>0.6100000000000001</v>
      </c>
      <c r="D7" s="8">
        <v>61</v>
      </c>
      <c r="E7" s="8">
        <v>0.42000000000000004</v>
      </c>
      <c r="F7" s="8">
        <v>21</v>
      </c>
      <c r="G7" s="8">
        <v>0.54666666666666675</v>
      </c>
      <c r="H7" s="8">
        <v>61</v>
      </c>
      <c r="I7" s="8">
        <v>61</v>
      </c>
      <c r="J7" s="8">
        <v>21</v>
      </c>
      <c r="K7" s="8">
        <v>0.53599999999999992</v>
      </c>
      <c r="L7" s="8">
        <v>21</v>
      </c>
      <c r="M7" s="8">
        <v>5</v>
      </c>
      <c r="N7" s="8">
        <v>21</v>
      </c>
      <c r="O7" s="8">
        <v>0.61333333333333329</v>
      </c>
      <c r="P7" s="8">
        <v>5</v>
      </c>
      <c r="Q7" s="8">
        <v>21</v>
      </c>
    </row>
    <row r="8" spans="1:17" x14ac:dyDescent="0.2">
      <c r="A8">
        <v>820549378</v>
      </c>
      <c r="B8" s="8">
        <v>0.33760000000000001</v>
      </c>
      <c r="C8" s="8">
        <v>0.32</v>
      </c>
      <c r="D8" s="8">
        <v>32</v>
      </c>
      <c r="E8" s="8">
        <v>0.26</v>
      </c>
      <c r="F8" s="8">
        <v>13</v>
      </c>
      <c r="G8" s="8">
        <v>0.3</v>
      </c>
      <c r="H8" s="8">
        <v>32</v>
      </c>
      <c r="I8" s="8">
        <v>32</v>
      </c>
      <c r="J8" s="8">
        <v>13</v>
      </c>
      <c r="K8" s="8">
        <v>0.36799999999999999</v>
      </c>
      <c r="L8" s="8">
        <v>13</v>
      </c>
      <c r="M8" s="8">
        <v>4</v>
      </c>
      <c r="N8" s="8">
        <v>13</v>
      </c>
      <c r="O8" s="8">
        <v>0.44</v>
      </c>
      <c r="P8" s="8">
        <v>4</v>
      </c>
      <c r="Q8" s="8">
        <v>13</v>
      </c>
    </row>
    <row r="9" spans="1:17" x14ac:dyDescent="0.2">
      <c r="A9">
        <v>533572169</v>
      </c>
      <c r="B9" s="8">
        <v>0.12240000000000001</v>
      </c>
      <c r="C9" s="8">
        <v>0.3</v>
      </c>
      <c r="D9" s="8">
        <v>30</v>
      </c>
      <c r="E9" s="8">
        <v>0.04</v>
      </c>
      <c r="F9" s="8">
        <v>2</v>
      </c>
      <c r="G9" s="8">
        <v>0.21333333333333335</v>
      </c>
      <c r="H9" s="8">
        <v>30</v>
      </c>
      <c r="I9" s="8">
        <v>30</v>
      </c>
      <c r="J9" s="8">
        <v>2</v>
      </c>
      <c r="K9" s="8">
        <v>3.2000000000000001E-2</v>
      </c>
      <c r="L9" s="8">
        <v>2</v>
      </c>
      <c r="M9" s="8">
        <v>0</v>
      </c>
      <c r="N9" s="8">
        <v>2</v>
      </c>
      <c r="O9" s="8">
        <v>2.6666666666666668E-2</v>
      </c>
      <c r="P9" s="8">
        <v>0</v>
      </c>
      <c r="Q9" s="8">
        <v>2</v>
      </c>
    </row>
    <row r="10" spans="1:17" x14ac:dyDescent="0.2">
      <c r="A10">
        <v>975325712</v>
      </c>
      <c r="B10" s="8">
        <v>0.37759999999999999</v>
      </c>
      <c r="C10" s="8">
        <v>0.4</v>
      </c>
      <c r="D10" s="8">
        <v>40</v>
      </c>
      <c r="E10" s="8">
        <v>0.36</v>
      </c>
      <c r="F10" s="8">
        <v>18</v>
      </c>
      <c r="G10" s="8">
        <v>0.38666666666666666</v>
      </c>
      <c r="H10" s="8">
        <v>40</v>
      </c>
      <c r="I10" s="8">
        <v>40</v>
      </c>
      <c r="J10" s="8">
        <v>18</v>
      </c>
      <c r="K10" s="8">
        <v>0.36799999999999999</v>
      </c>
      <c r="L10" s="8">
        <v>18</v>
      </c>
      <c r="M10" s="8">
        <v>2</v>
      </c>
      <c r="N10" s="8">
        <v>18</v>
      </c>
      <c r="O10" s="8">
        <v>0.37333333333333329</v>
      </c>
      <c r="P10" s="8">
        <v>2</v>
      </c>
      <c r="Q10" s="8">
        <v>18</v>
      </c>
    </row>
    <row r="11" spans="1:17" x14ac:dyDescent="0.2">
      <c r="A11">
        <v>310082419</v>
      </c>
      <c r="B11" s="8">
        <v>0.20053333333333334</v>
      </c>
      <c r="C11" s="8">
        <v>0.04</v>
      </c>
      <c r="D11" s="8">
        <v>4</v>
      </c>
      <c r="E11" s="8">
        <v>0.22000000000000003</v>
      </c>
      <c r="F11" s="8">
        <v>11</v>
      </c>
      <c r="G11" s="8">
        <v>0.1</v>
      </c>
      <c r="H11" s="8">
        <v>4</v>
      </c>
      <c r="I11" s="8">
        <v>4</v>
      </c>
      <c r="J11" s="8">
        <v>11</v>
      </c>
      <c r="K11" s="8">
        <v>0.29600000000000004</v>
      </c>
      <c r="L11" s="8">
        <v>11</v>
      </c>
      <c r="M11" s="8">
        <v>3</v>
      </c>
      <c r="N11" s="8">
        <v>11</v>
      </c>
      <c r="O11" s="8">
        <v>0.34666666666666668</v>
      </c>
      <c r="P11" s="8">
        <v>3</v>
      </c>
      <c r="Q11" s="8">
        <v>11</v>
      </c>
    </row>
    <row r="12" spans="1:17" x14ac:dyDescent="0.2">
      <c r="A12">
        <v>242132470</v>
      </c>
      <c r="B12" s="8">
        <v>0.35026666666666673</v>
      </c>
      <c r="C12" s="8">
        <v>0.11000000000000001</v>
      </c>
      <c r="D12" s="8">
        <v>11</v>
      </c>
      <c r="E12" s="8">
        <v>0.56000000000000005</v>
      </c>
      <c r="F12" s="8">
        <v>28</v>
      </c>
      <c r="G12" s="8">
        <v>0.26</v>
      </c>
      <c r="H12" s="8">
        <v>11</v>
      </c>
      <c r="I12" s="8">
        <v>11</v>
      </c>
      <c r="J12" s="8">
        <v>28</v>
      </c>
      <c r="K12" s="8">
        <v>0.44800000000000006</v>
      </c>
      <c r="L12" s="8">
        <v>28</v>
      </c>
      <c r="M12" s="8">
        <v>0</v>
      </c>
      <c r="N12" s="8">
        <v>28</v>
      </c>
      <c r="O12" s="8">
        <v>0.37333333333333335</v>
      </c>
      <c r="P12" s="8">
        <v>0</v>
      </c>
      <c r="Q12" s="8">
        <v>28</v>
      </c>
    </row>
    <row r="13" spans="1:17" x14ac:dyDescent="0.2">
      <c r="A13">
        <v>208248363</v>
      </c>
      <c r="B13" s="8">
        <v>0.47933333333333344</v>
      </c>
      <c r="C13" s="8">
        <v>0.51</v>
      </c>
      <c r="D13" s="8">
        <v>51</v>
      </c>
      <c r="E13" s="8">
        <v>0.4</v>
      </c>
      <c r="F13" s="8">
        <v>20</v>
      </c>
      <c r="G13" s="8">
        <v>0.47333333333333338</v>
      </c>
      <c r="H13" s="8">
        <v>51</v>
      </c>
      <c r="I13" s="8">
        <v>51</v>
      </c>
      <c r="J13" s="8">
        <v>20</v>
      </c>
      <c r="K13" s="8">
        <v>0.48</v>
      </c>
      <c r="L13" s="8">
        <v>20</v>
      </c>
      <c r="M13" s="8">
        <v>4</v>
      </c>
      <c r="N13" s="8">
        <v>20</v>
      </c>
      <c r="O13" s="8">
        <v>0.53333333333333333</v>
      </c>
      <c r="P13" s="8">
        <v>4</v>
      </c>
      <c r="Q13" s="8">
        <v>20</v>
      </c>
    </row>
    <row r="14" spans="1:17" x14ac:dyDescent="0.2">
      <c r="A14">
        <v>277055951</v>
      </c>
      <c r="B14" s="8">
        <v>0.12933333333333333</v>
      </c>
      <c r="C14" s="8">
        <v>0.26</v>
      </c>
      <c r="D14" s="8">
        <v>26</v>
      </c>
      <c r="E14" s="8">
        <v>0</v>
      </c>
      <c r="F14" s="8">
        <v>0</v>
      </c>
      <c r="G14" s="8">
        <v>0.17333333333333334</v>
      </c>
      <c r="H14" s="8">
        <v>26</v>
      </c>
      <c r="I14" s="8">
        <v>26</v>
      </c>
      <c r="J14" s="8">
        <v>0</v>
      </c>
      <c r="K14" s="8">
        <v>0.08</v>
      </c>
      <c r="L14" s="8">
        <v>0</v>
      </c>
      <c r="M14" s="8">
        <v>2</v>
      </c>
      <c r="N14" s="8">
        <v>0</v>
      </c>
      <c r="O14" s="8">
        <v>0.13333333333333333</v>
      </c>
      <c r="P14" s="8">
        <v>2</v>
      </c>
      <c r="Q14" s="8">
        <v>0</v>
      </c>
    </row>
    <row r="15" spans="1:17" x14ac:dyDescent="0.2">
      <c r="A15">
        <v>902907559</v>
      </c>
      <c r="B15" s="8">
        <v>0.46053333333333335</v>
      </c>
      <c r="C15" s="8">
        <v>0.86</v>
      </c>
      <c r="D15" s="8">
        <v>86</v>
      </c>
      <c r="E15" s="8">
        <v>0.12000000000000002</v>
      </c>
      <c r="F15" s="8">
        <v>6</v>
      </c>
      <c r="G15" s="8">
        <v>0.61333333333333329</v>
      </c>
      <c r="H15" s="8">
        <v>86</v>
      </c>
      <c r="I15" s="8">
        <v>86</v>
      </c>
      <c r="J15" s="8">
        <v>6</v>
      </c>
      <c r="K15" s="8">
        <v>0.29600000000000004</v>
      </c>
      <c r="L15" s="8">
        <v>6</v>
      </c>
      <c r="M15" s="8">
        <v>5</v>
      </c>
      <c r="N15" s="8">
        <v>6</v>
      </c>
      <c r="O15" s="8">
        <v>0.41333333333333333</v>
      </c>
      <c r="P15" s="8">
        <v>5</v>
      </c>
      <c r="Q15" s="8">
        <v>6</v>
      </c>
    </row>
    <row r="16" spans="1:17" x14ac:dyDescent="0.2">
      <c r="A16">
        <v>528297980</v>
      </c>
      <c r="B16" s="8">
        <v>0.60453333333333337</v>
      </c>
      <c r="C16" s="8">
        <v>0.58000000000000007</v>
      </c>
      <c r="D16" s="8">
        <v>58</v>
      </c>
      <c r="E16" s="8">
        <v>0.62</v>
      </c>
      <c r="F16" s="8">
        <v>31</v>
      </c>
      <c r="G16" s="8">
        <v>0.59333333333333338</v>
      </c>
      <c r="H16" s="8">
        <v>58</v>
      </c>
      <c r="I16" s="8">
        <v>58</v>
      </c>
      <c r="J16" s="8">
        <v>31</v>
      </c>
      <c r="K16" s="8">
        <v>0.61599999999999999</v>
      </c>
      <c r="L16" s="8">
        <v>31</v>
      </c>
      <c r="M16" s="8">
        <v>3</v>
      </c>
      <c r="N16" s="8">
        <v>31</v>
      </c>
      <c r="O16" s="8">
        <v>0.61333333333333329</v>
      </c>
      <c r="P16" s="8">
        <v>3</v>
      </c>
      <c r="Q16" s="8">
        <v>31</v>
      </c>
    </row>
    <row r="17" spans="1:17" x14ac:dyDescent="0.2">
      <c r="A17">
        <v>444882790</v>
      </c>
      <c r="B17" s="8">
        <v>0.18040000000000003</v>
      </c>
      <c r="C17" s="8">
        <v>0.05</v>
      </c>
      <c r="D17" s="8">
        <v>5</v>
      </c>
      <c r="E17" s="8">
        <v>0.14000000000000001</v>
      </c>
      <c r="F17" s="8">
        <v>7</v>
      </c>
      <c r="G17" s="8">
        <v>8.0000000000000016E-2</v>
      </c>
      <c r="H17" s="8">
        <v>5</v>
      </c>
      <c r="I17" s="8">
        <v>5</v>
      </c>
      <c r="J17" s="8">
        <v>7</v>
      </c>
      <c r="K17" s="8">
        <v>0.27200000000000002</v>
      </c>
      <c r="L17" s="8">
        <v>7</v>
      </c>
      <c r="M17" s="8">
        <v>4</v>
      </c>
      <c r="N17" s="8">
        <v>7</v>
      </c>
      <c r="O17" s="8">
        <v>0.36000000000000004</v>
      </c>
      <c r="P17" s="8">
        <v>4</v>
      </c>
      <c r="Q17" s="8">
        <v>7</v>
      </c>
    </row>
    <row r="18" spans="1:17" x14ac:dyDescent="0.2">
      <c r="A18">
        <v>112085131</v>
      </c>
      <c r="B18" s="8">
        <v>0.14413333333333336</v>
      </c>
      <c r="C18" s="8">
        <v>0.13</v>
      </c>
      <c r="D18" s="8">
        <v>13</v>
      </c>
      <c r="E18" s="8">
        <v>0.18</v>
      </c>
      <c r="F18" s="8">
        <v>9</v>
      </c>
      <c r="G18" s="8">
        <v>0.14666666666666667</v>
      </c>
      <c r="H18" s="8">
        <v>13</v>
      </c>
      <c r="I18" s="8">
        <v>13</v>
      </c>
      <c r="J18" s="8">
        <v>9</v>
      </c>
      <c r="K18" s="8">
        <v>0.14400000000000002</v>
      </c>
      <c r="L18" s="8">
        <v>9</v>
      </c>
      <c r="M18" s="8">
        <v>0</v>
      </c>
      <c r="N18" s="8">
        <v>9</v>
      </c>
      <c r="O18" s="8">
        <v>0.12000000000000001</v>
      </c>
      <c r="P18" s="8">
        <v>0</v>
      </c>
      <c r="Q18" s="8">
        <v>9</v>
      </c>
    </row>
    <row r="19" spans="1:17" x14ac:dyDescent="0.2">
      <c r="A19">
        <v>588642518</v>
      </c>
      <c r="B19" s="8">
        <v>0.69413333333333349</v>
      </c>
      <c r="C19" s="8">
        <v>0.94000000000000006</v>
      </c>
      <c r="D19" s="8">
        <v>94</v>
      </c>
      <c r="E19" s="8">
        <v>0.68</v>
      </c>
      <c r="F19" s="8">
        <v>34</v>
      </c>
      <c r="G19" s="8">
        <v>0.85333333333333339</v>
      </c>
      <c r="H19" s="8">
        <v>94</v>
      </c>
      <c r="I19" s="8">
        <v>94</v>
      </c>
      <c r="J19" s="8">
        <v>34</v>
      </c>
      <c r="K19" s="8">
        <v>0.54400000000000004</v>
      </c>
      <c r="L19" s="8">
        <v>34</v>
      </c>
      <c r="M19" s="8">
        <v>0</v>
      </c>
      <c r="N19" s="8">
        <v>34</v>
      </c>
      <c r="O19" s="8">
        <v>0.45333333333333337</v>
      </c>
      <c r="P19" s="8">
        <v>0</v>
      </c>
      <c r="Q19" s="8">
        <v>34</v>
      </c>
    </row>
    <row r="20" spans="1:17" x14ac:dyDescent="0.2">
      <c r="A20">
        <v>414520736</v>
      </c>
      <c r="B20" s="8">
        <v>0.36973333333333336</v>
      </c>
      <c r="C20" s="8">
        <v>0.80999999999999994</v>
      </c>
      <c r="D20" s="8">
        <v>81</v>
      </c>
      <c r="E20" s="8">
        <v>0.14000000000000001</v>
      </c>
      <c r="F20" s="8">
        <v>7</v>
      </c>
      <c r="G20" s="8">
        <v>0.58666666666666656</v>
      </c>
      <c r="H20" s="8">
        <v>81</v>
      </c>
      <c r="I20" s="8">
        <v>81</v>
      </c>
      <c r="J20" s="8">
        <v>7</v>
      </c>
      <c r="K20" s="8">
        <v>0.15200000000000002</v>
      </c>
      <c r="L20" s="8">
        <v>7</v>
      </c>
      <c r="M20" s="8">
        <v>1</v>
      </c>
      <c r="N20" s="8">
        <v>7</v>
      </c>
      <c r="O20" s="8">
        <v>0.16000000000000003</v>
      </c>
      <c r="P20" s="8">
        <v>1</v>
      </c>
      <c r="Q20" s="8">
        <v>7</v>
      </c>
    </row>
    <row r="21" spans="1:17" x14ac:dyDescent="0.2">
      <c r="A21">
        <v>356558346</v>
      </c>
      <c r="B21" s="8">
        <v>0.22973333333333337</v>
      </c>
      <c r="C21" s="8">
        <v>0.43</v>
      </c>
      <c r="D21" s="8">
        <v>43</v>
      </c>
      <c r="E21" s="8">
        <v>0.04</v>
      </c>
      <c r="F21" s="8">
        <v>2</v>
      </c>
      <c r="G21" s="8">
        <v>0.3</v>
      </c>
      <c r="H21" s="8">
        <v>43</v>
      </c>
      <c r="I21" s="8">
        <v>43</v>
      </c>
      <c r="J21" s="8">
        <v>2</v>
      </c>
      <c r="K21" s="8">
        <v>0.152</v>
      </c>
      <c r="L21" s="8">
        <v>2</v>
      </c>
      <c r="M21" s="8">
        <v>3</v>
      </c>
      <c r="N21" s="8">
        <v>2</v>
      </c>
      <c r="O21" s="8">
        <v>0.22666666666666666</v>
      </c>
      <c r="P21" s="8">
        <v>3</v>
      </c>
      <c r="Q21" s="8">
        <v>2</v>
      </c>
    </row>
    <row r="22" spans="1:17" x14ac:dyDescent="0.2">
      <c r="A22">
        <v>970698993</v>
      </c>
      <c r="B22" s="8">
        <v>0.40413333333333334</v>
      </c>
      <c r="C22" s="8">
        <v>0.95</v>
      </c>
      <c r="D22" s="8">
        <v>95</v>
      </c>
      <c r="E22" s="8">
        <v>0.08</v>
      </c>
      <c r="F22" s="8">
        <v>4</v>
      </c>
      <c r="G22" s="8">
        <v>0.66</v>
      </c>
      <c r="H22" s="8">
        <v>95</v>
      </c>
      <c r="I22" s="8">
        <v>95</v>
      </c>
      <c r="J22" s="8">
        <v>4</v>
      </c>
      <c r="K22" s="8">
        <v>0.14399999999999999</v>
      </c>
      <c r="L22" s="8">
        <v>4</v>
      </c>
      <c r="M22" s="8">
        <v>2</v>
      </c>
      <c r="N22" s="8">
        <v>4</v>
      </c>
      <c r="O22" s="8">
        <v>0.18666666666666665</v>
      </c>
      <c r="P22" s="8">
        <v>2</v>
      </c>
      <c r="Q22" s="8">
        <v>4</v>
      </c>
    </row>
    <row r="23" spans="1:17" x14ac:dyDescent="0.2">
      <c r="A23">
        <v>633537205</v>
      </c>
      <c r="B23" s="8">
        <v>0.19733333333333333</v>
      </c>
      <c r="C23" s="8">
        <v>0.36</v>
      </c>
      <c r="D23" s="8">
        <v>36</v>
      </c>
      <c r="E23" s="8">
        <v>0.1</v>
      </c>
      <c r="F23" s="8">
        <v>5</v>
      </c>
      <c r="G23" s="8">
        <v>0.27333333333333332</v>
      </c>
      <c r="H23" s="8">
        <v>36</v>
      </c>
      <c r="I23" s="8">
        <v>36</v>
      </c>
      <c r="J23" s="8">
        <v>5</v>
      </c>
      <c r="K23" s="8">
        <v>0.12</v>
      </c>
      <c r="L23" s="8">
        <v>5</v>
      </c>
      <c r="M23" s="8">
        <v>1</v>
      </c>
      <c r="N23" s="8">
        <v>5</v>
      </c>
      <c r="O23" s="8">
        <v>0.13333333333333333</v>
      </c>
      <c r="P23" s="8">
        <v>1</v>
      </c>
      <c r="Q23" s="8">
        <v>5</v>
      </c>
    </row>
    <row r="24" spans="1:17" x14ac:dyDescent="0.2">
      <c r="A24">
        <v>534292868</v>
      </c>
      <c r="B24" s="8">
        <v>0.38746666666666668</v>
      </c>
      <c r="C24" s="8">
        <v>0.9</v>
      </c>
      <c r="D24" s="8">
        <v>90</v>
      </c>
      <c r="E24" s="8">
        <v>0.08</v>
      </c>
      <c r="F24" s="8">
        <v>4</v>
      </c>
      <c r="G24" s="8">
        <v>0.62666666666666671</v>
      </c>
      <c r="H24" s="8">
        <v>90</v>
      </c>
      <c r="I24" s="8">
        <v>90</v>
      </c>
      <c r="J24" s="8">
        <v>4</v>
      </c>
      <c r="K24" s="8">
        <v>0.14399999999999999</v>
      </c>
      <c r="L24" s="8">
        <v>4</v>
      </c>
      <c r="M24" s="8">
        <v>2</v>
      </c>
      <c r="N24" s="8">
        <v>4</v>
      </c>
      <c r="O24" s="8">
        <v>0.18666666666666665</v>
      </c>
      <c r="P24" s="8">
        <v>2</v>
      </c>
      <c r="Q24" s="8">
        <v>4</v>
      </c>
    </row>
    <row r="25" spans="1:17" x14ac:dyDescent="0.2">
      <c r="A25">
        <v>816787809</v>
      </c>
      <c r="B25" s="8">
        <v>0.62173333333333336</v>
      </c>
      <c r="C25" s="8">
        <v>0.47000000000000003</v>
      </c>
      <c r="D25" s="8">
        <v>47</v>
      </c>
      <c r="E25" s="8">
        <v>0.64</v>
      </c>
      <c r="F25" s="8">
        <v>32</v>
      </c>
      <c r="G25" s="8">
        <v>0.52666666666666673</v>
      </c>
      <c r="H25" s="8">
        <v>47</v>
      </c>
      <c r="I25" s="8">
        <v>47</v>
      </c>
      <c r="J25" s="8">
        <v>32</v>
      </c>
      <c r="K25" s="8">
        <v>0.71200000000000008</v>
      </c>
      <c r="L25" s="8">
        <v>32</v>
      </c>
      <c r="M25" s="8">
        <v>5</v>
      </c>
      <c r="N25" s="8">
        <v>32</v>
      </c>
      <c r="O25" s="8">
        <v>0.76</v>
      </c>
      <c r="P25" s="8">
        <v>5</v>
      </c>
      <c r="Q25" s="8">
        <v>32</v>
      </c>
    </row>
    <row r="26" spans="1:17" x14ac:dyDescent="0.2">
      <c r="A26">
        <v>220052551</v>
      </c>
      <c r="B26" s="8">
        <v>0.38906666666666673</v>
      </c>
      <c r="C26" s="8">
        <v>0.74</v>
      </c>
      <c r="D26" s="8">
        <v>74</v>
      </c>
      <c r="E26" s="8">
        <v>0.14000000000000001</v>
      </c>
      <c r="F26" s="8">
        <v>7</v>
      </c>
      <c r="G26" s="8">
        <v>0.53999999999999992</v>
      </c>
      <c r="H26" s="8">
        <v>74</v>
      </c>
      <c r="I26" s="8">
        <v>74</v>
      </c>
      <c r="J26" s="8">
        <v>7</v>
      </c>
      <c r="K26" s="8">
        <v>0.23200000000000004</v>
      </c>
      <c r="L26" s="8">
        <v>7</v>
      </c>
      <c r="M26" s="8">
        <v>3</v>
      </c>
      <c r="N26" s="8">
        <v>7</v>
      </c>
      <c r="O26" s="8">
        <v>0.29333333333333333</v>
      </c>
      <c r="P26" s="8">
        <v>3</v>
      </c>
      <c r="Q26" s="8">
        <v>7</v>
      </c>
    </row>
    <row r="27" spans="1:17" x14ac:dyDescent="0.2">
      <c r="A27">
        <v>858571733</v>
      </c>
      <c r="B27" s="8">
        <v>0.17426666666666668</v>
      </c>
      <c r="C27" s="8">
        <v>0.19</v>
      </c>
      <c r="D27" s="8">
        <v>19</v>
      </c>
      <c r="E27" s="8">
        <v>0.16</v>
      </c>
      <c r="F27" s="8">
        <v>8</v>
      </c>
      <c r="G27" s="8">
        <v>0.18000000000000002</v>
      </c>
      <c r="H27" s="8">
        <v>19</v>
      </c>
      <c r="I27" s="8">
        <v>19</v>
      </c>
      <c r="J27" s="8">
        <v>8</v>
      </c>
      <c r="K27" s="8">
        <v>0.16800000000000001</v>
      </c>
      <c r="L27" s="8">
        <v>8</v>
      </c>
      <c r="M27" s="8">
        <v>1</v>
      </c>
      <c r="N27" s="8">
        <v>8</v>
      </c>
      <c r="O27" s="8">
        <v>0.17333333333333334</v>
      </c>
      <c r="P27" s="8">
        <v>1</v>
      </c>
      <c r="Q27" s="8">
        <v>8</v>
      </c>
    </row>
    <row r="28" spans="1:17" x14ac:dyDescent="0.2">
      <c r="A28">
        <v>363436152</v>
      </c>
      <c r="B28" s="8">
        <v>0.37026666666666674</v>
      </c>
      <c r="C28" s="8">
        <v>0.21000000000000002</v>
      </c>
      <c r="D28" s="8">
        <v>21</v>
      </c>
      <c r="E28" s="8">
        <v>0.46000000000000008</v>
      </c>
      <c r="F28" s="8">
        <v>23</v>
      </c>
      <c r="G28" s="8">
        <v>0.29333333333333333</v>
      </c>
      <c r="H28" s="8">
        <v>21</v>
      </c>
      <c r="I28" s="8">
        <v>21</v>
      </c>
      <c r="J28" s="8">
        <v>23</v>
      </c>
      <c r="K28" s="8">
        <v>0.44800000000000006</v>
      </c>
      <c r="L28" s="8">
        <v>23</v>
      </c>
      <c r="M28" s="8">
        <v>2</v>
      </c>
      <c r="N28" s="8">
        <v>23</v>
      </c>
      <c r="O28" s="8">
        <v>0.44000000000000006</v>
      </c>
      <c r="P28" s="8">
        <v>2</v>
      </c>
      <c r="Q28" s="8">
        <v>23</v>
      </c>
    </row>
    <row r="29" spans="1:17" x14ac:dyDescent="0.2">
      <c r="A29">
        <v>393495083</v>
      </c>
      <c r="B29" s="8">
        <v>0.42546666666666666</v>
      </c>
      <c r="C29" s="8">
        <v>0.90999999999999992</v>
      </c>
      <c r="D29" s="8">
        <v>91</v>
      </c>
      <c r="E29" s="8">
        <v>0.18</v>
      </c>
      <c r="F29" s="8">
        <v>9</v>
      </c>
      <c r="G29" s="8">
        <v>0.66666666666666663</v>
      </c>
      <c r="H29" s="8">
        <v>91</v>
      </c>
      <c r="I29" s="8">
        <v>91</v>
      </c>
      <c r="J29" s="8">
        <v>9</v>
      </c>
      <c r="K29" s="8">
        <v>0.184</v>
      </c>
      <c r="L29" s="8">
        <v>9</v>
      </c>
      <c r="M29" s="8">
        <v>1</v>
      </c>
      <c r="N29" s="8">
        <v>9</v>
      </c>
      <c r="O29" s="8">
        <v>0.18666666666666665</v>
      </c>
      <c r="P29" s="8">
        <v>1</v>
      </c>
      <c r="Q29" s="8">
        <v>9</v>
      </c>
    </row>
    <row r="30" spans="1:17" x14ac:dyDescent="0.2">
      <c r="A30">
        <v>769635714</v>
      </c>
      <c r="B30" s="8">
        <v>0.69440000000000013</v>
      </c>
      <c r="C30" s="8">
        <v>0.88000000000000012</v>
      </c>
      <c r="D30" s="8">
        <v>88</v>
      </c>
      <c r="E30" s="8">
        <v>0.64</v>
      </c>
      <c r="F30" s="8">
        <v>32</v>
      </c>
      <c r="G30" s="8">
        <v>0.8</v>
      </c>
      <c r="H30" s="8">
        <v>88</v>
      </c>
      <c r="I30" s="8">
        <v>88</v>
      </c>
      <c r="J30" s="8">
        <v>32</v>
      </c>
      <c r="K30" s="8">
        <v>0.59200000000000008</v>
      </c>
      <c r="L30" s="8">
        <v>32</v>
      </c>
      <c r="M30" s="8">
        <v>2</v>
      </c>
      <c r="N30" s="8">
        <v>32</v>
      </c>
      <c r="O30" s="8">
        <v>0.56000000000000005</v>
      </c>
      <c r="P30" s="8">
        <v>2</v>
      </c>
      <c r="Q30" s="8">
        <v>32</v>
      </c>
    </row>
    <row r="31" spans="1:17" x14ac:dyDescent="0.2">
      <c r="A31">
        <v>373048949</v>
      </c>
      <c r="B31" s="8">
        <v>0.47733333333333333</v>
      </c>
      <c r="C31" s="8">
        <v>0.8</v>
      </c>
      <c r="D31" s="8">
        <v>80</v>
      </c>
      <c r="E31" s="8">
        <v>0.3</v>
      </c>
      <c r="F31" s="8">
        <v>15</v>
      </c>
      <c r="G31" s="8">
        <v>0.6333333333333333</v>
      </c>
      <c r="H31" s="8">
        <v>80</v>
      </c>
      <c r="I31" s="8">
        <v>80</v>
      </c>
      <c r="J31" s="8">
        <v>15</v>
      </c>
      <c r="K31" s="8">
        <v>0.32</v>
      </c>
      <c r="L31" s="8">
        <v>15</v>
      </c>
      <c r="M31" s="8">
        <v>2</v>
      </c>
      <c r="N31" s="8">
        <v>15</v>
      </c>
      <c r="O31" s="8">
        <v>0.33333333333333331</v>
      </c>
      <c r="P31" s="8">
        <v>2</v>
      </c>
      <c r="Q31" s="8">
        <v>15</v>
      </c>
    </row>
    <row r="32" spans="1:17" x14ac:dyDescent="0.2">
      <c r="A32">
        <v>357061292</v>
      </c>
      <c r="B32" s="8">
        <v>0.42000000000000004</v>
      </c>
      <c r="C32" s="8">
        <v>0.1</v>
      </c>
      <c r="D32" s="8">
        <v>10</v>
      </c>
      <c r="E32" s="8">
        <v>0.5</v>
      </c>
      <c r="F32" s="8">
        <v>25</v>
      </c>
      <c r="G32" s="8">
        <v>0.23333333333333334</v>
      </c>
      <c r="H32" s="8">
        <v>10</v>
      </c>
      <c r="I32" s="8">
        <v>10</v>
      </c>
      <c r="J32" s="8">
        <v>25</v>
      </c>
      <c r="K32" s="8">
        <v>0.6</v>
      </c>
      <c r="L32" s="8">
        <v>25</v>
      </c>
      <c r="M32" s="8">
        <v>5</v>
      </c>
      <c r="N32" s="8">
        <v>25</v>
      </c>
      <c r="O32" s="8">
        <v>0.66666666666666663</v>
      </c>
      <c r="P32" s="8">
        <v>5</v>
      </c>
      <c r="Q32" s="8">
        <v>25</v>
      </c>
    </row>
    <row r="33" spans="1:17" x14ac:dyDescent="0.2">
      <c r="A33">
        <v>837310284</v>
      </c>
      <c r="B33" s="8">
        <v>0.35159999999999997</v>
      </c>
      <c r="C33" s="8">
        <v>0.45</v>
      </c>
      <c r="D33" s="8">
        <v>45</v>
      </c>
      <c r="E33" s="8">
        <v>0.36</v>
      </c>
      <c r="F33" s="8">
        <v>18</v>
      </c>
      <c r="G33" s="8">
        <v>0.42</v>
      </c>
      <c r="H33" s="8">
        <v>45</v>
      </c>
      <c r="I33" s="8">
        <v>45</v>
      </c>
      <c r="J33" s="8">
        <v>18</v>
      </c>
      <c r="K33" s="8">
        <v>0.28800000000000003</v>
      </c>
      <c r="L33" s="8">
        <v>18</v>
      </c>
      <c r="M33" s="8">
        <v>0</v>
      </c>
      <c r="N33" s="8">
        <v>18</v>
      </c>
      <c r="O33" s="8">
        <v>0.24000000000000002</v>
      </c>
      <c r="P33" s="8">
        <v>0</v>
      </c>
      <c r="Q33" s="8">
        <v>18</v>
      </c>
    </row>
    <row r="34" spans="1:17" x14ac:dyDescent="0.2">
      <c r="A34">
        <v>815854164</v>
      </c>
      <c r="B34" s="8">
        <v>0.6438666666666667</v>
      </c>
      <c r="C34" s="8">
        <v>0.89</v>
      </c>
      <c r="D34" s="8">
        <v>89</v>
      </c>
      <c r="E34" s="8">
        <v>0.62</v>
      </c>
      <c r="F34" s="8">
        <v>31</v>
      </c>
      <c r="G34" s="8">
        <v>0.8</v>
      </c>
      <c r="H34" s="8">
        <v>89</v>
      </c>
      <c r="I34" s="8">
        <v>89</v>
      </c>
      <c r="J34" s="8">
        <v>31</v>
      </c>
      <c r="K34" s="8">
        <v>0.496</v>
      </c>
      <c r="L34" s="8">
        <v>31</v>
      </c>
      <c r="M34" s="8">
        <v>0</v>
      </c>
      <c r="N34" s="8">
        <v>31</v>
      </c>
      <c r="O34" s="8">
        <v>0.41333333333333333</v>
      </c>
      <c r="P34" s="8">
        <v>0</v>
      </c>
      <c r="Q34" s="8">
        <v>31</v>
      </c>
    </row>
    <row r="35" spans="1:17" x14ac:dyDescent="0.2">
      <c r="A35">
        <v>315378369</v>
      </c>
      <c r="B35" s="8">
        <v>0.28426666666666667</v>
      </c>
      <c r="C35" s="8">
        <v>0.12000000000000002</v>
      </c>
      <c r="D35" s="8">
        <v>12</v>
      </c>
      <c r="E35" s="8">
        <v>0.36</v>
      </c>
      <c r="F35" s="8">
        <v>18</v>
      </c>
      <c r="G35" s="8">
        <v>0.2</v>
      </c>
      <c r="H35" s="8">
        <v>12</v>
      </c>
      <c r="I35" s="8">
        <v>12</v>
      </c>
      <c r="J35" s="8">
        <v>18</v>
      </c>
      <c r="K35" s="8">
        <v>0.36799999999999999</v>
      </c>
      <c r="L35" s="8">
        <v>18</v>
      </c>
      <c r="M35" s="8">
        <v>2</v>
      </c>
      <c r="N35" s="8">
        <v>18</v>
      </c>
      <c r="O35" s="8">
        <v>0.37333333333333329</v>
      </c>
      <c r="P35" s="8">
        <v>2</v>
      </c>
      <c r="Q35" s="8">
        <v>18</v>
      </c>
    </row>
    <row r="36" spans="1:17" x14ac:dyDescent="0.2">
      <c r="A36">
        <v>564410540</v>
      </c>
      <c r="B36" s="8">
        <v>0.5158666666666667</v>
      </c>
      <c r="C36" s="8">
        <v>0.21000000000000002</v>
      </c>
      <c r="D36" s="8">
        <v>21</v>
      </c>
      <c r="E36" s="8">
        <v>0.72</v>
      </c>
      <c r="F36" s="8">
        <v>36</v>
      </c>
      <c r="G36" s="8">
        <v>0.38</v>
      </c>
      <c r="H36" s="8">
        <v>21</v>
      </c>
      <c r="I36" s="8">
        <v>21</v>
      </c>
      <c r="J36" s="8">
        <v>36</v>
      </c>
      <c r="K36" s="8">
        <v>0.65599999999999992</v>
      </c>
      <c r="L36" s="8">
        <v>36</v>
      </c>
      <c r="M36" s="8">
        <v>2</v>
      </c>
      <c r="N36" s="8">
        <v>36</v>
      </c>
      <c r="O36" s="8">
        <v>0.61333333333333329</v>
      </c>
      <c r="P36" s="8">
        <v>2</v>
      </c>
      <c r="Q36" s="8">
        <v>36</v>
      </c>
    </row>
    <row r="37" spans="1:17" x14ac:dyDescent="0.2">
      <c r="A37">
        <v>126539887</v>
      </c>
      <c r="B37" s="8">
        <v>0.43453333333333333</v>
      </c>
      <c r="C37" s="8">
        <v>7.0000000000000007E-2</v>
      </c>
      <c r="D37" s="8">
        <v>7</v>
      </c>
      <c r="E37" s="8">
        <v>0.62</v>
      </c>
      <c r="F37" s="8">
        <v>31</v>
      </c>
      <c r="G37" s="8">
        <v>0.25333333333333335</v>
      </c>
      <c r="H37" s="8">
        <v>7</v>
      </c>
      <c r="I37" s="8">
        <v>7</v>
      </c>
      <c r="J37" s="8">
        <v>31</v>
      </c>
      <c r="K37" s="8">
        <v>0.61599999999999999</v>
      </c>
      <c r="L37" s="8">
        <v>31</v>
      </c>
      <c r="M37" s="8">
        <v>3</v>
      </c>
      <c r="N37" s="8">
        <v>31</v>
      </c>
      <c r="O37" s="8">
        <v>0.61333333333333329</v>
      </c>
      <c r="P37" s="8">
        <v>3</v>
      </c>
      <c r="Q37" s="8">
        <v>31</v>
      </c>
    </row>
    <row r="38" spans="1:17" x14ac:dyDescent="0.2">
      <c r="A38">
        <v>563937624</v>
      </c>
      <c r="B38" s="8">
        <v>0.21400000000000002</v>
      </c>
      <c r="C38" s="8">
        <v>0.05</v>
      </c>
      <c r="D38" s="8">
        <v>5</v>
      </c>
      <c r="E38" s="8">
        <v>0.2</v>
      </c>
      <c r="F38" s="8">
        <v>10</v>
      </c>
      <c r="G38" s="8">
        <v>0.1</v>
      </c>
      <c r="H38" s="8">
        <v>5</v>
      </c>
      <c r="I38" s="8">
        <v>5</v>
      </c>
      <c r="J38" s="8">
        <v>10</v>
      </c>
      <c r="K38" s="8">
        <v>0.32</v>
      </c>
      <c r="L38" s="8">
        <v>10</v>
      </c>
      <c r="M38" s="8">
        <v>4</v>
      </c>
      <c r="N38" s="8">
        <v>10</v>
      </c>
      <c r="O38" s="8">
        <v>0.4</v>
      </c>
      <c r="P38" s="8">
        <v>4</v>
      </c>
      <c r="Q38" s="8">
        <v>10</v>
      </c>
    </row>
    <row r="39" spans="1:17" x14ac:dyDescent="0.2">
      <c r="A39">
        <v>684291511</v>
      </c>
      <c r="B39" s="8">
        <v>0.45720000000000005</v>
      </c>
      <c r="C39" s="8">
        <v>0.37</v>
      </c>
      <c r="D39" s="8">
        <v>37</v>
      </c>
      <c r="E39" s="8">
        <v>0.52</v>
      </c>
      <c r="F39" s="8">
        <v>26</v>
      </c>
      <c r="G39" s="8">
        <v>0.42000000000000004</v>
      </c>
      <c r="H39" s="8">
        <v>37</v>
      </c>
      <c r="I39" s="8">
        <v>37</v>
      </c>
      <c r="J39" s="8">
        <v>26</v>
      </c>
      <c r="K39" s="8">
        <v>0.496</v>
      </c>
      <c r="L39" s="8">
        <v>26</v>
      </c>
      <c r="M39" s="8">
        <v>2</v>
      </c>
      <c r="N39" s="8">
        <v>26</v>
      </c>
      <c r="O39" s="8">
        <v>0.48000000000000004</v>
      </c>
      <c r="P39" s="8">
        <v>2</v>
      </c>
      <c r="Q39" s="8">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P39"/>
  <sheetViews>
    <sheetView workbookViewId="0">
      <selection sqref="A1:XFD1048576"/>
    </sheetView>
  </sheetViews>
  <sheetFormatPr baseColWidth="10" defaultColWidth="8.83203125" defaultRowHeight="15" x14ac:dyDescent="0.2"/>
  <sheetData>
    <row r="1" spans="1:16" x14ac:dyDescent="0.2">
      <c r="A1" t="s">
        <v>484</v>
      </c>
      <c r="C1" t="s">
        <v>497</v>
      </c>
      <c r="G1" t="s">
        <v>500</v>
      </c>
      <c r="K1" t="s">
        <v>501</v>
      </c>
    </row>
    <row r="2" spans="1:16" x14ac:dyDescent="0.2">
      <c r="D2" t="s">
        <v>46</v>
      </c>
      <c r="E2" t="s">
        <v>47</v>
      </c>
      <c r="F2" t="s">
        <v>48</v>
      </c>
      <c r="H2" t="s">
        <v>14</v>
      </c>
      <c r="I2" t="s">
        <v>16</v>
      </c>
      <c r="J2" t="s">
        <v>46</v>
      </c>
      <c r="L2" t="s">
        <v>15</v>
      </c>
      <c r="M2" t="s">
        <v>46</v>
      </c>
      <c r="N2" t="s">
        <v>47</v>
      </c>
      <c r="O2" t="s">
        <v>486</v>
      </c>
      <c r="P2" t="s">
        <v>51</v>
      </c>
    </row>
    <row r="3" spans="1:16" x14ac:dyDescent="0.2">
      <c r="D3">
        <v>100</v>
      </c>
      <c r="E3">
        <v>100</v>
      </c>
      <c r="F3">
        <v>50</v>
      </c>
      <c r="H3">
        <v>100</v>
      </c>
      <c r="I3">
        <v>100</v>
      </c>
      <c r="J3">
        <v>100</v>
      </c>
      <c r="L3">
        <v>100</v>
      </c>
      <c r="M3">
        <v>100</v>
      </c>
      <c r="N3">
        <v>100</v>
      </c>
      <c r="O3">
        <v>5</v>
      </c>
      <c r="P3">
        <v>50</v>
      </c>
    </row>
    <row r="4" spans="1:16" x14ac:dyDescent="0.2">
      <c r="D4">
        <v>0.1</v>
      </c>
      <c r="E4">
        <v>0.1</v>
      </c>
      <c r="F4">
        <v>0.2</v>
      </c>
      <c r="H4">
        <v>0.05</v>
      </c>
      <c r="I4">
        <v>0.05</v>
      </c>
      <c r="J4">
        <v>0.1</v>
      </c>
      <c r="L4">
        <v>0.05</v>
      </c>
      <c r="M4">
        <v>0.1</v>
      </c>
      <c r="N4">
        <v>0.1</v>
      </c>
      <c r="O4">
        <v>1</v>
      </c>
      <c r="P4">
        <v>0.2</v>
      </c>
    </row>
    <row r="5" spans="1:16" x14ac:dyDescent="0.2">
      <c r="A5">
        <v>598829620</v>
      </c>
      <c r="B5" s="8">
        <v>0.279775</v>
      </c>
      <c r="C5" s="8">
        <v>0.23333333333333334</v>
      </c>
      <c r="D5" s="8">
        <v>15</v>
      </c>
      <c r="E5" s="8">
        <v>15</v>
      </c>
      <c r="F5" s="8">
        <v>20</v>
      </c>
      <c r="G5" s="8">
        <v>0.25</v>
      </c>
      <c r="H5" s="8">
        <v>15</v>
      </c>
      <c r="I5" s="8">
        <v>55</v>
      </c>
      <c r="J5" s="8">
        <v>15</v>
      </c>
      <c r="K5" s="8">
        <v>0.35375000000000001</v>
      </c>
      <c r="L5" s="8">
        <v>83</v>
      </c>
      <c r="M5" s="8">
        <v>15</v>
      </c>
      <c r="N5" s="8">
        <v>15</v>
      </c>
      <c r="O5" s="8">
        <v>3</v>
      </c>
      <c r="P5" s="8">
        <v>20</v>
      </c>
    </row>
    <row r="6" spans="1:16" x14ac:dyDescent="0.2">
      <c r="A6">
        <v>684014860</v>
      </c>
      <c r="B6" s="8">
        <v>0.54715000000000003</v>
      </c>
      <c r="C6" s="8">
        <v>0.56000000000000005</v>
      </c>
      <c r="D6" s="8">
        <v>56</v>
      </c>
      <c r="E6" s="8">
        <v>56</v>
      </c>
      <c r="F6" s="8">
        <v>28</v>
      </c>
      <c r="G6" s="8">
        <v>0.44250000000000006</v>
      </c>
      <c r="H6" s="8">
        <v>56</v>
      </c>
      <c r="I6" s="8">
        <v>9</v>
      </c>
      <c r="J6" s="8">
        <v>56</v>
      </c>
      <c r="K6" s="8">
        <v>0.63625000000000009</v>
      </c>
      <c r="L6" s="8">
        <v>93</v>
      </c>
      <c r="M6" s="8">
        <v>56</v>
      </c>
      <c r="N6" s="8">
        <v>56</v>
      </c>
      <c r="O6" s="8">
        <v>4</v>
      </c>
      <c r="P6" s="8">
        <v>28</v>
      </c>
    </row>
    <row r="7" spans="1:16" x14ac:dyDescent="0.2">
      <c r="A7">
        <v>843228181</v>
      </c>
      <c r="B7" s="8">
        <v>0.54</v>
      </c>
      <c r="C7" s="8">
        <v>0.54666666666666675</v>
      </c>
      <c r="D7" s="8">
        <v>61</v>
      </c>
      <c r="E7" s="8">
        <v>61</v>
      </c>
      <c r="F7" s="8">
        <v>21</v>
      </c>
      <c r="G7" s="8">
        <v>0.50500000000000012</v>
      </c>
      <c r="H7" s="8">
        <v>61</v>
      </c>
      <c r="I7" s="8">
        <v>19</v>
      </c>
      <c r="J7" s="8">
        <v>61</v>
      </c>
      <c r="K7" s="8">
        <v>0.5675</v>
      </c>
      <c r="L7" s="8">
        <v>26</v>
      </c>
      <c r="M7" s="8">
        <v>61</v>
      </c>
      <c r="N7" s="8">
        <v>61</v>
      </c>
      <c r="O7" s="8">
        <v>5</v>
      </c>
      <c r="P7" s="8">
        <v>21</v>
      </c>
    </row>
    <row r="8" spans="1:16" x14ac:dyDescent="0.2">
      <c r="A8">
        <v>820549378</v>
      </c>
      <c r="B8" s="8">
        <v>0.38107500000000005</v>
      </c>
      <c r="C8" s="8">
        <v>0.3</v>
      </c>
      <c r="D8" s="8">
        <v>32</v>
      </c>
      <c r="E8" s="8">
        <v>32</v>
      </c>
      <c r="F8" s="8">
        <v>13</v>
      </c>
      <c r="G8" s="8">
        <v>0.4375</v>
      </c>
      <c r="H8" s="8">
        <v>32</v>
      </c>
      <c r="I8" s="8">
        <v>79</v>
      </c>
      <c r="J8" s="8">
        <v>32</v>
      </c>
      <c r="K8" s="8">
        <v>0.40500000000000008</v>
      </c>
      <c r="L8" s="8">
        <v>64</v>
      </c>
      <c r="M8" s="8">
        <v>32</v>
      </c>
      <c r="N8" s="8">
        <v>32</v>
      </c>
      <c r="O8" s="8">
        <v>4</v>
      </c>
      <c r="P8" s="8">
        <v>13</v>
      </c>
    </row>
    <row r="9" spans="1:16" x14ac:dyDescent="0.2">
      <c r="A9">
        <v>533572169</v>
      </c>
      <c r="B9" s="8">
        <v>0.28865000000000002</v>
      </c>
      <c r="C9" s="8">
        <v>0.21333333333333335</v>
      </c>
      <c r="D9" s="8">
        <v>30</v>
      </c>
      <c r="E9" s="8">
        <v>30</v>
      </c>
      <c r="F9" s="8">
        <v>2</v>
      </c>
      <c r="G9" s="8">
        <v>0.44500000000000001</v>
      </c>
      <c r="H9" s="8">
        <v>30</v>
      </c>
      <c r="I9" s="8">
        <v>88</v>
      </c>
      <c r="J9" s="8">
        <v>30</v>
      </c>
      <c r="K9" s="8">
        <v>0.21000000000000002</v>
      </c>
      <c r="L9" s="8">
        <v>40</v>
      </c>
      <c r="M9" s="8">
        <v>30</v>
      </c>
      <c r="N9" s="8">
        <v>30</v>
      </c>
      <c r="O9" s="8">
        <v>0</v>
      </c>
      <c r="P9" s="8">
        <v>2</v>
      </c>
    </row>
    <row r="10" spans="1:16" x14ac:dyDescent="0.2">
      <c r="A10">
        <v>975325712</v>
      </c>
      <c r="B10" s="8">
        <v>0.41202500000000003</v>
      </c>
      <c r="C10" s="8">
        <v>0.38666666666666666</v>
      </c>
      <c r="D10" s="8">
        <v>40</v>
      </c>
      <c r="E10" s="8">
        <v>40</v>
      </c>
      <c r="F10" s="8">
        <v>18</v>
      </c>
      <c r="G10" s="8">
        <v>0.45750000000000002</v>
      </c>
      <c r="H10" s="8">
        <v>40</v>
      </c>
      <c r="I10" s="8">
        <v>63</v>
      </c>
      <c r="J10" s="8">
        <v>40</v>
      </c>
      <c r="K10" s="8">
        <v>0.39249999999999996</v>
      </c>
      <c r="L10" s="8">
        <v>42</v>
      </c>
      <c r="M10" s="8">
        <v>40</v>
      </c>
      <c r="N10" s="8">
        <v>40</v>
      </c>
      <c r="O10" s="8">
        <v>2</v>
      </c>
      <c r="P10" s="8">
        <v>18</v>
      </c>
    </row>
    <row r="11" spans="1:16" x14ac:dyDescent="0.2">
      <c r="A11">
        <v>310082419</v>
      </c>
      <c r="B11" s="8">
        <v>0.18022500000000002</v>
      </c>
      <c r="C11" s="8">
        <v>0.1</v>
      </c>
      <c r="D11" s="8">
        <v>4</v>
      </c>
      <c r="E11" s="8">
        <v>4</v>
      </c>
      <c r="F11" s="8">
        <v>11</v>
      </c>
      <c r="G11" s="8">
        <v>0.23750000000000004</v>
      </c>
      <c r="H11" s="8">
        <v>4</v>
      </c>
      <c r="I11" s="8">
        <v>83</v>
      </c>
      <c r="J11" s="8">
        <v>4</v>
      </c>
      <c r="K11" s="8">
        <v>0.20250000000000004</v>
      </c>
      <c r="L11" s="8">
        <v>42</v>
      </c>
      <c r="M11" s="8">
        <v>4</v>
      </c>
      <c r="N11" s="8">
        <v>4</v>
      </c>
      <c r="O11" s="8">
        <v>3</v>
      </c>
      <c r="P11" s="8">
        <v>11</v>
      </c>
    </row>
    <row r="12" spans="1:16" x14ac:dyDescent="0.2">
      <c r="A12">
        <v>242132470</v>
      </c>
      <c r="B12" s="8">
        <v>0.25020000000000003</v>
      </c>
      <c r="C12" s="8">
        <v>0.26</v>
      </c>
      <c r="D12" s="8">
        <v>11</v>
      </c>
      <c r="E12" s="8">
        <v>11</v>
      </c>
      <c r="F12" s="8">
        <v>28</v>
      </c>
      <c r="G12" s="8">
        <v>0.22000000000000003</v>
      </c>
      <c r="H12" s="8">
        <v>11</v>
      </c>
      <c r="I12" s="8">
        <v>55</v>
      </c>
      <c r="J12" s="8">
        <v>11</v>
      </c>
      <c r="K12" s="8">
        <v>0.27</v>
      </c>
      <c r="L12" s="8">
        <v>60</v>
      </c>
      <c r="M12" s="8">
        <v>11</v>
      </c>
      <c r="N12" s="8">
        <v>11</v>
      </c>
      <c r="O12" s="8">
        <v>0</v>
      </c>
      <c r="P12" s="8">
        <v>28</v>
      </c>
    </row>
    <row r="13" spans="1:16" x14ac:dyDescent="0.2">
      <c r="A13">
        <v>208248363</v>
      </c>
      <c r="B13" s="8">
        <v>0.4956000000000001</v>
      </c>
      <c r="C13" s="8">
        <v>0.47333333333333338</v>
      </c>
      <c r="D13" s="8">
        <v>51</v>
      </c>
      <c r="E13" s="8">
        <v>51</v>
      </c>
      <c r="F13" s="8">
        <v>20</v>
      </c>
      <c r="G13" s="8">
        <v>0.52750000000000008</v>
      </c>
      <c r="H13" s="8">
        <v>51</v>
      </c>
      <c r="I13" s="8">
        <v>58</v>
      </c>
      <c r="J13" s="8">
        <v>51</v>
      </c>
      <c r="K13" s="8">
        <v>0.48625000000000007</v>
      </c>
      <c r="L13" s="8">
        <v>25</v>
      </c>
      <c r="M13" s="8">
        <v>51</v>
      </c>
      <c r="N13" s="8">
        <v>51</v>
      </c>
      <c r="O13" s="8">
        <v>4</v>
      </c>
      <c r="P13" s="8">
        <v>20</v>
      </c>
    </row>
    <row r="14" spans="1:16" x14ac:dyDescent="0.2">
      <c r="A14">
        <v>277055951</v>
      </c>
      <c r="B14" s="8">
        <v>0.27385000000000004</v>
      </c>
      <c r="C14" s="8">
        <v>0.17333333333333334</v>
      </c>
      <c r="D14" s="8">
        <v>26</v>
      </c>
      <c r="E14" s="8">
        <v>26</v>
      </c>
      <c r="F14" s="8">
        <v>0</v>
      </c>
      <c r="G14" s="8">
        <v>0.43500000000000005</v>
      </c>
      <c r="H14" s="8">
        <v>26</v>
      </c>
      <c r="I14" s="8">
        <v>96</v>
      </c>
      <c r="J14" s="8">
        <v>26</v>
      </c>
      <c r="K14" s="8">
        <v>0.215</v>
      </c>
      <c r="L14" s="8">
        <v>28</v>
      </c>
      <c r="M14" s="8">
        <v>26</v>
      </c>
      <c r="N14" s="8">
        <v>26</v>
      </c>
      <c r="O14" s="8">
        <v>2</v>
      </c>
      <c r="P14" s="8">
        <v>0</v>
      </c>
    </row>
    <row r="15" spans="1:16" x14ac:dyDescent="0.2">
      <c r="A15">
        <v>902907559</v>
      </c>
      <c r="B15" s="8">
        <v>0.67927499999999996</v>
      </c>
      <c r="C15" s="8">
        <v>0.61333333333333329</v>
      </c>
      <c r="D15" s="8">
        <v>86</v>
      </c>
      <c r="E15" s="8">
        <v>86</v>
      </c>
      <c r="F15" s="8">
        <v>6</v>
      </c>
      <c r="G15" s="8">
        <v>0.72</v>
      </c>
      <c r="H15" s="8">
        <v>86</v>
      </c>
      <c r="I15" s="8">
        <v>30</v>
      </c>
      <c r="J15" s="8">
        <v>86</v>
      </c>
      <c r="K15" s="8">
        <v>0.70374999999999999</v>
      </c>
      <c r="L15" s="8">
        <v>95</v>
      </c>
      <c r="M15" s="8">
        <v>86</v>
      </c>
      <c r="N15" s="8">
        <v>86</v>
      </c>
      <c r="O15" s="8">
        <v>5</v>
      </c>
      <c r="P15" s="8">
        <v>6</v>
      </c>
    </row>
    <row r="16" spans="1:16" x14ac:dyDescent="0.2">
      <c r="A16">
        <v>528297980</v>
      </c>
      <c r="B16" s="8">
        <v>0.6119500000000001</v>
      </c>
      <c r="C16" s="8">
        <v>0.59333333333333338</v>
      </c>
      <c r="D16" s="8">
        <v>58</v>
      </c>
      <c r="E16" s="8">
        <v>58</v>
      </c>
      <c r="F16" s="8">
        <v>31</v>
      </c>
      <c r="G16" s="8">
        <v>0.63000000000000012</v>
      </c>
      <c r="H16" s="8">
        <v>58</v>
      </c>
      <c r="I16" s="8">
        <v>78</v>
      </c>
      <c r="J16" s="8">
        <v>58</v>
      </c>
      <c r="K16" s="8">
        <v>0.61250000000000004</v>
      </c>
      <c r="L16" s="8">
        <v>74</v>
      </c>
      <c r="M16" s="8">
        <v>58</v>
      </c>
      <c r="N16" s="8">
        <v>58</v>
      </c>
      <c r="O16" s="8">
        <v>3</v>
      </c>
      <c r="P16" s="8">
        <v>31</v>
      </c>
    </row>
    <row r="17" spans="1:16" x14ac:dyDescent="0.2">
      <c r="A17">
        <v>444882790</v>
      </c>
      <c r="B17" s="8">
        <v>0.13897500000000002</v>
      </c>
      <c r="C17" s="8">
        <v>8.0000000000000016E-2</v>
      </c>
      <c r="D17" s="8">
        <v>5</v>
      </c>
      <c r="E17" s="8">
        <v>5</v>
      </c>
      <c r="F17" s="8">
        <v>7</v>
      </c>
      <c r="G17" s="8">
        <v>0.09</v>
      </c>
      <c r="H17" s="8">
        <v>5</v>
      </c>
      <c r="I17" s="8">
        <v>21</v>
      </c>
      <c r="J17" s="8">
        <v>5</v>
      </c>
      <c r="K17" s="8">
        <v>0.24374999999999999</v>
      </c>
      <c r="L17" s="8">
        <v>67</v>
      </c>
      <c r="M17" s="8">
        <v>5</v>
      </c>
      <c r="N17" s="8">
        <v>5</v>
      </c>
      <c r="O17" s="8">
        <v>4</v>
      </c>
      <c r="P17" s="8">
        <v>7</v>
      </c>
    </row>
    <row r="18" spans="1:16" x14ac:dyDescent="0.2">
      <c r="A18">
        <v>112085131</v>
      </c>
      <c r="B18" s="8">
        <v>0.20040000000000002</v>
      </c>
      <c r="C18" s="8">
        <v>0.14666666666666667</v>
      </c>
      <c r="D18" s="8">
        <v>13</v>
      </c>
      <c r="E18" s="8">
        <v>13</v>
      </c>
      <c r="F18" s="8">
        <v>9</v>
      </c>
      <c r="G18" s="8">
        <v>0.27</v>
      </c>
      <c r="H18" s="8">
        <v>13</v>
      </c>
      <c r="I18" s="8">
        <v>69</v>
      </c>
      <c r="J18" s="8">
        <v>13</v>
      </c>
      <c r="K18" s="8">
        <v>0.185</v>
      </c>
      <c r="L18" s="8">
        <v>60</v>
      </c>
      <c r="M18" s="8">
        <v>13</v>
      </c>
      <c r="N18" s="8">
        <v>13</v>
      </c>
      <c r="O18" s="8">
        <v>0</v>
      </c>
      <c r="P18" s="8">
        <v>9</v>
      </c>
    </row>
    <row r="19" spans="1:16" x14ac:dyDescent="0.2">
      <c r="A19">
        <v>588642518</v>
      </c>
      <c r="B19" s="8">
        <v>0.78472500000000001</v>
      </c>
      <c r="C19" s="8">
        <v>0.85333333333333339</v>
      </c>
      <c r="D19" s="8">
        <v>94</v>
      </c>
      <c r="E19" s="8">
        <v>94</v>
      </c>
      <c r="F19" s="8">
        <v>34</v>
      </c>
      <c r="G19" s="8">
        <v>0.77250000000000008</v>
      </c>
      <c r="H19" s="8">
        <v>94</v>
      </c>
      <c r="I19" s="8">
        <v>27</v>
      </c>
      <c r="J19" s="8">
        <v>94</v>
      </c>
      <c r="K19" s="8">
        <v>0.73</v>
      </c>
      <c r="L19" s="8">
        <v>72</v>
      </c>
      <c r="M19" s="8">
        <v>94</v>
      </c>
      <c r="N19" s="8">
        <v>94</v>
      </c>
      <c r="O19" s="8">
        <v>0</v>
      </c>
      <c r="P19" s="8">
        <v>34</v>
      </c>
    </row>
    <row r="20" spans="1:16" x14ac:dyDescent="0.2">
      <c r="A20">
        <v>414520736</v>
      </c>
      <c r="B20" s="8">
        <v>0.60965000000000003</v>
      </c>
      <c r="C20" s="8">
        <v>0.58666666666666656</v>
      </c>
      <c r="D20" s="8">
        <v>81</v>
      </c>
      <c r="E20" s="8">
        <v>81</v>
      </c>
      <c r="F20" s="8">
        <v>7</v>
      </c>
      <c r="G20" s="8">
        <v>0.76749999999999996</v>
      </c>
      <c r="H20" s="8">
        <v>81</v>
      </c>
      <c r="I20" s="8">
        <v>64</v>
      </c>
      <c r="J20" s="8">
        <v>81</v>
      </c>
      <c r="K20" s="8">
        <v>0.47874999999999995</v>
      </c>
      <c r="L20" s="8">
        <v>11</v>
      </c>
      <c r="M20" s="8">
        <v>81</v>
      </c>
      <c r="N20" s="8">
        <v>81</v>
      </c>
      <c r="O20" s="8">
        <v>1</v>
      </c>
      <c r="P20" s="8">
        <v>7</v>
      </c>
    </row>
    <row r="21" spans="1:16" x14ac:dyDescent="0.2">
      <c r="A21">
        <v>356558346</v>
      </c>
      <c r="B21" s="8">
        <v>0.36662500000000003</v>
      </c>
      <c r="C21" s="8">
        <v>0.3</v>
      </c>
      <c r="D21" s="8">
        <v>43</v>
      </c>
      <c r="E21" s="8">
        <v>43</v>
      </c>
      <c r="F21" s="8">
        <v>2</v>
      </c>
      <c r="G21" s="8">
        <v>0.4375</v>
      </c>
      <c r="H21" s="8">
        <v>43</v>
      </c>
      <c r="I21" s="8">
        <v>46</v>
      </c>
      <c r="J21" s="8">
        <v>43</v>
      </c>
      <c r="K21" s="8">
        <v>0.36249999999999999</v>
      </c>
      <c r="L21" s="8">
        <v>50</v>
      </c>
      <c r="M21" s="8">
        <v>43</v>
      </c>
      <c r="N21" s="8">
        <v>43</v>
      </c>
      <c r="O21" s="8">
        <v>3</v>
      </c>
      <c r="P21" s="8">
        <v>2</v>
      </c>
    </row>
    <row r="22" spans="1:16" x14ac:dyDescent="0.2">
      <c r="A22">
        <v>970698993</v>
      </c>
      <c r="B22" s="8">
        <v>0.68375000000000008</v>
      </c>
      <c r="C22" s="8">
        <v>0.66</v>
      </c>
      <c r="D22" s="8">
        <v>95</v>
      </c>
      <c r="E22" s="8">
        <v>95</v>
      </c>
      <c r="F22" s="8">
        <v>4</v>
      </c>
      <c r="G22" s="8">
        <v>0.75</v>
      </c>
      <c r="H22" s="8">
        <v>95</v>
      </c>
      <c r="I22" s="8">
        <v>15</v>
      </c>
      <c r="J22" s="8">
        <v>95</v>
      </c>
      <c r="K22" s="8">
        <v>0.64249999999999996</v>
      </c>
      <c r="L22" s="8">
        <v>78</v>
      </c>
      <c r="M22" s="8">
        <v>95</v>
      </c>
      <c r="N22" s="8">
        <v>95</v>
      </c>
      <c r="O22" s="8">
        <v>2</v>
      </c>
      <c r="P22" s="8">
        <v>4</v>
      </c>
    </row>
    <row r="23" spans="1:16" x14ac:dyDescent="0.2">
      <c r="A23">
        <v>633537205</v>
      </c>
      <c r="B23" s="8">
        <v>0.33765000000000001</v>
      </c>
      <c r="C23" s="8">
        <v>0.27333333333333332</v>
      </c>
      <c r="D23" s="8">
        <v>36</v>
      </c>
      <c r="E23" s="8">
        <v>36</v>
      </c>
      <c r="F23" s="8">
        <v>5</v>
      </c>
      <c r="G23" s="8">
        <v>0.45750000000000002</v>
      </c>
      <c r="H23" s="8">
        <v>36</v>
      </c>
      <c r="I23" s="8">
        <v>75</v>
      </c>
      <c r="J23" s="8">
        <v>36</v>
      </c>
      <c r="K23" s="8">
        <v>0.28375</v>
      </c>
      <c r="L23" s="8">
        <v>43</v>
      </c>
      <c r="M23" s="8">
        <v>36</v>
      </c>
      <c r="N23" s="8">
        <v>36</v>
      </c>
      <c r="O23" s="8">
        <v>1</v>
      </c>
      <c r="P23" s="8">
        <v>5</v>
      </c>
    </row>
    <row r="24" spans="1:16" x14ac:dyDescent="0.2">
      <c r="A24">
        <v>534292868</v>
      </c>
      <c r="B24" s="8">
        <v>0.65365000000000006</v>
      </c>
      <c r="C24" s="8">
        <v>0.62666666666666671</v>
      </c>
      <c r="D24" s="8">
        <v>90</v>
      </c>
      <c r="E24" s="8">
        <v>90</v>
      </c>
      <c r="F24" s="8">
        <v>4</v>
      </c>
      <c r="G24" s="8">
        <v>0.70499999999999996</v>
      </c>
      <c r="H24" s="8">
        <v>90</v>
      </c>
      <c r="I24" s="8">
        <v>12</v>
      </c>
      <c r="J24" s="8">
        <v>90</v>
      </c>
      <c r="K24" s="8">
        <v>0.63</v>
      </c>
      <c r="L24" s="8">
        <v>88</v>
      </c>
      <c r="M24" s="8">
        <v>90</v>
      </c>
      <c r="N24" s="8">
        <v>90</v>
      </c>
      <c r="O24" s="8">
        <v>2</v>
      </c>
      <c r="P24" s="8">
        <v>4</v>
      </c>
    </row>
    <row r="25" spans="1:16" x14ac:dyDescent="0.2">
      <c r="A25">
        <v>816787809</v>
      </c>
      <c r="B25" s="8">
        <v>0.51017500000000005</v>
      </c>
      <c r="C25" s="8">
        <v>0.52666666666666673</v>
      </c>
      <c r="D25" s="8">
        <v>47</v>
      </c>
      <c r="E25" s="8">
        <v>47</v>
      </c>
      <c r="F25" s="8">
        <v>32</v>
      </c>
      <c r="G25" s="8">
        <v>0.44749999999999995</v>
      </c>
      <c r="H25" s="8">
        <v>47</v>
      </c>
      <c r="I25" s="8">
        <v>38</v>
      </c>
      <c r="J25" s="8">
        <v>47</v>
      </c>
      <c r="K25" s="8">
        <v>0.55500000000000005</v>
      </c>
      <c r="L25" s="8">
        <v>28</v>
      </c>
      <c r="M25" s="8">
        <v>47</v>
      </c>
      <c r="N25" s="8">
        <v>47</v>
      </c>
      <c r="O25" s="8">
        <v>5</v>
      </c>
      <c r="P25" s="8">
        <v>32</v>
      </c>
    </row>
    <row r="26" spans="1:16" x14ac:dyDescent="0.2">
      <c r="A26">
        <v>220052551</v>
      </c>
      <c r="B26" s="8">
        <v>0.60135000000000005</v>
      </c>
      <c r="C26" s="8">
        <v>0.53999999999999992</v>
      </c>
      <c r="D26" s="8">
        <v>74</v>
      </c>
      <c r="E26" s="8">
        <v>74</v>
      </c>
      <c r="F26" s="8">
        <v>7</v>
      </c>
      <c r="G26" s="8">
        <v>0.78</v>
      </c>
      <c r="H26" s="8">
        <v>74</v>
      </c>
      <c r="I26" s="8">
        <v>90</v>
      </c>
      <c r="J26" s="8">
        <v>74</v>
      </c>
      <c r="K26" s="8">
        <v>0.48749999999999999</v>
      </c>
      <c r="L26" s="8">
        <v>6</v>
      </c>
      <c r="M26" s="8">
        <v>74</v>
      </c>
      <c r="N26" s="8">
        <v>74</v>
      </c>
      <c r="O26" s="8">
        <v>3</v>
      </c>
      <c r="P26" s="8">
        <v>7</v>
      </c>
    </row>
    <row r="27" spans="1:16" x14ac:dyDescent="0.2">
      <c r="A27">
        <v>858571733</v>
      </c>
      <c r="B27" s="8">
        <v>0.21872500000000003</v>
      </c>
      <c r="C27" s="8">
        <v>0.18000000000000002</v>
      </c>
      <c r="D27" s="8">
        <v>19</v>
      </c>
      <c r="E27" s="8">
        <v>19</v>
      </c>
      <c r="F27" s="8">
        <v>8</v>
      </c>
      <c r="G27" s="8">
        <v>0.21750000000000003</v>
      </c>
      <c r="H27" s="8">
        <v>19</v>
      </c>
      <c r="I27" s="8">
        <v>30</v>
      </c>
      <c r="J27" s="8">
        <v>19</v>
      </c>
      <c r="K27" s="8">
        <v>0.25750000000000001</v>
      </c>
      <c r="L27" s="8">
        <v>78</v>
      </c>
      <c r="M27" s="8">
        <v>19</v>
      </c>
      <c r="N27" s="8">
        <v>19</v>
      </c>
      <c r="O27" s="8">
        <v>1</v>
      </c>
      <c r="P27" s="8">
        <v>8</v>
      </c>
    </row>
    <row r="28" spans="1:16" x14ac:dyDescent="0.2">
      <c r="A28">
        <v>363436152</v>
      </c>
      <c r="B28" s="8">
        <v>0.30100000000000005</v>
      </c>
      <c r="C28" s="8">
        <v>0.29333333333333333</v>
      </c>
      <c r="D28" s="8">
        <v>21</v>
      </c>
      <c r="E28" s="8">
        <v>21</v>
      </c>
      <c r="F28" s="8">
        <v>23</v>
      </c>
      <c r="G28" s="8">
        <v>0.32</v>
      </c>
      <c r="H28" s="8">
        <v>21</v>
      </c>
      <c r="I28" s="8">
        <v>65</v>
      </c>
      <c r="J28" s="8">
        <v>21</v>
      </c>
      <c r="K28" s="8">
        <v>0.29000000000000004</v>
      </c>
      <c r="L28" s="8">
        <v>16</v>
      </c>
      <c r="M28" s="8">
        <v>21</v>
      </c>
      <c r="N28" s="8">
        <v>21</v>
      </c>
      <c r="O28" s="8">
        <v>2</v>
      </c>
      <c r="P28" s="8">
        <v>23</v>
      </c>
    </row>
    <row r="29" spans="1:16" x14ac:dyDescent="0.2">
      <c r="A29">
        <v>393495083</v>
      </c>
      <c r="B29" s="8">
        <v>0.68110000000000004</v>
      </c>
      <c r="C29" s="8">
        <v>0.66666666666666663</v>
      </c>
      <c r="D29" s="8">
        <v>91</v>
      </c>
      <c r="E29" s="8">
        <v>91</v>
      </c>
      <c r="F29" s="8">
        <v>9</v>
      </c>
      <c r="G29" s="8">
        <v>0.76749999999999996</v>
      </c>
      <c r="H29" s="8">
        <v>91</v>
      </c>
      <c r="I29" s="8">
        <v>34</v>
      </c>
      <c r="J29" s="8">
        <v>91</v>
      </c>
      <c r="K29" s="8">
        <v>0.61124999999999996</v>
      </c>
      <c r="L29" s="8">
        <v>69</v>
      </c>
      <c r="M29" s="8">
        <v>91</v>
      </c>
      <c r="N29" s="8">
        <v>91</v>
      </c>
      <c r="O29" s="8">
        <v>1</v>
      </c>
      <c r="P29" s="8">
        <v>9</v>
      </c>
    </row>
    <row r="30" spans="1:16" x14ac:dyDescent="0.2">
      <c r="A30">
        <v>769635714</v>
      </c>
      <c r="B30" s="8">
        <v>0.75035000000000007</v>
      </c>
      <c r="C30" s="8">
        <v>0.8</v>
      </c>
      <c r="D30" s="8">
        <v>88</v>
      </c>
      <c r="E30" s="8">
        <v>88</v>
      </c>
      <c r="F30" s="8">
        <v>32</v>
      </c>
      <c r="G30" s="8">
        <v>0.70750000000000013</v>
      </c>
      <c r="H30" s="8">
        <v>88</v>
      </c>
      <c r="I30" s="8">
        <v>19</v>
      </c>
      <c r="J30" s="8">
        <v>88</v>
      </c>
      <c r="K30" s="8">
        <v>0.74375000000000002</v>
      </c>
      <c r="L30" s="8">
        <v>75</v>
      </c>
      <c r="M30" s="8">
        <v>88</v>
      </c>
      <c r="N30" s="8">
        <v>88</v>
      </c>
      <c r="O30" s="8">
        <v>2</v>
      </c>
      <c r="P30" s="8">
        <v>32</v>
      </c>
    </row>
    <row r="31" spans="1:16" x14ac:dyDescent="0.2">
      <c r="A31">
        <v>373048949</v>
      </c>
      <c r="B31" s="8">
        <v>0.62487500000000007</v>
      </c>
      <c r="C31" s="8">
        <v>0.6333333333333333</v>
      </c>
      <c r="D31" s="8">
        <v>80</v>
      </c>
      <c r="E31" s="8">
        <v>80</v>
      </c>
      <c r="F31" s="8">
        <v>15</v>
      </c>
      <c r="G31" s="8">
        <v>0.65749999999999997</v>
      </c>
      <c r="H31" s="8">
        <v>80</v>
      </c>
      <c r="I31" s="8">
        <v>23</v>
      </c>
      <c r="J31" s="8">
        <v>80</v>
      </c>
      <c r="K31" s="8">
        <v>0.58499999999999996</v>
      </c>
      <c r="L31" s="8">
        <v>48</v>
      </c>
      <c r="M31" s="8">
        <v>80</v>
      </c>
      <c r="N31" s="8">
        <v>80</v>
      </c>
      <c r="O31" s="8">
        <v>2</v>
      </c>
      <c r="P31" s="8">
        <v>15</v>
      </c>
    </row>
    <row r="32" spans="1:16" x14ac:dyDescent="0.2">
      <c r="A32">
        <v>357061292</v>
      </c>
      <c r="B32" s="8">
        <v>0.27767500000000001</v>
      </c>
      <c r="C32" s="8">
        <v>0.23333333333333334</v>
      </c>
      <c r="D32" s="8">
        <v>10</v>
      </c>
      <c r="E32" s="8">
        <v>10</v>
      </c>
      <c r="F32" s="8">
        <v>25</v>
      </c>
      <c r="G32" s="8">
        <v>0.28999999999999998</v>
      </c>
      <c r="H32" s="8">
        <v>10</v>
      </c>
      <c r="I32" s="8">
        <v>86</v>
      </c>
      <c r="J32" s="8">
        <v>10</v>
      </c>
      <c r="K32" s="8">
        <v>0.30874999999999997</v>
      </c>
      <c r="L32" s="8">
        <v>7</v>
      </c>
      <c r="M32" s="8">
        <v>10</v>
      </c>
      <c r="N32" s="8">
        <v>10</v>
      </c>
      <c r="O32" s="8">
        <v>5</v>
      </c>
      <c r="P32" s="8">
        <v>25</v>
      </c>
    </row>
    <row r="33" spans="1:16" x14ac:dyDescent="0.2">
      <c r="A33">
        <v>837310284</v>
      </c>
      <c r="B33" s="8">
        <v>0.39502500000000007</v>
      </c>
      <c r="C33" s="8">
        <v>0.42</v>
      </c>
      <c r="D33" s="8">
        <v>45</v>
      </c>
      <c r="E33" s="8">
        <v>45</v>
      </c>
      <c r="F33" s="8">
        <v>18</v>
      </c>
      <c r="G33" s="8">
        <v>0.45250000000000001</v>
      </c>
      <c r="H33" s="8">
        <v>45</v>
      </c>
      <c r="I33" s="8">
        <v>46</v>
      </c>
      <c r="J33" s="8">
        <v>45</v>
      </c>
      <c r="K33" s="8">
        <v>0.315</v>
      </c>
      <c r="L33" s="8">
        <v>0</v>
      </c>
      <c r="M33" s="8">
        <v>45</v>
      </c>
      <c r="N33" s="8">
        <v>45</v>
      </c>
      <c r="O33" s="8">
        <v>0</v>
      </c>
      <c r="P33" s="8">
        <v>18</v>
      </c>
    </row>
    <row r="34" spans="1:16" x14ac:dyDescent="0.2">
      <c r="A34">
        <v>815854164</v>
      </c>
      <c r="B34" s="8">
        <v>0.73157500000000009</v>
      </c>
      <c r="C34" s="8">
        <v>0.8</v>
      </c>
      <c r="D34" s="8">
        <v>89</v>
      </c>
      <c r="E34" s="8">
        <v>89</v>
      </c>
      <c r="F34" s="8">
        <v>31</v>
      </c>
      <c r="G34" s="8">
        <v>0.67249999999999999</v>
      </c>
      <c r="H34" s="8">
        <v>89</v>
      </c>
      <c r="I34" s="8">
        <v>2</v>
      </c>
      <c r="J34" s="8">
        <v>89</v>
      </c>
      <c r="K34" s="8">
        <v>0.72250000000000003</v>
      </c>
      <c r="L34" s="8">
        <v>98</v>
      </c>
      <c r="M34" s="8">
        <v>89</v>
      </c>
      <c r="N34" s="8">
        <v>89</v>
      </c>
      <c r="O34" s="8">
        <v>0</v>
      </c>
      <c r="P34" s="8">
        <v>31</v>
      </c>
    </row>
    <row r="35" spans="1:16" x14ac:dyDescent="0.2">
      <c r="A35">
        <v>315378369</v>
      </c>
      <c r="B35" s="8">
        <v>0.20882500000000001</v>
      </c>
      <c r="C35" s="8">
        <v>0.2</v>
      </c>
      <c r="D35" s="8">
        <v>12</v>
      </c>
      <c r="E35" s="8">
        <v>12</v>
      </c>
      <c r="F35" s="8">
        <v>18</v>
      </c>
      <c r="G35" s="8">
        <v>0.16750000000000004</v>
      </c>
      <c r="H35" s="8">
        <v>12</v>
      </c>
      <c r="I35" s="8">
        <v>31</v>
      </c>
      <c r="J35" s="8">
        <v>12</v>
      </c>
      <c r="K35" s="8">
        <v>0.25750000000000001</v>
      </c>
      <c r="L35" s="8">
        <v>46</v>
      </c>
      <c r="M35" s="8">
        <v>12</v>
      </c>
      <c r="N35" s="8">
        <v>12</v>
      </c>
      <c r="O35" s="8">
        <v>2</v>
      </c>
      <c r="P35" s="8">
        <v>18</v>
      </c>
    </row>
    <row r="36" spans="1:16" x14ac:dyDescent="0.2">
      <c r="A36">
        <v>564410540</v>
      </c>
      <c r="B36" s="8">
        <v>0.36022500000000002</v>
      </c>
      <c r="C36" s="8">
        <v>0.38</v>
      </c>
      <c r="D36" s="8">
        <v>21</v>
      </c>
      <c r="E36" s="8">
        <v>21</v>
      </c>
      <c r="F36" s="8">
        <v>36</v>
      </c>
      <c r="G36" s="8">
        <v>0.3175</v>
      </c>
      <c r="H36" s="8">
        <v>21</v>
      </c>
      <c r="I36" s="8">
        <v>64</v>
      </c>
      <c r="J36" s="8">
        <v>21</v>
      </c>
      <c r="K36" s="8">
        <v>0.38250000000000001</v>
      </c>
      <c r="L36" s="8">
        <v>38</v>
      </c>
      <c r="M36" s="8">
        <v>21</v>
      </c>
      <c r="N36" s="8">
        <v>21</v>
      </c>
      <c r="O36" s="8">
        <v>2</v>
      </c>
      <c r="P36" s="8">
        <v>36</v>
      </c>
    </row>
    <row r="37" spans="1:16" x14ac:dyDescent="0.2">
      <c r="A37">
        <v>126539887</v>
      </c>
      <c r="B37" s="8">
        <v>0.30112500000000003</v>
      </c>
      <c r="C37" s="8">
        <v>0.25333333333333335</v>
      </c>
      <c r="D37" s="8">
        <v>7</v>
      </c>
      <c r="E37" s="8">
        <v>7</v>
      </c>
      <c r="F37" s="8">
        <v>31</v>
      </c>
      <c r="G37" s="8">
        <v>0.26250000000000001</v>
      </c>
      <c r="H37" s="8">
        <v>7</v>
      </c>
      <c r="I37" s="8">
        <v>84</v>
      </c>
      <c r="J37" s="8">
        <v>7</v>
      </c>
      <c r="K37" s="8">
        <v>0.38500000000000006</v>
      </c>
      <c r="L37" s="8">
        <v>96</v>
      </c>
      <c r="M37" s="8">
        <v>7</v>
      </c>
      <c r="N37" s="8">
        <v>7</v>
      </c>
      <c r="O37" s="8">
        <v>3</v>
      </c>
      <c r="P37" s="8">
        <v>31</v>
      </c>
    </row>
    <row r="38" spans="1:16" x14ac:dyDescent="0.2">
      <c r="A38">
        <v>563937624</v>
      </c>
      <c r="B38" s="8">
        <v>0.22697500000000001</v>
      </c>
      <c r="C38" s="8">
        <v>0.1</v>
      </c>
      <c r="D38" s="8">
        <v>5</v>
      </c>
      <c r="E38" s="8">
        <v>5</v>
      </c>
      <c r="F38" s="8">
        <v>10</v>
      </c>
      <c r="G38" s="8">
        <v>0.28000000000000003</v>
      </c>
      <c r="H38" s="8">
        <v>5</v>
      </c>
      <c r="I38" s="8">
        <v>97</v>
      </c>
      <c r="J38" s="8">
        <v>5</v>
      </c>
      <c r="K38" s="8">
        <v>0.29874999999999996</v>
      </c>
      <c r="L38" s="8">
        <v>99</v>
      </c>
      <c r="M38" s="8">
        <v>5</v>
      </c>
      <c r="N38" s="8">
        <v>5</v>
      </c>
      <c r="O38" s="8">
        <v>4</v>
      </c>
      <c r="P38" s="8">
        <v>10</v>
      </c>
    </row>
    <row r="39" spans="1:16" x14ac:dyDescent="0.2">
      <c r="A39">
        <v>684291511</v>
      </c>
      <c r="B39" s="8">
        <v>0.43127500000000007</v>
      </c>
      <c r="C39" s="8">
        <v>0.42000000000000004</v>
      </c>
      <c r="D39" s="8">
        <v>37</v>
      </c>
      <c r="E39" s="8">
        <v>37</v>
      </c>
      <c r="F39" s="8">
        <v>26</v>
      </c>
      <c r="G39" s="8">
        <v>0.4825000000000001</v>
      </c>
      <c r="H39" s="8">
        <v>37</v>
      </c>
      <c r="I39" s="8">
        <v>82</v>
      </c>
      <c r="J39" s="8">
        <v>37</v>
      </c>
      <c r="K39" s="8">
        <v>0.39249999999999996</v>
      </c>
      <c r="L39" s="8">
        <v>22</v>
      </c>
      <c r="M39" s="8">
        <v>37</v>
      </c>
      <c r="N39" s="8">
        <v>37</v>
      </c>
      <c r="O39" s="8">
        <v>2</v>
      </c>
      <c r="P39" s="8">
        <v>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I39"/>
  <sheetViews>
    <sheetView workbookViewId="0">
      <selection sqref="A1:XFD1048576"/>
    </sheetView>
  </sheetViews>
  <sheetFormatPr baseColWidth="10" defaultColWidth="8.83203125" defaultRowHeight="15" x14ac:dyDescent="0.2"/>
  <cols>
    <col min="1" max="1" width="4" bestFit="1" customWidth="1"/>
    <col min="2" max="2" width="7" bestFit="1" customWidth="1"/>
    <col min="3" max="3" width="4.5" bestFit="1" customWidth="1"/>
    <col min="4" max="5" width="6.5" bestFit="1" customWidth="1"/>
    <col min="6" max="6" width="5" bestFit="1" customWidth="1"/>
  </cols>
  <sheetData>
    <row r="1" spans="1:9" x14ac:dyDescent="0.2">
      <c r="A1" t="s">
        <v>485</v>
      </c>
      <c r="C1" t="s">
        <v>346</v>
      </c>
      <c r="F1" t="s">
        <v>342</v>
      </c>
    </row>
    <row r="2" spans="1:9" x14ac:dyDescent="0.2">
      <c r="D2" t="s">
        <v>48</v>
      </c>
      <c r="E2" t="s">
        <v>52</v>
      </c>
      <c r="G2" t="s">
        <v>13</v>
      </c>
      <c r="H2" t="s">
        <v>45</v>
      </c>
      <c r="I2" t="s">
        <v>52</v>
      </c>
    </row>
    <row r="3" spans="1:9" x14ac:dyDescent="0.2">
      <c r="D3">
        <v>50</v>
      </c>
      <c r="E3">
        <v>50</v>
      </c>
      <c r="G3">
        <v>5</v>
      </c>
      <c r="H3">
        <v>40</v>
      </c>
      <c r="I3">
        <v>50</v>
      </c>
    </row>
    <row r="4" spans="1:9" x14ac:dyDescent="0.2">
      <c r="D4">
        <v>0.2</v>
      </c>
      <c r="E4">
        <v>0.2</v>
      </c>
      <c r="G4">
        <v>1</v>
      </c>
      <c r="H4">
        <v>0.125</v>
      </c>
      <c r="I4">
        <v>0.2</v>
      </c>
    </row>
    <row r="5" spans="1:9" x14ac:dyDescent="0.2">
      <c r="A5">
        <v>598829620</v>
      </c>
      <c r="B5" s="8">
        <v>0.4</v>
      </c>
      <c r="C5" s="8">
        <v>0.4</v>
      </c>
      <c r="D5" s="8">
        <v>20</v>
      </c>
      <c r="E5" s="8">
        <v>20</v>
      </c>
      <c r="F5" s="8">
        <v>0.4</v>
      </c>
      <c r="G5" s="8">
        <v>3</v>
      </c>
      <c r="H5" s="8">
        <v>8</v>
      </c>
      <c r="I5" s="8">
        <v>20</v>
      </c>
    </row>
    <row r="6" spans="1:9" x14ac:dyDescent="0.2">
      <c r="A6">
        <v>684014860</v>
      </c>
      <c r="B6" s="8">
        <v>0.58875000000000011</v>
      </c>
      <c r="C6" s="8">
        <v>0.56000000000000005</v>
      </c>
      <c r="D6" s="8">
        <v>28</v>
      </c>
      <c r="E6" s="8">
        <v>28</v>
      </c>
      <c r="F6" s="8">
        <v>0.61750000000000005</v>
      </c>
      <c r="G6" s="8">
        <v>4</v>
      </c>
      <c r="H6" s="8">
        <v>22</v>
      </c>
      <c r="I6" s="8">
        <v>28</v>
      </c>
    </row>
    <row r="7" spans="1:9" x14ac:dyDescent="0.2">
      <c r="A7">
        <v>843228181</v>
      </c>
      <c r="B7" s="8">
        <v>0.49937500000000001</v>
      </c>
      <c r="C7" s="8">
        <v>0.42000000000000004</v>
      </c>
      <c r="D7" s="8">
        <v>21</v>
      </c>
      <c r="E7" s="8">
        <v>21</v>
      </c>
      <c r="F7" s="8">
        <v>0.57874999999999999</v>
      </c>
      <c r="G7" s="8">
        <v>5</v>
      </c>
      <c r="H7" s="8">
        <v>19</v>
      </c>
      <c r="I7" s="8">
        <v>21</v>
      </c>
    </row>
    <row r="8" spans="1:9" x14ac:dyDescent="0.2">
      <c r="A8">
        <v>820549378</v>
      </c>
      <c r="B8" s="8">
        <v>0.39187499999999997</v>
      </c>
      <c r="C8" s="8">
        <v>0.26</v>
      </c>
      <c r="D8" s="8">
        <v>13</v>
      </c>
      <c r="E8" s="8">
        <v>13</v>
      </c>
      <c r="F8" s="8">
        <v>0.52374999999999994</v>
      </c>
      <c r="G8" s="8">
        <v>4</v>
      </c>
      <c r="H8" s="8">
        <v>31</v>
      </c>
      <c r="I8" s="8">
        <v>13</v>
      </c>
    </row>
    <row r="9" spans="1:9" x14ac:dyDescent="0.2">
      <c r="A9">
        <v>533572169</v>
      </c>
      <c r="B9" s="8">
        <v>0.114375</v>
      </c>
      <c r="C9" s="8">
        <v>0.04</v>
      </c>
      <c r="D9" s="8">
        <v>2</v>
      </c>
      <c r="E9" s="8">
        <v>2</v>
      </c>
      <c r="F9" s="8">
        <v>0.18875</v>
      </c>
      <c r="G9" s="8">
        <v>0</v>
      </c>
      <c r="H9" s="8">
        <v>27</v>
      </c>
      <c r="I9" s="8">
        <v>2</v>
      </c>
    </row>
    <row r="10" spans="1:9" x14ac:dyDescent="0.2">
      <c r="A10">
        <v>975325712</v>
      </c>
      <c r="B10" s="8">
        <v>0.323125</v>
      </c>
      <c r="C10" s="8">
        <v>0.36</v>
      </c>
      <c r="D10" s="8">
        <v>18</v>
      </c>
      <c r="E10" s="8">
        <v>18</v>
      </c>
      <c r="F10" s="8">
        <v>0.28625</v>
      </c>
      <c r="G10" s="8">
        <v>2</v>
      </c>
      <c r="H10" s="8">
        <v>1</v>
      </c>
      <c r="I10" s="8">
        <v>18</v>
      </c>
    </row>
    <row r="11" spans="1:9" x14ac:dyDescent="0.2">
      <c r="A11">
        <v>310082419</v>
      </c>
      <c r="B11" s="8">
        <v>0.29312500000000002</v>
      </c>
      <c r="C11" s="8">
        <v>0.22000000000000003</v>
      </c>
      <c r="D11" s="8">
        <v>11</v>
      </c>
      <c r="E11" s="8">
        <v>11</v>
      </c>
      <c r="F11" s="8">
        <v>0.36625000000000002</v>
      </c>
      <c r="G11" s="8">
        <v>3</v>
      </c>
      <c r="H11" s="8">
        <v>17</v>
      </c>
      <c r="I11" s="8">
        <v>11</v>
      </c>
    </row>
    <row r="12" spans="1:9" x14ac:dyDescent="0.2">
      <c r="A12">
        <v>242132470</v>
      </c>
      <c r="B12" s="8">
        <v>0.44812500000000005</v>
      </c>
      <c r="C12" s="8">
        <v>0.56000000000000005</v>
      </c>
      <c r="D12" s="8">
        <v>28</v>
      </c>
      <c r="E12" s="8">
        <v>28</v>
      </c>
      <c r="F12" s="8">
        <v>0.33625000000000005</v>
      </c>
      <c r="G12" s="8">
        <v>0</v>
      </c>
      <c r="H12" s="8">
        <v>9</v>
      </c>
      <c r="I12" s="8">
        <v>28</v>
      </c>
    </row>
    <row r="13" spans="1:9" x14ac:dyDescent="0.2">
      <c r="A13">
        <v>208248363</v>
      </c>
      <c r="B13" s="8">
        <v>0.45937500000000003</v>
      </c>
      <c r="C13" s="8">
        <v>0.4</v>
      </c>
      <c r="D13" s="8">
        <v>20</v>
      </c>
      <c r="E13" s="8">
        <v>20</v>
      </c>
      <c r="F13" s="8">
        <v>0.51875000000000004</v>
      </c>
      <c r="G13" s="8">
        <v>4</v>
      </c>
      <c r="H13" s="8">
        <v>19</v>
      </c>
      <c r="I13" s="8">
        <v>20</v>
      </c>
    </row>
    <row r="14" spans="1:9" x14ac:dyDescent="0.2">
      <c r="A14">
        <v>277055951</v>
      </c>
      <c r="B14" s="8">
        <v>0.125</v>
      </c>
      <c r="C14" s="8">
        <v>0</v>
      </c>
      <c r="D14" s="8">
        <v>0</v>
      </c>
      <c r="E14" s="8">
        <v>0</v>
      </c>
      <c r="F14" s="8">
        <v>0.25</v>
      </c>
      <c r="G14" s="8">
        <v>2</v>
      </c>
      <c r="H14" s="8">
        <v>24</v>
      </c>
      <c r="I14" s="8">
        <v>0</v>
      </c>
    </row>
    <row r="15" spans="1:9" x14ac:dyDescent="0.2">
      <c r="A15">
        <v>902907559</v>
      </c>
      <c r="B15" s="8">
        <v>0.22750000000000001</v>
      </c>
      <c r="C15" s="8">
        <v>0.12000000000000002</v>
      </c>
      <c r="D15" s="8">
        <v>6</v>
      </c>
      <c r="E15" s="8">
        <v>6</v>
      </c>
      <c r="F15" s="8">
        <v>0.33500000000000002</v>
      </c>
      <c r="G15" s="8">
        <v>5</v>
      </c>
      <c r="H15" s="8">
        <v>4</v>
      </c>
      <c r="I15" s="8">
        <v>6</v>
      </c>
    </row>
    <row r="16" spans="1:9" x14ac:dyDescent="0.2">
      <c r="A16">
        <v>528297980</v>
      </c>
      <c r="B16" s="8">
        <v>0.58374999999999999</v>
      </c>
      <c r="C16" s="8">
        <v>0.62</v>
      </c>
      <c r="D16" s="8">
        <v>31</v>
      </c>
      <c r="E16" s="8">
        <v>31</v>
      </c>
      <c r="F16" s="8">
        <v>0.54749999999999999</v>
      </c>
      <c r="G16" s="8">
        <v>3</v>
      </c>
      <c r="H16" s="8">
        <v>14</v>
      </c>
      <c r="I16" s="8">
        <v>31</v>
      </c>
    </row>
    <row r="17" spans="1:9" x14ac:dyDescent="0.2">
      <c r="A17">
        <v>444882790</v>
      </c>
      <c r="B17" s="8">
        <v>0.28000000000000003</v>
      </c>
      <c r="C17" s="8">
        <v>0.14000000000000001</v>
      </c>
      <c r="D17" s="8">
        <v>7</v>
      </c>
      <c r="E17" s="8">
        <v>7</v>
      </c>
      <c r="F17" s="8">
        <v>0.42000000000000004</v>
      </c>
      <c r="G17" s="8">
        <v>4</v>
      </c>
      <c r="H17" s="8">
        <v>24</v>
      </c>
      <c r="I17" s="8">
        <v>7</v>
      </c>
    </row>
    <row r="18" spans="1:9" x14ac:dyDescent="0.2">
      <c r="A18">
        <v>112085131</v>
      </c>
      <c r="B18" s="8">
        <v>0.21937499999999999</v>
      </c>
      <c r="C18" s="8">
        <v>0.18</v>
      </c>
      <c r="D18" s="8">
        <v>9</v>
      </c>
      <c r="E18" s="8">
        <v>9</v>
      </c>
      <c r="F18" s="8">
        <v>0.25874999999999998</v>
      </c>
      <c r="G18" s="8">
        <v>0</v>
      </c>
      <c r="H18" s="8">
        <v>27</v>
      </c>
      <c r="I18" s="8">
        <v>9</v>
      </c>
    </row>
    <row r="19" spans="1:9" x14ac:dyDescent="0.2">
      <c r="A19">
        <v>588642518</v>
      </c>
      <c r="B19" s="8">
        <v>0.52875000000000005</v>
      </c>
      <c r="C19" s="8">
        <v>0.68</v>
      </c>
      <c r="D19" s="8">
        <v>34</v>
      </c>
      <c r="E19" s="8">
        <v>34</v>
      </c>
      <c r="F19" s="8">
        <v>0.37750000000000006</v>
      </c>
      <c r="G19" s="8">
        <v>0</v>
      </c>
      <c r="H19" s="8">
        <v>6</v>
      </c>
      <c r="I19" s="8">
        <v>34</v>
      </c>
    </row>
    <row r="20" spans="1:9" x14ac:dyDescent="0.2">
      <c r="A20">
        <v>414520736</v>
      </c>
      <c r="B20" s="8">
        <v>0.18312500000000001</v>
      </c>
      <c r="C20" s="8">
        <v>0.14000000000000001</v>
      </c>
      <c r="D20" s="8">
        <v>7</v>
      </c>
      <c r="E20" s="8">
        <v>7</v>
      </c>
      <c r="F20" s="8">
        <v>0.22625000000000001</v>
      </c>
      <c r="G20" s="8">
        <v>1</v>
      </c>
      <c r="H20" s="8">
        <v>17</v>
      </c>
      <c r="I20" s="8">
        <v>7</v>
      </c>
    </row>
    <row r="21" spans="1:9" x14ac:dyDescent="0.2">
      <c r="A21">
        <v>356558346</v>
      </c>
      <c r="B21" s="8">
        <v>0.13312500000000002</v>
      </c>
      <c r="C21" s="8">
        <v>0.04</v>
      </c>
      <c r="D21" s="8">
        <v>2</v>
      </c>
      <c r="E21" s="8">
        <v>2</v>
      </c>
      <c r="F21" s="8">
        <v>0.22625000000000001</v>
      </c>
      <c r="G21" s="8">
        <v>3</v>
      </c>
      <c r="H21" s="8">
        <v>9</v>
      </c>
      <c r="I21" s="8">
        <v>2</v>
      </c>
    </row>
    <row r="22" spans="1:9" x14ac:dyDescent="0.2">
      <c r="A22">
        <v>970698993</v>
      </c>
      <c r="B22" s="8">
        <v>0.15375</v>
      </c>
      <c r="C22" s="8">
        <v>0.08</v>
      </c>
      <c r="D22" s="8">
        <v>4</v>
      </c>
      <c r="E22" s="8">
        <v>4</v>
      </c>
      <c r="F22" s="8">
        <v>0.22749999999999998</v>
      </c>
      <c r="G22" s="8">
        <v>2</v>
      </c>
      <c r="H22" s="8">
        <v>14</v>
      </c>
      <c r="I22" s="8">
        <v>4</v>
      </c>
    </row>
    <row r="23" spans="1:9" x14ac:dyDescent="0.2">
      <c r="A23">
        <v>633537205</v>
      </c>
      <c r="B23" s="8">
        <v>0.1125</v>
      </c>
      <c r="C23" s="8">
        <v>0.1</v>
      </c>
      <c r="D23" s="8">
        <v>5</v>
      </c>
      <c r="E23" s="8">
        <v>5</v>
      </c>
      <c r="F23" s="8">
        <v>0.125</v>
      </c>
      <c r="G23" s="8">
        <v>1</v>
      </c>
      <c r="H23" s="8">
        <v>4</v>
      </c>
      <c r="I23" s="8">
        <v>5</v>
      </c>
    </row>
    <row r="24" spans="1:9" x14ac:dyDescent="0.2">
      <c r="A24">
        <v>534292868</v>
      </c>
      <c r="B24" s="8">
        <v>0.11624999999999999</v>
      </c>
      <c r="C24" s="8">
        <v>0.08</v>
      </c>
      <c r="D24" s="8">
        <v>4</v>
      </c>
      <c r="E24" s="8">
        <v>4</v>
      </c>
      <c r="F24" s="8">
        <v>0.1525</v>
      </c>
      <c r="G24" s="8">
        <v>2</v>
      </c>
      <c r="H24" s="8">
        <v>2</v>
      </c>
      <c r="I24" s="8">
        <v>4</v>
      </c>
    </row>
    <row r="25" spans="1:9" x14ac:dyDescent="0.2">
      <c r="A25">
        <v>816787809</v>
      </c>
      <c r="B25" s="8">
        <v>0.63312500000000005</v>
      </c>
      <c r="C25" s="8">
        <v>0.64</v>
      </c>
      <c r="D25" s="8">
        <v>32</v>
      </c>
      <c r="E25" s="8">
        <v>32</v>
      </c>
      <c r="F25" s="8">
        <v>0.62624999999999997</v>
      </c>
      <c r="G25" s="8">
        <v>5</v>
      </c>
      <c r="H25" s="8">
        <v>9</v>
      </c>
      <c r="I25" s="8">
        <v>32</v>
      </c>
    </row>
    <row r="26" spans="1:9" x14ac:dyDescent="0.2">
      <c r="A26">
        <v>220052551</v>
      </c>
      <c r="B26" s="8">
        <v>0.20187500000000003</v>
      </c>
      <c r="C26" s="8">
        <v>0.14000000000000001</v>
      </c>
      <c r="D26" s="8">
        <v>7</v>
      </c>
      <c r="E26" s="8">
        <v>7</v>
      </c>
      <c r="F26" s="8">
        <v>0.26375000000000004</v>
      </c>
      <c r="G26" s="8">
        <v>3</v>
      </c>
      <c r="H26" s="8">
        <v>7</v>
      </c>
      <c r="I26" s="8">
        <v>7</v>
      </c>
    </row>
    <row r="27" spans="1:9" x14ac:dyDescent="0.2">
      <c r="A27">
        <v>858571733</v>
      </c>
      <c r="B27" s="8">
        <v>0.15125</v>
      </c>
      <c r="C27" s="8">
        <v>0.16</v>
      </c>
      <c r="D27" s="8">
        <v>8</v>
      </c>
      <c r="E27" s="8">
        <v>8</v>
      </c>
      <c r="F27" s="8">
        <v>0.14250000000000002</v>
      </c>
      <c r="G27" s="8">
        <v>1</v>
      </c>
      <c r="H27" s="8">
        <v>2</v>
      </c>
      <c r="I27" s="8">
        <v>8</v>
      </c>
    </row>
    <row r="28" spans="1:9" x14ac:dyDescent="0.2">
      <c r="A28">
        <v>363436152</v>
      </c>
      <c r="B28" s="8">
        <v>0.45437500000000008</v>
      </c>
      <c r="C28" s="8">
        <v>0.46000000000000008</v>
      </c>
      <c r="D28" s="8">
        <v>23</v>
      </c>
      <c r="E28" s="8">
        <v>23</v>
      </c>
      <c r="F28" s="8">
        <v>0.44875000000000009</v>
      </c>
      <c r="G28" s="8">
        <v>2</v>
      </c>
      <c r="H28" s="8">
        <v>19</v>
      </c>
      <c r="I28" s="8">
        <v>23</v>
      </c>
    </row>
    <row r="29" spans="1:9" x14ac:dyDescent="0.2">
      <c r="A29">
        <v>393495083</v>
      </c>
      <c r="B29" s="8">
        <v>0.16312499999999999</v>
      </c>
      <c r="C29" s="8">
        <v>0.18</v>
      </c>
      <c r="D29" s="8">
        <v>9</v>
      </c>
      <c r="E29" s="8">
        <v>9</v>
      </c>
      <c r="F29" s="8">
        <v>0.14624999999999999</v>
      </c>
      <c r="G29" s="8">
        <v>1</v>
      </c>
      <c r="H29" s="8">
        <v>1</v>
      </c>
      <c r="I29" s="8">
        <v>9</v>
      </c>
    </row>
    <row r="30" spans="1:9" x14ac:dyDescent="0.2">
      <c r="A30">
        <v>769635714</v>
      </c>
      <c r="B30" s="8">
        <v>0.53312500000000007</v>
      </c>
      <c r="C30" s="8">
        <v>0.64</v>
      </c>
      <c r="D30" s="8">
        <v>32</v>
      </c>
      <c r="E30" s="8">
        <v>32</v>
      </c>
      <c r="F30" s="8">
        <v>0.42625000000000002</v>
      </c>
      <c r="G30" s="8">
        <v>2</v>
      </c>
      <c r="H30" s="8">
        <v>1</v>
      </c>
      <c r="I30" s="8">
        <v>32</v>
      </c>
    </row>
    <row r="31" spans="1:9" x14ac:dyDescent="0.2">
      <c r="A31">
        <v>373048949</v>
      </c>
      <c r="B31" s="8">
        <v>0.36875000000000002</v>
      </c>
      <c r="C31" s="8">
        <v>0.3</v>
      </c>
      <c r="D31" s="8">
        <v>15</v>
      </c>
      <c r="E31" s="8">
        <v>15</v>
      </c>
      <c r="F31" s="8">
        <v>0.4375</v>
      </c>
      <c r="G31" s="8">
        <v>2</v>
      </c>
      <c r="H31" s="8">
        <v>30</v>
      </c>
      <c r="I31" s="8">
        <v>15</v>
      </c>
    </row>
    <row r="32" spans="1:9" x14ac:dyDescent="0.2">
      <c r="A32">
        <v>357061292</v>
      </c>
      <c r="B32" s="8">
        <v>0.52187499999999998</v>
      </c>
      <c r="C32" s="8">
        <v>0.5</v>
      </c>
      <c r="D32" s="8">
        <v>25</v>
      </c>
      <c r="E32" s="8">
        <v>25</v>
      </c>
      <c r="F32" s="8">
        <v>0.54374999999999996</v>
      </c>
      <c r="G32" s="8">
        <v>5</v>
      </c>
      <c r="H32" s="8">
        <v>7</v>
      </c>
      <c r="I32" s="8">
        <v>25</v>
      </c>
    </row>
    <row r="33" spans="1:9" x14ac:dyDescent="0.2">
      <c r="A33">
        <v>837310284</v>
      </c>
      <c r="B33" s="8">
        <v>0.35125000000000001</v>
      </c>
      <c r="C33" s="8">
        <v>0.36</v>
      </c>
      <c r="D33" s="8">
        <v>18</v>
      </c>
      <c r="E33" s="8">
        <v>18</v>
      </c>
      <c r="F33" s="8">
        <v>0.34249999999999997</v>
      </c>
      <c r="G33" s="8">
        <v>0</v>
      </c>
      <c r="H33" s="8">
        <v>26</v>
      </c>
      <c r="I33" s="8">
        <v>18</v>
      </c>
    </row>
    <row r="34" spans="1:9" x14ac:dyDescent="0.2">
      <c r="A34">
        <v>815854164</v>
      </c>
      <c r="B34" s="8">
        <v>0.49</v>
      </c>
      <c r="C34" s="8">
        <v>0.62</v>
      </c>
      <c r="D34" s="8">
        <v>31</v>
      </c>
      <c r="E34" s="8">
        <v>31</v>
      </c>
      <c r="F34" s="8">
        <v>0.36</v>
      </c>
      <c r="G34" s="8">
        <v>0</v>
      </c>
      <c r="H34" s="8">
        <v>8</v>
      </c>
      <c r="I34" s="8">
        <v>31</v>
      </c>
    </row>
    <row r="35" spans="1:9" x14ac:dyDescent="0.2">
      <c r="A35">
        <v>315378369</v>
      </c>
      <c r="B35" s="8">
        <v>0.32624999999999998</v>
      </c>
      <c r="C35" s="8">
        <v>0.36</v>
      </c>
      <c r="D35" s="8">
        <v>18</v>
      </c>
      <c r="E35" s="8">
        <v>18</v>
      </c>
      <c r="F35" s="8">
        <v>0.29249999999999998</v>
      </c>
      <c r="G35" s="8">
        <v>2</v>
      </c>
      <c r="H35" s="8">
        <v>2</v>
      </c>
      <c r="I35" s="8">
        <v>18</v>
      </c>
    </row>
    <row r="36" spans="1:9" x14ac:dyDescent="0.2">
      <c r="A36">
        <v>564410540</v>
      </c>
      <c r="B36" s="8">
        <v>0.69937499999999997</v>
      </c>
      <c r="C36" s="8">
        <v>0.72</v>
      </c>
      <c r="D36" s="8">
        <v>36</v>
      </c>
      <c r="E36" s="8">
        <v>36</v>
      </c>
      <c r="F36" s="8">
        <v>0.67874999999999996</v>
      </c>
      <c r="G36" s="8">
        <v>2</v>
      </c>
      <c r="H36" s="8">
        <v>35</v>
      </c>
      <c r="I36" s="8">
        <v>36</v>
      </c>
    </row>
    <row r="37" spans="1:9" x14ac:dyDescent="0.2">
      <c r="A37">
        <v>126539887</v>
      </c>
      <c r="B37" s="8">
        <v>0.62124999999999997</v>
      </c>
      <c r="C37" s="8">
        <v>0.62</v>
      </c>
      <c r="D37" s="8">
        <v>31</v>
      </c>
      <c r="E37" s="8">
        <v>31</v>
      </c>
      <c r="F37" s="8">
        <v>0.62249999999999994</v>
      </c>
      <c r="G37" s="8">
        <v>3</v>
      </c>
      <c r="H37" s="8">
        <v>26</v>
      </c>
      <c r="I37" s="8">
        <v>31</v>
      </c>
    </row>
    <row r="38" spans="1:9" x14ac:dyDescent="0.2">
      <c r="A38">
        <v>563937624</v>
      </c>
      <c r="B38" s="8">
        <v>0.33750000000000002</v>
      </c>
      <c r="C38" s="8">
        <v>0.2</v>
      </c>
      <c r="D38" s="8">
        <v>10</v>
      </c>
      <c r="E38" s="8">
        <v>10</v>
      </c>
      <c r="F38" s="8">
        <v>0.47499999999999998</v>
      </c>
      <c r="G38" s="8">
        <v>4</v>
      </c>
      <c r="H38" s="8">
        <v>28</v>
      </c>
      <c r="I38" s="8">
        <v>10</v>
      </c>
    </row>
    <row r="39" spans="1:9" x14ac:dyDescent="0.2">
      <c r="A39">
        <v>684291511</v>
      </c>
      <c r="B39" s="8">
        <v>0.49</v>
      </c>
      <c r="C39" s="8">
        <v>0.52</v>
      </c>
      <c r="D39" s="8">
        <v>26</v>
      </c>
      <c r="E39" s="8">
        <v>26</v>
      </c>
      <c r="F39" s="8">
        <v>0.45999999999999996</v>
      </c>
      <c r="G39" s="8">
        <v>2</v>
      </c>
      <c r="H39" s="8">
        <v>16</v>
      </c>
      <c r="I39" s="8">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O1051"/>
  <sheetViews>
    <sheetView tabSelected="1" workbookViewId="0">
      <pane ySplit="1" topLeftCell="A2" activePane="bottomLeft" state="frozen"/>
      <selection pane="bottomLeft" activeCell="D15" sqref="D15"/>
    </sheetView>
  </sheetViews>
  <sheetFormatPr baseColWidth="10" defaultColWidth="8.83203125" defaultRowHeight="15" x14ac:dyDescent="0.2"/>
  <cols>
    <col min="1" max="1" width="10" bestFit="1" customWidth="1"/>
    <col min="2" max="3" width="13" customWidth="1"/>
    <col min="4" max="4" width="14" bestFit="1" customWidth="1"/>
    <col min="5" max="5" width="5.83203125" bestFit="1" customWidth="1"/>
    <col min="6" max="6" width="11.6640625" bestFit="1" customWidth="1"/>
    <col min="7" max="7" width="8.33203125" bestFit="1" customWidth="1"/>
    <col min="8" max="8" width="12.83203125" bestFit="1" customWidth="1"/>
    <col min="9" max="9" width="20.6640625" bestFit="1" customWidth="1"/>
    <col min="10" max="10" width="21.1640625" bestFit="1" customWidth="1"/>
    <col min="11" max="11" width="7.1640625" bestFit="1" customWidth="1"/>
    <col min="12" max="12" width="4.83203125" bestFit="1" customWidth="1"/>
    <col min="13" max="13" width="7" bestFit="1" customWidth="1"/>
    <col min="14" max="14" width="7.1640625" bestFit="1" customWidth="1"/>
    <col min="15" max="15" width="7.1640625" style="3" bestFit="1" customWidth="1"/>
  </cols>
  <sheetData>
    <row r="1" spans="1:14" x14ac:dyDescent="0.2">
      <c r="B1" t="s">
        <v>2</v>
      </c>
      <c r="C1" t="s">
        <v>3</v>
      </c>
      <c r="D1" t="s">
        <v>466</v>
      </c>
      <c r="E1" t="s">
        <v>19</v>
      </c>
      <c r="F1" t="s">
        <v>20</v>
      </c>
      <c r="G1" t="s">
        <v>22</v>
      </c>
      <c r="H1" t="s">
        <v>18</v>
      </c>
      <c r="I1" t="s">
        <v>23</v>
      </c>
      <c r="J1" t="s">
        <v>24</v>
      </c>
      <c r="K1" t="s">
        <v>25</v>
      </c>
      <c r="L1" t="s">
        <v>29</v>
      </c>
      <c r="M1" t="s">
        <v>30</v>
      </c>
      <c r="N1" t="s">
        <v>39</v>
      </c>
    </row>
    <row r="2" spans="1:14" x14ac:dyDescent="0.2">
      <c r="A2">
        <v>112085131</v>
      </c>
      <c r="B2" t="s">
        <v>478</v>
      </c>
      <c r="C2" t="s">
        <v>1008</v>
      </c>
      <c r="D2" t="s">
        <v>546</v>
      </c>
      <c r="E2" s="8">
        <v>0.15333333333333332</v>
      </c>
      <c r="F2" t="s">
        <v>487</v>
      </c>
      <c r="G2">
        <v>211</v>
      </c>
      <c r="H2" t="s">
        <v>35</v>
      </c>
      <c r="I2" t="s">
        <v>36</v>
      </c>
      <c r="J2" t="s">
        <v>37</v>
      </c>
      <c r="K2" t="s">
        <v>28</v>
      </c>
      <c r="L2">
        <v>2017</v>
      </c>
      <c r="M2" t="s">
        <v>38</v>
      </c>
      <c r="N2" t="s">
        <v>32</v>
      </c>
    </row>
    <row r="3" spans="1:14" x14ac:dyDescent="0.2">
      <c r="A3">
        <v>112085131</v>
      </c>
      <c r="B3" t="s">
        <v>478</v>
      </c>
      <c r="C3" t="s">
        <v>247</v>
      </c>
      <c r="D3" t="s">
        <v>546</v>
      </c>
      <c r="E3" s="8">
        <v>0.19800000000000001</v>
      </c>
      <c r="F3" t="s">
        <v>487</v>
      </c>
      <c r="G3">
        <v>211</v>
      </c>
      <c r="H3" t="s">
        <v>35</v>
      </c>
      <c r="I3" t="s">
        <v>36</v>
      </c>
      <c r="J3" t="s">
        <v>37</v>
      </c>
      <c r="K3" t="s">
        <v>28</v>
      </c>
      <c r="L3">
        <v>2017</v>
      </c>
      <c r="M3" t="s">
        <v>38</v>
      </c>
      <c r="N3" t="s">
        <v>32</v>
      </c>
    </row>
    <row r="4" spans="1:14" x14ac:dyDescent="0.2">
      <c r="A4">
        <v>112085131</v>
      </c>
      <c r="B4" t="s">
        <v>40</v>
      </c>
      <c r="C4" t="s">
        <v>1009</v>
      </c>
      <c r="D4" t="s">
        <v>560</v>
      </c>
      <c r="E4" s="8">
        <v>0.13</v>
      </c>
      <c r="F4" t="s">
        <v>487</v>
      </c>
      <c r="G4">
        <v>211</v>
      </c>
      <c r="H4" t="s">
        <v>35</v>
      </c>
      <c r="I4" t="s">
        <v>36</v>
      </c>
      <c r="J4" t="s">
        <v>37</v>
      </c>
      <c r="K4" t="s">
        <v>28</v>
      </c>
      <c r="L4">
        <v>2017</v>
      </c>
      <c r="M4" t="s">
        <v>38</v>
      </c>
      <c r="N4" t="s">
        <v>32</v>
      </c>
    </row>
    <row r="5" spans="1:14" x14ac:dyDescent="0.2">
      <c r="A5">
        <v>112085131</v>
      </c>
      <c r="B5" t="s">
        <v>40</v>
      </c>
      <c r="C5" t="s">
        <v>393</v>
      </c>
      <c r="D5" t="s">
        <v>560</v>
      </c>
      <c r="E5" s="8">
        <v>0.40666666666666668</v>
      </c>
      <c r="F5" t="s">
        <v>487</v>
      </c>
      <c r="G5">
        <v>211</v>
      </c>
      <c r="H5" t="s">
        <v>35</v>
      </c>
      <c r="I5" t="s">
        <v>36</v>
      </c>
      <c r="J5" t="s">
        <v>37</v>
      </c>
      <c r="K5" t="s">
        <v>28</v>
      </c>
      <c r="L5">
        <v>2017</v>
      </c>
      <c r="M5" t="s">
        <v>38</v>
      </c>
      <c r="N5" t="s">
        <v>32</v>
      </c>
    </row>
    <row r="6" spans="1:14" x14ac:dyDescent="0.2">
      <c r="A6">
        <v>112085131</v>
      </c>
      <c r="B6" t="s">
        <v>41</v>
      </c>
      <c r="C6" t="s">
        <v>212</v>
      </c>
      <c r="D6" t="s">
        <v>562</v>
      </c>
      <c r="E6" s="8">
        <v>0.14250000000000002</v>
      </c>
      <c r="F6" t="s">
        <v>487</v>
      </c>
      <c r="G6">
        <v>211</v>
      </c>
      <c r="H6" t="s">
        <v>35</v>
      </c>
      <c r="I6" t="s">
        <v>36</v>
      </c>
      <c r="J6" t="s">
        <v>37</v>
      </c>
      <c r="K6" t="s">
        <v>28</v>
      </c>
      <c r="L6">
        <v>2017</v>
      </c>
      <c r="M6" t="s">
        <v>38</v>
      </c>
      <c r="N6" t="s">
        <v>32</v>
      </c>
    </row>
    <row r="7" spans="1:14" x14ac:dyDescent="0.2">
      <c r="A7">
        <v>112085131</v>
      </c>
      <c r="B7" t="s">
        <v>41</v>
      </c>
      <c r="C7" t="s">
        <v>1010</v>
      </c>
      <c r="D7" t="s">
        <v>562</v>
      </c>
      <c r="E7" s="8">
        <v>0.28500000000000003</v>
      </c>
      <c r="F7" t="s">
        <v>487</v>
      </c>
      <c r="G7">
        <v>211</v>
      </c>
      <c r="H7" t="s">
        <v>35</v>
      </c>
      <c r="I7" t="s">
        <v>36</v>
      </c>
      <c r="J7" t="s">
        <v>37</v>
      </c>
      <c r="K7" t="s">
        <v>28</v>
      </c>
      <c r="L7">
        <v>2017</v>
      </c>
      <c r="M7" t="s">
        <v>38</v>
      </c>
      <c r="N7" t="s">
        <v>32</v>
      </c>
    </row>
    <row r="8" spans="1:14" x14ac:dyDescent="0.2">
      <c r="A8">
        <v>112085131</v>
      </c>
      <c r="B8" t="s">
        <v>41</v>
      </c>
      <c r="C8" t="s">
        <v>221</v>
      </c>
      <c r="D8" t="s">
        <v>563</v>
      </c>
      <c r="E8" s="8">
        <v>0.12000000000000001</v>
      </c>
      <c r="F8" t="s">
        <v>487</v>
      </c>
      <c r="G8">
        <v>211</v>
      </c>
      <c r="H8" t="s">
        <v>35</v>
      </c>
      <c r="I8" t="s">
        <v>36</v>
      </c>
      <c r="J8" t="s">
        <v>37</v>
      </c>
      <c r="K8" t="s">
        <v>28</v>
      </c>
      <c r="L8">
        <v>2017</v>
      </c>
      <c r="M8" t="s">
        <v>38</v>
      </c>
      <c r="N8" t="s">
        <v>32</v>
      </c>
    </row>
    <row r="9" spans="1:14" x14ac:dyDescent="0.2">
      <c r="A9">
        <v>112085131</v>
      </c>
      <c r="B9" t="s">
        <v>42</v>
      </c>
      <c r="C9" t="s">
        <v>159</v>
      </c>
      <c r="D9" t="s">
        <v>564</v>
      </c>
      <c r="E9" s="8">
        <v>0.18</v>
      </c>
      <c r="F9" t="s">
        <v>487</v>
      </c>
      <c r="G9">
        <v>211</v>
      </c>
      <c r="H9" t="s">
        <v>35</v>
      </c>
      <c r="I9" t="s">
        <v>36</v>
      </c>
      <c r="J9" t="s">
        <v>37</v>
      </c>
      <c r="K9" t="s">
        <v>28</v>
      </c>
      <c r="L9">
        <v>2017</v>
      </c>
      <c r="M9" t="s">
        <v>38</v>
      </c>
      <c r="N9" t="s">
        <v>32</v>
      </c>
    </row>
    <row r="10" spans="1:14" x14ac:dyDescent="0.2">
      <c r="A10">
        <v>112085131</v>
      </c>
      <c r="B10" t="s">
        <v>42</v>
      </c>
      <c r="C10" t="s">
        <v>135</v>
      </c>
      <c r="D10" t="s">
        <v>565</v>
      </c>
      <c r="E10" s="8">
        <v>0.13</v>
      </c>
      <c r="F10" t="s">
        <v>487</v>
      </c>
      <c r="G10">
        <v>211</v>
      </c>
      <c r="H10" t="s">
        <v>35</v>
      </c>
      <c r="I10" t="s">
        <v>36</v>
      </c>
      <c r="J10" t="s">
        <v>37</v>
      </c>
      <c r="K10" t="s">
        <v>28</v>
      </c>
      <c r="L10">
        <v>2017</v>
      </c>
      <c r="M10" t="s">
        <v>38</v>
      </c>
      <c r="N10" t="s">
        <v>32</v>
      </c>
    </row>
    <row r="11" spans="1:14" x14ac:dyDescent="0.2">
      <c r="A11">
        <v>112085131</v>
      </c>
      <c r="B11" t="s">
        <v>42</v>
      </c>
      <c r="C11" t="s">
        <v>56</v>
      </c>
      <c r="D11" t="s">
        <v>565</v>
      </c>
      <c r="E11" s="8">
        <v>0.13</v>
      </c>
      <c r="F11" t="s">
        <v>487</v>
      </c>
      <c r="G11">
        <v>211</v>
      </c>
      <c r="H11" t="s">
        <v>35</v>
      </c>
      <c r="I11" t="s">
        <v>36</v>
      </c>
      <c r="J11" t="s">
        <v>37</v>
      </c>
      <c r="K11" t="s">
        <v>28</v>
      </c>
      <c r="L11">
        <v>2017</v>
      </c>
      <c r="M11" t="s">
        <v>38</v>
      </c>
      <c r="N11" t="s">
        <v>32</v>
      </c>
    </row>
    <row r="12" spans="1:14" x14ac:dyDescent="0.2">
      <c r="A12">
        <v>112085131</v>
      </c>
      <c r="B12" t="s">
        <v>42</v>
      </c>
      <c r="C12" t="s">
        <v>155</v>
      </c>
      <c r="D12" t="s">
        <v>564</v>
      </c>
      <c r="E12" s="8">
        <v>0.18</v>
      </c>
      <c r="F12" t="s">
        <v>487</v>
      </c>
      <c r="G12">
        <v>211</v>
      </c>
      <c r="H12" t="s">
        <v>35</v>
      </c>
      <c r="I12" t="s">
        <v>36</v>
      </c>
      <c r="J12" t="s">
        <v>37</v>
      </c>
      <c r="K12" t="s">
        <v>28</v>
      </c>
      <c r="L12">
        <v>2017</v>
      </c>
      <c r="M12" t="s">
        <v>38</v>
      </c>
      <c r="N12" t="s">
        <v>32</v>
      </c>
    </row>
    <row r="13" spans="1:14" x14ac:dyDescent="0.2">
      <c r="A13">
        <v>112085131</v>
      </c>
      <c r="B13" t="s">
        <v>479</v>
      </c>
      <c r="C13" t="s">
        <v>57</v>
      </c>
      <c r="D13" t="s">
        <v>566</v>
      </c>
      <c r="E13" s="8">
        <v>0.2794444444444445</v>
      </c>
      <c r="F13" t="s">
        <v>487</v>
      </c>
      <c r="G13">
        <v>211</v>
      </c>
      <c r="H13" t="s">
        <v>35</v>
      </c>
      <c r="I13" t="s">
        <v>36</v>
      </c>
      <c r="J13" t="s">
        <v>37</v>
      </c>
      <c r="K13" t="s">
        <v>28</v>
      </c>
      <c r="L13">
        <v>2017</v>
      </c>
      <c r="M13" t="s">
        <v>38</v>
      </c>
      <c r="N13" t="s">
        <v>32</v>
      </c>
    </row>
    <row r="14" spans="1:14" x14ac:dyDescent="0.2">
      <c r="A14">
        <v>112085131</v>
      </c>
      <c r="B14" t="s">
        <v>479</v>
      </c>
      <c r="C14" t="s">
        <v>58</v>
      </c>
      <c r="D14" t="s">
        <v>567</v>
      </c>
      <c r="E14" s="8">
        <v>0.18</v>
      </c>
      <c r="F14" t="s">
        <v>487</v>
      </c>
      <c r="G14">
        <v>211</v>
      </c>
      <c r="H14" t="s">
        <v>35</v>
      </c>
      <c r="I14" t="s">
        <v>36</v>
      </c>
      <c r="J14" t="s">
        <v>37</v>
      </c>
      <c r="K14" t="s">
        <v>28</v>
      </c>
      <c r="L14">
        <v>2017</v>
      </c>
      <c r="M14" t="s">
        <v>38</v>
      </c>
      <c r="N14" t="s">
        <v>32</v>
      </c>
    </row>
    <row r="15" spans="1:14" x14ac:dyDescent="0.2">
      <c r="A15">
        <v>112085131</v>
      </c>
      <c r="B15" t="s">
        <v>480</v>
      </c>
      <c r="C15" t="s">
        <v>456</v>
      </c>
      <c r="D15" t="s">
        <v>568</v>
      </c>
      <c r="E15" s="8">
        <v>0.14666666666666667</v>
      </c>
      <c r="F15" t="s">
        <v>487</v>
      </c>
      <c r="G15">
        <v>211</v>
      </c>
      <c r="H15" t="s">
        <v>35</v>
      </c>
      <c r="I15" t="s">
        <v>36</v>
      </c>
      <c r="J15" t="s">
        <v>37</v>
      </c>
      <c r="K15" t="s">
        <v>28</v>
      </c>
      <c r="L15">
        <v>2017</v>
      </c>
      <c r="M15" t="s">
        <v>38</v>
      </c>
      <c r="N15" t="s">
        <v>32</v>
      </c>
    </row>
    <row r="16" spans="1:14" x14ac:dyDescent="0.2">
      <c r="A16">
        <v>112085131</v>
      </c>
      <c r="B16" t="s">
        <v>480</v>
      </c>
      <c r="C16" t="s">
        <v>452</v>
      </c>
      <c r="D16" t="s">
        <v>568</v>
      </c>
      <c r="E16" s="8">
        <v>0.14666666666666667</v>
      </c>
      <c r="F16" t="s">
        <v>487</v>
      </c>
      <c r="G16">
        <v>211</v>
      </c>
      <c r="H16" t="s">
        <v>35</v>
      </c>
      <c r="I16" t="s">
        <v>36</v>
      </c>
      <c r="J16" t="s">
        <v>37</v>
      </c>
      <c r="K16" t="s">
        <v>28</v>
      </c>
      <c r="L16">
        <v>2017</v>
      </c>
      <c r="M16" t="s">
        <v>38</v>
      </c>
      <c r="N16" t="s">
        <v>32</v>
      </c>
    </row>
    <row r="17" spans="1:14" x14ac:dyDescent="0.2">
      <c r="A17">
        <v>112085131</v>
      </c>
      <c r="B17" t="s">
        <v>481</v>
      </c>
      <c r="C17" t="s">
        <v>533</v>
      </c>
      <c r="D17" t="s">
        <v>569</v>
      </c>
      <c r="E17" s="8">
        <v>0.18</v>
      </c>
      <c r="F17" t="s">
        <v>487</v>
      </c>
      <c r="G17">
        <v>211</v>
      </c>
      <c r="H17" t="s">
        <v>35</v>
      </c>
      <c r="I17" t="s">
        <v>36</v>
      </c>
      <c r="J17" t="s">
        <v>37</v>
      </c>
      <c r="K17" t="s">
        <v>28</v>
      </c>
      <c r="L17">
        <v>2017</v>
      </c>
      <c r="M17" t="s">
        <v>38</v>
      </c>
      <c r="N17" t="s">
        <v>32</v>
      </c>
    </row>
    <row r="18" spans="1:14" x14ac:dyDescent="0.2">
      <c r="A18">
        <v>112085131</v>
      </c>
      <c r="B18" t="s">
        <v>481</v>
      </c>
      <c r="C18" t="s">
        <v>106</v>
      </c>
      <c r="D18" t="s">
        <v>569</v>
      </c>
      <c r="E18" s="8">
        <v>0.18</v>
      </c>
      <c r="F18" t="s">
        <v>487</v>
      </c>
      <c r="G18">
        <v>211</v>
      </c>
      <c r="H18" t="s">
        <v>35</v>
      </c>
      <c r="I18" t="s">
        <v>36</v>
      </c>
      <c r="J18" t="s">
        <v>37</v>
      </c>
      <c r="K18" t="s">
        <v>28</v>
      </c>
      <c r="L18">
        <v>2017</v>
      </c>
      <c r="M18" t="s">
        <v>38</v>
      </c>
      <c r="N18" t="s">
        <v>32</v>
      </c>
    </row>
    <row r="19" spans="1:14" x14ac:dyDescent="0.2">
      <c r="A19">
        <v>112085131</v>
      </c>
      <c r="B19" t="s">
        <v>43</v>
      </c>
      <c r="C19" t="s">
        <v>59</v>
      </c>
      <c r="D19" t="s">
        <v>570</v>
      </c>
      <c r="E19" s="8">
        <v>0.16</v>
      </c>
      <c r="F19" t="s">
        <v>487</v>
      </c>
      <c r="G19">
        <v>211</v>
      </c>
      <c r="H19" t="s">
        <v>35</v>
      </c>
      <c r="I19" t="s">
        <v>36</v>
      </c>
      <c r="J19" t="s">
        <v>37</v>
      </c>
      <c r="K19" t="s">
        <v>28</v>
      </c>
      <c r="L19">
        <v>2017</v>
      </c>
      <c r="M19" t="s">
        <v>38</v>
      </c>
      <c r="N19" t="s">
        <v>32</v>
      </c>
    </row>
    <row r="20" spans="1:14" x14ac:dyDescent="0.2">
      <c r="A20">
        <v>112085131</v>
      </c>
      <c r="B20" t="s">
        <v>482</v>
      </c>
      <c r="C20" t="s">
        <v>436</v>
      </c>
      <c r="D20" t="s">
        <v>561</v>
      </c>
      <c r="E20" s="8">
        <v>0.25642857142857139</v>
      </c>
      <c r="F20" t="s">
        <v>487</v>
      </c>
      <c r="G20">
        <v>211</v>
      </c>
      <c r="H20" t="s">
        <v>35</v>
      </c>
      <c r="I20" t="s">
        <v>36</v>
      </c>
      <c r="J20" t="s">
        <v>37</v>
      </c>
      <c r="K20" t="s">
        <v>28</v>
      </c>
      <c r="L20">
        <v>2017</v>
      </c>
      <c r="M20" t="s">
        <v>38</v>
      </c>
      <c r="N20" t="s">
        <v>32</v>
      </c>
    </row>
    <row r="21" spans="1:14" x14ac:dyDescent="0.2">
      <c r="A21">
        <v>112085131</v>
      </c>
      <c r="B21" t="s">
        <v>482</v>
      </c>
      <c r="C21" t="s">
        <v>436</v>
      </c>
      <c r="D21" t="s">
        <v>561</v>
      </c>
      <c r="E21" s="8">
        <v>0.184</v>
      </c>
      <c r="F21" t="s">
        <v>487</v>
      </c>
      <c r="G21">
        <v>211</v>
      </c>
      <c r="H21" t="s">
        <v>35</v>
      </c>
      <c r="I21" t="s">
        <v>36</v>
      </c>
      <c r="J21" t="s">
        <v>37</v>
      </c>
      <c r="K21" t="s">
        <v>28</v>
      </c>
      <c r="L21">
        <v>2017</v>
      </c>
      <c r="M21" t="s">
        <v>38</v>
      </c>
      <c r="N21" t="s">
        <v>32</v>
      </c>
    </row>
    <row r="22" spans="1:14" x14ac:dyDescent="0.2">
      <c r="A22">
        <v>112085131</v>
      </c>
      <c r="B22" t="s">
        <v>483</v>
      </c>
      <c r="C22" t="s">
        <v>197</v>
      </c>
      <c r="D22" t="s">
        <v>556</v>
      </c>
      <c r="E22" s="8">
        <v>0.13</v>
      </c>
      <c r="F22" t="s">
        <v>487</v>
      </c>
      <c r="G22">
        <v>211</v>
      </c>
      <c r="H22" t="s">
        <v>35</v>
      </c>
      <c r="I22" t="s">
        <v>36</v>
      </c>
      <c r="J22" t="s">
        <v>37</v>
      </c>
      <c r="K22" t="s">
        <v>28</v>
      </c>
      <c r="L22">
        <v>2017</v>
      </c>
      <c r="M22" t="s">
        <v>38</v>
      </c>
      <c r="N22" t="s">
        <v>32</v>
      </c>
    </row>
    <row r="23" spans="1:14" x14ac:dyDescent="0.2">
      <c r="A23">
        <v>112085131</v>
      </c>
      <c r="B23" t="s">
        <v>483</v>
      </c>
      <c r="C23" t="s">
        <v>196</v>
      </c>
      <c r="D23" t="s">
        <v>557</v>
      </c>
      <c r="E23" s="8">
        <v>0.18</v>
      </c>
      <c r="F23" t="s">
        <v>487</v>
      </c>
      <c r="G23">
        <v>211</v>
      </c>
      <c r="H23" t="s">
        <v>35</v>
      </c>
      <c r="I23" t="s">
        <v>36</v>
      </c>
      <c r="J23" t="s">
        <v>37</v>
      </c>
      <c r="K23" t="s">
        <v>28</v>
      </c>
      <c r="L23">
        <v>2017</v>
      </c>
      <c r="M23" t="s">
        <v>38</v>
      </c>
      <c r="N23" t="s">
        <v>32</v>
      </c>
    </row>
    <row r="24" spans="1:14" x14ac:dyDescent="0.2">
      <c r="A24">
        <v>112085131</v>
      </c>
      <c r="B24" t="s">
        <v>483</v>
      </c>
      <c r="C24" t="s">
        <v>197</v>
      </c>
      <c r="D24" t="s">
        <v>556</v>
      </c>
      <c r="E24" s="8">
        <v>0.14666666666666667</v>
      </c>
      <c r="F24" t="s">
        <v>487</v>
      </c>
      <c r="G24">
        <v>211</v>
      </c>
      <c r="H24" t="s">
        <v>35</v>
      </c>
      <c r="I24" t="s">
        <v>36</v>
      </c>
      <c r="J24" t="s">
        <v>37</v>
      </c>
      <c r="K24" t="s">
        <v>28</v>
      </c>
      <c r="L24">
        <v>2017</v>
      </c>
      <c r="M24" t="s">
        <v>38</v>
      </c>
      <c r="N24" t="s">
        <v>32</v>
      </c>
    </row>
    <row r="25" spans="1:14" x14ac:dyDescent="0.2">
      <c r="A25">
        <v>112085131</v>
      </c>
      <c r="B25" t="s">
        <v>483</v>
      </c>
      <c r="C25" t="s">
        <v>196</v>
      </c>
      <c r="D25" t="s">
        <v>557</v>
      </c>
      <c r="E25" s="8">
        <v>0.14400000000000002</v>
      </c>
      <c r="F25" t="s">
        <v>487</v>
      </c>
      <c r="G25">
        <v>211</v>
      </c>
      <c r="H25" t="s">
        <v>35</v>
      </c>
      <c r="I25" t="s">
        <v>36</v>
      </c>
      <c r="J25" t="s">
        <v>37</v>
      </c>
      <c r="K25" t="s">
        <v>28</v>
      </c>
      <c r="L25">
        <v>2017</v>
      </c>
      <c r="M25" t="s">
        <v>38</v>
      </c>
      <c r="N25" t="s">
        <v>32</v>
      </c>
    </row>
    <row r="26" spans="1:14" x14ac:dyDescent="0.2">
      <c r="A26">
        <v>112085131</v>
      </c>
      <c r="B26" t="s">
        <v>483</v>
      </c>
      <c r="C26" t="s">
        <v>197</v>
      </c>
      <c r="D26" t="s">
        <v>556</v>
      </c>
      <c r="E26" s="8">
        <v>0.12000000000000001</v>
      </c>
      <c r="F26" t="s">
        <v>487</v>
      </c>
      <c r="G26">
        <v>211</v>
      </c>
      <c r="H26" t="s">
        <v>35</v>
      </c>
      <c r="I26" t="s">
        <v>36</v>
      </c>
      <c r="J26" t="s">
        <v>37</v>
      </c>
      <c r="K26" t="s">
        <v>28</v>
      </c>
      <c r="L26">
        <v>2017</v>
      </c>
      <c r="M26" t="s">
        <v>38</v>
      </c>
      <c r="N26" t="s">
        <v>32</v>
      </c>
    </row>
    <row r="27" spans="1:14" x14ac:dyDescent="0.2">
      <c r="A27">
        <v>112085131</v>
      </c>
      <c r="B27" t="s">
        <v>484</v>
      </c>
      <c r="C27" t="s">
        <v>497</v>
      </c>
      <c r="D27" t="s">
        <v>558</v>
      </c>
      <c r="E27" s="8">
        <v>0.14666666666666667</v>
      </c>
      <c r="F27" t="s">
        <v>487</v>
      </c>
      <c r="G27">
        <v>211</v>
      </c>
      <c r="H27" t="s">
        <v>35</v>
      </c>
      <c r="I27" t="s">
        <v>36</v>
      </c>
      <c r="J27" t="s">
        <v>37</v>
      </c>
      <c r="K27" t="s">
        <v>28</v>
      </c>
      <c r="L27">
        <v>2017</v>
      </c>
      <c r="M27" t="s">
        <v>38</v>
      </c>
      <c r="N27" t="s">
        <v>32</v>
      </c>
    </row>
    <row r="28" spans="1:14" x14ac:dyDescent="0.2">
      <c r="A28">
        <v>112085131</v>
      </c>
      <c r="B28" t="s">
        <v>484</v>
      </c>
      <c r="C28" t="s">
        <v>500</v>
      </c>
      <c r="D28" t="s">
        <v>558</v>
      </c>
      <c r="E28" s="8">
        <v>0.27</v>
      </c>
      <c r="F28" t="s">
        <v>487</v>
      </c>
      <c r="G28">
        <v>211</v>
      </c>
      <c r="H28" t="s">
        <v>35</v>
      </c>
      <c r="I28" t="s">
        <v>36</v>
      </c>
      <c r="J28" t="s">
        <v>37</v>
      </c>
      <c r="K28" t="s">
        <v>28</v>
      </c>
      <c r="L28">
        <v>2017</v>
      </c>
      <c r="M28" t="s">
        <v>38</v>
      </c>
      <c r="N28" t="s">
        <v>32</v>
      </c>
    </row>
    <row r="29" spans="1:14" x14ac:dyDescent="0.2">
      <c r="A29">
        <v>112085131</v>
      </c>
      <c r="B29" t="s">
        <v>484</v>
      </c>
      <c r="C29" t="s">
        <v>501</v>
      </c>
      <c r="D29" t="s">
        <v>558</v>
      </c>
      <c r="E29" s="8">
        <v>0.185</v>
      </c>
      <c r="F29" t="s">
        <v>487</v>
      </c>
      <c r="G29">
        <v>211</v>
      </c>
      <c r="H29" t="s">
        <v>35</v>
      </c>
      <c r="I29" t="s">
        <v>36</v>
      </c>
      <c r="J29" t="s">
        <v>37</v>
      </c>
      <c r="K29" t="s">
        <v>28</v>
      </c>
      <c r="L29">
        <v>2017</v>
      </c>
      <c r="M29" t="s">
        <v>38</v>
      </c>
      <c r="N29" t="s">
        <v>32</v>
      </c>
    </row>
    <row r="30" spans="1:14" x14ac:dyDescent="0.2">
      <c r="A30">
        <v>112085131</v>
      </c>
      <c r="B30" t="s">
        <v>485</v>
      </c>
      <c r="C30" t="s">
        <v>346</v>
      </c>
      <c r="D30" t="s">
        <v>559</v>
      </c>
      <c r="E30" s="8">
        <v>0.18</v>
      </c>
      <c r="F30" t="s">
        <v>487</v>
      </c>
      <c r="G30">
        <v>211</v>
      </c>
      <c r="H30" t="s">
        <v>35</v>
      </c>
      <c r="I30" t="s">
        <v>36</v>
      </c>
      <c r="J30" t="s">
        <v>37</v>
      </c>
      <c r="K30" t="s">
        <v>28</v>
      </c>
      <c r="L30">
        <v>2017</v>
      </c>
      <c r="M30" t="s">
        <v>38</v>
      </c>
      <c r="N30" t="s">
        <v>32</v>
      </c>
    </row>
    <row r="31" spans="1:14" x14ac:dyDescent="0.2">
      <c r="A31">
        <v>112085131</v>
      </c>
      <c r="B31" t="s">
        <v>485</v>
      </c>
      <c r="C31" t="s">
        <v>342</v>
      </c>
      <c r="D31" t="s">
        <v>559</v>
      </c>
      <c r="E31" s="8">
        <v>0.25874999999999998</v>
      </c>
      <c r="F31" t="s">
        <v>487</v>
      </c>
      <c r="G31">
        <v>211</v>
      </c>
      <c r="H31" t="s">
        <v>35</v>
      </c>
      <c r="I31" t="s">
        <v>36</v>
      </c>
      <c r="J31" t="s">
        <v>37</v>
      </c>
      <c r="K31" t="s">
        <v>28</v>
      </c>
      <c r="L31">
        <v>2017</v>
      </c>
      <c r="M31" t="s">
        <v>38</v>
      </c>
      <c r="N31" t="s">
        <v>32</v>
      </c>
    </row>
    <row r="32" spans="1:14" x14ac:dyDescent="0.2">
      <c r="A32">
        <v>126539887</v>
      </c>
      <c r="B32" t="s">
        <v>478</v>
      </c>
      <c r="C32" t="s">
        <v>276</v>
      </c>
      <c r="D32" t="s">
        <v>546</v>
      </c>
      <c r="E32" s="8">
        <v>0.28000000000000003</v>
      </c>
      <c r="F32" t="s">
        <v>487</v>
      </c>
      <c r="G32">
        <v>211</v>
      </c>
      <c r="H32" t="s">
        <v>35</v>
      </c>
      <c r="I32" t="s">
        <v>36</v>
      </c>
      <c r="J32" t="s">
        <v>37</v>
      </c>
      <c r="K32" t="s">
        <v>28</v>
      </c>
      <c r="L32">
        <v>2017</v>
      </c>
      <c r="M32" t="s">
        <v>38</v>
      </c>
      <c r="N32" t="s">
        <v>32</v>
      </c>
    </row>
    <row r="33" spans="1:14" x14ac:dyDescent="0.2">
      <c r="A33">
        <v>126539887</v>
      </c>
      <c r="B33" t="s">
        <v>478</v>
      </c>
      <c r="C33" t="s">
        <v>247</v>
      </c>
      <c r="D33" t="s">
        <v>546</v>
      </c>
      <c r="E33" s="8">
        <v>0.35400000000000004</v>
      </c>
      <c r="F33" t="s">
        <v>487</v>
      </c>
      <c r="G33">
        <v>211</v>
      </c>
      <c r="H33" t="s">
        <v>35</v>
      </c>
      <c r="I33" t="s">
        <v>36</v>
      </c>
      <c r="J33" t="s">
        <v>37</v>
      </c>
      <c r="K33" t="s">
        <v>28</v>
      </c>
      <c r="L33">
        <v>2017</v>
      </c>
      <c r="M33" t="s">
        <v>38</v>
      </c>
      <c r="N33" t="s">
        <v>32</v>
      </c>
    </row>
    <row r="34" spans="1:14" x14ac:dyDescent="0.2">
      <c r="A34">
        <v>126539887</v>
      </c>
      <c r="B34" t="s">
        <v>40</v>
      </c>
      <c r="C34" t="s">
        <v>435</v>
      </c>
      <c r="D34" t="s">
        <v>560</v>
      </c>
      <c r="E34" s="8">
        <v>7.0000000000000007E-2</v>
      </c>
      <c r="F34" t="s">
        <v>487</v>
      </c>
      <c r="G34">
        <v>211</v>
      </c>
      <c r="H34" t="s">
        <v>35</v>
      </c>
      <c r="I34" t="s">
        <v>36</v>
      </c>
      <c r="J34" t="s">
        <v>37</v>
      </c>
      <c r="K34" t="s">
        <v>28</v>
      </c>
      <c r="L34">
        <v>2017</v>
      </c>
      <c r="M34" t="s">
        <v>38</v>
      </c>
      <c r="N34" t="s">
        <v>32</v>
      </c>
    </row>
    <row r="35" spans="1:14" x14ac:dyDescent="0.2">
      <c r="A35">
        <v>126539887</v>
      </c>
      <c r="B35" t="s">
        <v>40</v>
      </c>
      <c r="C35" t="s">
        <v>393</v>
      </c>
      <c r="D35" t="s">
        <v>560</v>
      </c>
      <c r="E35" s="8">
        <v>0.57000000000000006</v>
      </c>
      <c r="F35" t="s">
        <v>487</v>
      </c>
      <c r="G35">
        <v>211</v>
      </c>
      <c r="H35" t="s">
        <v>35</v>
      </c>
      <c r="I35" t="s">
        <v>36</v>
      </c>
      <c r="J35" t="s">
        <v>37</v>
      </c>
      <c r="K35" t="s">
        <v>28</v>
      </c>
      <c r="L35">
        <v>2017</v>
      </c>
      <c r="M35" t="s">
        <v>38</v>
      </c>
      <c r="N35" t="s">
        <v>32</v>
      </c>
    </row>
    <row r="36" spans="1:14" x14ac:dyDescent="0.2">
      <c r="A36">
        <v>126539887</v>
      </c>
      <c r="B36" t="s">
        <v>41</v>
      </c>
      <c r="C36" t="s">
        <v>212</v>
      </c>
      <c r="D36" t="s">
        <v>562</v>
      </c>
      <c r="E36" s="8">
        <v>0.20750000000000002</v>
      </c>
      <c r="F36" t="s">
        <v>487</v>
      </c>
      <c r="G36">
        <v>211</v>
      </c>
      <c r="H36" t="s">
        <v>35</v>
      </c>
      <c r="I36" t="s">
        <v>36</v>
      </c>
      <c r="J36" t="s">
        <v>37</v>
      </c>
      <c r="K36" t="s">
        <v>28</v>
      </c>
      <c r="L36">
        <v>2017</v>
      </c>
      <c r="M36" t="s">
        <v>38</v>
      </c>
      <c r="N36" t="s">
        <v>32</v>
      </c>
    </row>
    <row r="37" spans="1:14" x14ac:dyDescent="0.2">
      <c r="A37">
        <v>126539887</v>
      </c>
      <c r="B37" t="s">
        <v>41</v>
      </c>
      <c r="C37" t="s">
        <v>207</v>
      </c>
      <c r="D37" t="s">
        <v>562</v>
      </c>
      <c r="E37" s="8">
        <v>0.5033333333333333</v>
      </c>
      <c r="F37" t="s">
        <v>487</v>
      </c>
      <c r="G37">
        <v>211</v>
      </c>
      <c r="H37" t="s">
        <v>35</v>
      </c>
      <c r="I37" t="s">
        <v>36</v>
      </c>
      <c r="J37" t="s">
        <v>37</v>
      </c>
      <c r="K37" t="s">
        <v>28</v>
      </c>
      <c r="L37">
        <v>2017</v>
      </c>
      <c r="M37" t="s">
        <v>38</v>
      </c>
      <c r="N37" t="s">
        <v>32</v>
      </c>
    </row>
    <row r="38" spans="1:14" x14ac:dyDescent="0.2">
      <c r="A38">
        <v>126539887</v>
      </c>
      <c r="B38" t="s">
        <v>41</v>
      </c>
      <c r="C38" t="s">
        <v>221</v>
      </c>
      <c r="D38" t="s">
        <v>563</v>
      </c>
      <c r="E38" s="8">
        <v>0.61333333333333329</v>
      </c>
      <c r="F38" t="s">
        <v>487</v>
      </c>
      <c r="G38">
        <v>211</v>
      </c>
      <c r="H38" t="s">
        <v>35</v>
      </c>
      <c r="I38" t="s">
        <v>36</v>
      </c>
      <c r="J38" t="s">
        <v>37</v>
      </c>
      <c r="K38" t="s">
        <v>28</v>
      </c>
      <c r="L38">
        <v>2017</v>
      </c>
      <c r="M38" t="s">
        <v>38</v>
      </c>
      <c r="N38" t="s">
        <v>32</v>
      </c>
    </row>
    <row r="39" spans="1:14" x14ac:dyDescent="0.2">
      <c r="A39">
        <v>126539887</v>
      </c>
      <c r="B39" t="s">
        <v>42</v>
      </c>
      <c r="C39" t="s">
        <v>159</v>
      </c>
      <c r="D39" t="s">
        <v>564</v>
      </c>
      <c r="E39" s="8">
        <v>0.62</v>
      </c>
      <c r="F39" t="s">
        <v>487</v>
      </c>
      <c r="G39">
        <v>211</v>
      </c>
      <c r="H39" t="s">
        <v>35</v>
      </c>
      <c r="I39" t="s">
        <v>36</v>
      </c>
      <c r="J39" t="s">
        <v>37</v>
      </c>
      <c r="K39" t="s">
        <v>28</v>
      </c>
      <c r="L39">
        <v>2017</v>
      </c>
      <c r="M39" t="s">
        <v>38</v>
      </c>
      <c r="N39" t="s">
        <v>32</v>
      </c>
    </row>
    <row r="40" spans="1:14" x14ac:dyDescent="0.2">
      <c r="A40">
        <v>126539887</v>
      </c>
      <c r="B40" t="s">
        <v>42</v>
      </c>
      <c r="C40" t="s">
        <v>135</v>
      </c>
      <c r="D40" t="s">
        <v>565</v>
      </c>
      <c r="E40" s="8">
        <v>7.0000000000000007E-2</v>
      </c>
      <c r="F40" t="s">
        <v>487</v>
      </c>
      <c r="G40">
        <v>211</v>
      </c>
      <c r="H40" t="s">
        <v>35</v>
      </c>
      <c r="I40" t="s">
        <v>36</v>
      </c>
      <c r="J40" t="s">
        <v>37</v>
      </c>
      <c r="K40" t="s">
        <v>28</v>
      </c>
      <c r="L40">
        <v>2017</v>
      </c>
      <c r="M40" t="s">
        <v>38</v>
      </c>
      <c r="N40" t="s">
        <v>32</v>
      </c>
    </row>
    <row r="41" spans="1:14" x14ac:dyDescent="0.2">
      <c r="A41">
        <v>126539887</v>
      </c>
      <c r="B41" t="s">
        <v>42</v>
      </c>
      <c r="C41" t="s">
        <v>56</v>
      </c>
      <c r="D41" t="s">
        <v>565</v>
      </c>
      <c r="E41" s="8">
        <v>7.0000000000000007E-2</v>
      </c>
      <c r="F41" t="s">
        <v>487</v>
      </c>
      <c r="G41">
        <v>211</v>
      </c>
      <c r="H41" t="s">
        <v>35</v>
      </c>
      <c r="I41" t="s">
        <v>36</v>
      </c>
      <c r="J41" t="s">
        <v>37</v>
      </c>
      <c r="K41" t="s">
        <v>28</v>
      </c>
      <c r="L41">
        <v>2017</v>
      </c>
      <c r="M41" t="s">
        <v>38</v>
      </c>
      <c r="N41" t="s">
        <v>32</v>
      </c>
    </row>
    <row r="42" spans="1:14" x14ac:dyDescent="0.2">
      <c r="A42">
        <v>126539887</v>
      </c>
      <c r="B42" t="s">
        <v>42</v>
      </c>
      <c r="C42" t="s">
        <v>155</v>
      </c>
      <c r="D42" t="s">
        <v>564</v>
      </c>
      <c r="E42" s="8">
        <v>0.62</v>
      </c>
      <c r="F42" t="s">
        <v>487</v>
      </c>
      <c r="G42">
        <v>211</v>
      </c>
      <c r="H42" t="s">
        <v>35</v>
      </c>
      <c r="I42" t="s">
        <v>36</v>
      </c>
      <c r="J42" t="s">
        <v>37</v>
      </c>
      <c r="K42" t="s">
        <v>28</v>
      </c>
      <c r="L42">
        <v>2017</v>
      </c>
      <c r="M42" t="s">
        <v>38</v>
      </c>
      <c r="N42" t="s">
        <v>32</v>
      </c>
    </row>
    <row r="43" spans="1:14" x14ac:dyDescent="0.2">
      <c r="A43">
        <v>126539887</v>
      </c>
      <c r="B43" t="s">
        <v>479</v>
      </c>
      <c r="C43" t="s">
        <v>57</v>
      </c>
      <c r="D43" t="s">
        <v>566</v>
      </c>
      <c r="E43" s="8">
        <v>0.48222222222222222</v>
      </c>
      <c r="F43" t="s">
        <v>487</v>
      </c>
      <c r="G43">
        <v>211</v>
      </c>
      <c r="H43" t="s">
        <v>35</v>
      </c>
      <c r="I43" t="s">
        <v>36</v>
      </c>
      <c r="J43" t="s">
        <v>37</v>
      </c>
      <c r="K43" t="s">
        <v>28</v>
      </c>
      <c r="L43">
        <v>2017</v>
      </c>
      <c r="M43" t="s">
        <v>38</v>
      </c>
      <c r="N43" t="s">
        <v>32</v>
      </c>
    </row>
    <row r="44" spans="1:14" x14ac:dyDescent="0.2">
      <c r="A44">
        <v>126539887</v>
      </c>
      <c r="B44" t="s">
        <v>479</v>
      </c>
      <c r="C44" t="s">
        <v>58</v>
      </c>
      <c r="D44" t="s">
        <v>567</v>
      </c>
      <c r="E44" s="8">
        <v>0.62</v>
      </c>
      <c r="F44" t="s">
        <v>487</v>
      </c>
      <c r="G44">
        <v>211</v>
      </c>
      <c r="H44" t="s">
        <v>35</v>
      </c>
      <c r="I44" t="s">
        <v>36</v>
      </c>
      <c r="J44" t="s">
        <v>37</v>
      </c>
      <c r="K44" t="s">
        <v>28</v>
      </c>
      <c r="L44">
        <v>2017</v>
      </c>
      <c r="M44" t="s">
        <v>38</v>
      </c>
      <c r="N44" t="s">
        <v>32</v>
      </c>
    </row>
    <row r="45" spans="1:14" x14ac:dyDescent="0.2">
      <c r="A45">
        <v>126539887</v>
      </c>
      <c r="B45" t="s">
        <v>480</v>
      </c>
      <c r="C45" t="s">
        <v>456</v>
      </c>
      <c r="D45" t="s">
        <v>568</v>
      </c>
      <c r="E45" s="8">
        <v>0.25333333333333335</v>
      </c>
      <c r="F45" t="s">
        <v>487</v>
      </c>
      <c r="G45">
        <v>211</v>
      </c>
      <c r="H45" t="s">
        <v>35</v>
      </c>
      <c r="I45" t="s">
        <v>36</v>
      </c>
      <c r="J45" t="s">
        <v>37</v>
      </c>
      <c r="K45" t="s">
        <v>28</v>
      </c>
      <c r="L45">
        <v>2017</v>
      </c>
      <c r="M45" t="s">
        <v>38</v>
      </c>
      <c r="N45" t="s">
        <v>32</v>
      </c>
    </row>
    <row r="46" spans="1:14" x14ac:dyDescent="0.2">
      <c r="A46">
        <v>126539887</v>
      </c>
      <c r="B46" t="s">
        <v>480</v>
      </c>
      <c r="C46" t="s">
        <v>452</v>
      </c>
      <c r="D46" t="s">
        <v>568</v>
      </c>
      <c r="E46" s="8">
        <v>0.25333333333333335</v>
      </c>
      <c r="F46" t="s">
        <v>487</v>
      </c>
      <c r="G46">
        <v>211</v>
      </c>
      <c r="H46" t="s">
        <v>35</v>
      </c>
      <c r="I46" t="s">
        <v>36</v>
      </c>
      <c r="J46" t="s">
        <v>37</v>
      </c>
      <c r="K46" t="s">
        <v>28</v>
      </c>
      <c r="L46">
        <v>2017</v>
      </c>
      <c r="M46" t="s">
        <v>38</v>
      </c>
      <c r="N46" t="s">
        <v>32</v>
      </c>
    </row>
    <row r="47" spans="1:14" x14ac:dyDescent="0.2">
      <c r="A47">
        <v>126539887</v>
      </c>
      <c r="B47" t="s">
        <v>481</v>
      </c>
      <c r="C47" t="s">
        <v>533</v>
      </c>
      <c r="D47" t="s">
        <v>569</v>
      </c>
      <c r="E47" s="8">
        <v>0.62</v>
      </c>
      <c r="F47" t="s">
        <v>487</v>
      </c>
      <c r="G47">
        <v>211</v>
      </c>
      <c r="H47" t="s">
        <v>35</v>
      </c>
      <c r="I47" t="s">
        <v>36</v>
      </c>
      <c r="J47" t="s">
        <v>37</v>
      </c>
      <c r="K47" t="s">
        <v>28</v>
      </c>
      <c r="L47">
        <v>2017</v>
      </c>
      <c r="M47" t="s">
        <v>38</v>
      </c>
      <c r="N47" t="s">
        <v>32</v>
      </c>
    </row>
    <row r="48" spans="1:14" x14ac:dyDescent="0.2">
      <c r="A48">
        <v>126539887</v>
      </c>
      <c r="B48" t="s">
        <v>481</v>
      </c>
      <c r="C48" t="s">
        <v>106</v>
      </c>
      <c r="D48" t="s">
        <v>569</v>
      </c>
      <c r="E48" s="8">
        <v>0.62</v>
      </c>
      <c r="F48" t="s">
        <v>487</v>
      </c>
      <c r="G48">
        <v>211</v>
      </c>
      <c r="H48" t="s">
        <v>35</v>
      </c>
      <c r="I48" t="s">
        <v>36</v>
      </c>
      <c r="J48" t="s">
        <v>37</v>
      </c>
      <c r="K48" t="s">
        <v>28</v>
      </c>
      <c r="L48">
        <v>2017</v>
      </c>
      <c r="M48" t="s">
        <v>38</v>
      </c>
      <c r="N48" t="s">
        <v>32</v>
      </c>
    </row>
    <row r="49" spans="1:14" x14ac:dyDescent="0.2">
      <c r="A49">
        <v>126539887</v>
      </c>
      <c r="B49" t="s">
        <v>43</v>
      </c>
      <c r="C49" t="s">
        <v>59</v>
      </c>
      <c r="D49" t="s">
        <v>570</v>
      </c>
      <c r="E49" s="8">
        <v>0.4</v>
      </c>
      <c r="F49" t="s">
        <v>487</v>
      </c>
      <c r="G49">
        <v>211</v>
      </c>
      <c r="H49" t="s">
        <v>35</v>
      </c>
      <c r="I49" t="s">
        <v>36</v>
      </c>
      <c r="J49" t="s">
        <v>37</v>
      </c>
      <c r="K49" t="s">
        <v>28</v>
      </c>
      <c r="L49">
        <v>2017</v>
      </c>
      <c r="M49" t="s">
        <v>38</v>
      </c>
      <c r="N49" t="s">
        <v>32</v>
      </c>
    </row>
    <row r="50" spans="1:14" x14ac:dyDescent="0.2">
      <c r="A50">
        <v>126539887</v>
      </c>
      <c r="B50" t="s">
        <v>482</v>
      </c>
      <c r="C50" t="s">
        <v>436</v>
      </c>
      <c r="D50" t="s">
        <v>561</v>
      </c>
      <c r="E50" s="8">
        <v>0.35571428571428571</v>
      </c>
      <c r="F50" t="s">
        <v>487</v>
      </c>
      <c r="G50">
        <v>211</v>
      </c>
      <c r="H50" t="s">
        <v>35</v>
      </c>
      <c r="I50" t="s">
        <v>36</v>
      </c>
      <c r="J50" t="s">
        <v>37</v>
      </c>
      <c r="K50" t="s">
        <v>28</v>
      </c>
      <c r="L50">
        <v>2017</v>
      </c>
      <c r="M50" t="s">
        <v>38</v>
      </c>
      <c r="N50" t="s">
        <v>32</v>
      </c>
    </row>
    <row r="51" spans="1:14" x14ac:dyDescent="0.2">
      <c r="A51">
        <v>126539887</v>
      </c>
      <c r="B51" t="s">
        <v>482</v>
      </c>
      <c r="C51" t="s">
        <v>436</v>
      </c>
      <c r="D51" t="s">
        <v>561</v>
      </c>
      <c r="E51" s="8">
        <v>0.21600000000000003</v>
      </c>
      <c r="F51" t="s">
        <v>487</v>
      </c>
      <c r="G51">
        <v>211</v>
      </c>
      <c r="H51" t="s">
        <v>35</v>
      </c>
      <c r="I51" t="s">
        <v>36</v>
      </c>
      <c r="J51" t="s">
        <v>37</v>
      </c>
      <c r="K51" t="s">
        <v>28</v>
      </c>
      <c r="L51">
        <v>2017</v>
      </c>
      <c r="M51" t="s">
        <v>38</v>
      </c>
      <c r="N51" t="s">
        <v>32</v>
      </c>
    </row>
    <row r="52" spans="1:14" x14ac:dyDescent="0.2">
      <c r="A52">
        <v>126539887</v>
      </c>
      <c r="B52" t="s">
        <v>483</v>
      </c>
      <c r="C52" t="s">
        <v>197</v>
      </c>
      <c r="D52" t="s">
        <v>556</v>
      </c>
      <c r="E52" s="8">
        <v>7.0000000000000007E-2</v>
      </c>
      <c r="F52" t="s">
        <v>487</v>
      </c>
      <c r="G52">
        <v>211</v>
      </c>
      <c r="H52" t="s">
        <v>35</v>
      </c>
      <c r="I52" t="s">
        <v>36</v>
      </c>
      <c r="J52" t="s">
        <v>37</v>
      </c>
      <c r="K52" t="s">
        <v>28</v>
      </c>
      <c r="L52">
        <v>2017</v>
      </c>
      <c r="M52" t="s">
        <v>38</v>
      </c>
      <c r="N52" t="s">
        <v>32</v>
      </c>
    </row>
    <row r="53" spans="1:14" x14ac:dyDescent="0.2">
      <c r="A53">
        <v>126539887</v>
      </c>
      <c r="B53" t="s">
        <v>483</v>
      </c>
      <c r="C53" t="s">
        <v>196</v>
      </c>
      <c r="D53" t="s">
        <v>557</v>
      </c>
      <c r="E53" s="8">
        <v>0.62</v>
      </c>
      <c r="F53" t="s">
        <v>487</v>
      </c>
      <c r="G53">
        <v>211</v>
      </c>
      <c r="H53" t="s">
        <v>35</v>
      </c>
      <c r="I53" t="s">
        <v>36</v>
      </c>
      <c r="J53" t="s">
        <v>37</v>
      </c>
      <c r="K53" t="s">
        <v>28</v>
      </c>
      <c r="L53">
        <v>2017</v>
      </c>
      <c r="M53" t="s">
        <v>38</v>
      </c>
      <c r="N53" t="s">
        <v>32</v>
      </c>
    </row>
    <row r="54" spans="1:14" x14ac:dyDescent="0.2">
      <c r="A54">
        <v>126539887</v>
      </c>
      <c r="B54" t="s">
        <v>483</v>
      </c>
      <c r="C54" t="s">
        <v>197</v>
      </c>
      <c r="D54" t="s">
        <v>556</v>
      </c>
      <c r="E54" s="8">
        <v>0.25333333333333335</v>
      </c>
      <c r="F54" t="s">
        <v>487</v>
      </c>
      <c r="G54">
        <v>211</v>
      </c>
      <c r="H54" t="s">
        <v>35</v>
      </c>
      <c r="I54" t="s">
        <v>36</v>
      </c>
      <c r="J54" t="s">
        <v>37</v>
      </c>
      <c r="K54" t="s">
        <v>28</v>
      </c>
      <c r="L54">
        <v>2017</v>
      </c>
      <c r="M54" t="s">
        <v>38</v>
      </c>
      <c r="N54" t="s">
        <v>32</v>
      </c>
    </row>
    <row r="55" spans="1:14" x14ac:dyDescent="0.2">
      <c r="A55">
        <v>126539887</v>
      </c>
      <c r="B55" t="s">
        <v>483</v>
      </c>
      <c r="C55" t="s">
        <v>196</v>
      </c>
      <c r="D55" t="s">
        <v>557</v>
      </c>
      <c r="E55" s="8">
        <v>0.61599999999999999</v>
      </c>
      <c r="F55" t="s">
        <v>487</v>
      </c>
      <c r="G55">
        <v>211</v>
      </c>
      <c r="H55" t="s">
        <v>35</v>
      </c>
      <c r="I55" t="s">
        <v>36</v>
      </c>
      <c r="J55" t="s">
        <v>37</v>
      </c>
      <c r="K55" t="s">
        <v>28</v>
      </c>
      <c r="L55">
        <v>2017</v>
      </c>
      <c r="M55" t="s">
        <v>38</v>
      </c>
      <c r="N55" t="s">
        <v>32</v>
      </c>
    </row>
    <row r="56" spans="1:14" x14ac:dyDescent="0.2">
      <c r="A56">
        <v>126539887</v>
      </c>
      <c r="B56" t="s">
        <v>483</v>
      </c>
      <c r="C56" t="s">
        <v>197</v>
      </c>
      <c r="D56" t="s">
        <v>556</v>
      </c>
      <c r="E56" s="8">
        <v>0.61333333333333329</v>
      </c>
      <c r="F56" t="s">
        <v>487</v>
      </c>
      <c r="G56">
        <v>211</v>
      </c>
      <c r="H56" t="s">
        <v>35</v>
      </c>
      <c r="I56" t="s">
        <v>36</v>
      </c>
      <c r="J56" t="s">
        <v>37</v>
      </c>
      <c r="K56" t="s">
        <v>28</v>
      </c>
      <c r="L56">
        <v>2017</v>
      </c>
      <c r="M56" t="s">
        <v>38</v>
      </c>
      <c r="N56" t="s">
        <v>32</v>
      </c>
    </row>
    <row r="57" spans="1:14" x14ac:dyDescent="0.2">
      <c r="A57">
        <v>126539887</v>
      </c>
      <c r="B57" t="s">
        <v>484</v>
      </c>
      <c r="C57" t="s">
        <v>497</v>
      </c>
      <c r="D57" t="s">
        <v>558</v>
      </c>
      <c r="E57" s="8">
        <v>0.25333333333333335</v>
      </c>
      <c r="F57" t="s">
        <v>487</v>
      </c>
      <c r="G57">
        <v>211</v>
      </c>
      <c r="H57" t="s">
        <v>35</v>
      </c>
      <c r="I57" t="s">
        <v>36</v>
      </c>
      <c r="J57" t="s">
        <v>37</v>
      </c>
      <c r="K57" t="s">
        <v>28</v>
      </c>
      <c r="L57">
        <v>2017</v>
      </c>
      <c r="M57" t="s">
        <v>38</v>
      </c>
      <c r="N57" t="s">
        <v>32</v>
      </c>
    </row>
    <row r="58" spans="1:14" x14ac:dyDescent="0.2">
      <c r="A58">
        <v>126539887</v>
      </c>
      <c r="B58" t="s">
        <v>484</v>
      </c>
      <c r="C58" t="s">
        <v>500</v>
      </c>
      <c r="D58" t="s">
        <v>558</v>
      </c>
      <c r="E58" s="8">
        <v>0.26250000000000001</v>
      </c>
      <c r="F58" t="s">
        <v>487</v>
      </c>
      <c r="G58">
        <v>211</v>
      </c>
      <c r="H58" t="s">
        <v>35</v>
      </c>
      <c r="I58" t="s">
        <v>36</v>
      </c>
      <c r="J58" t="s">
        <v>37</v>
      </c>
      <c r="K58" t="s">
        <v>28</v>
      </c>
      <c r="L58">
        <v>2017</v>
      </c>
      <c r="M58" t="s">
        <v>38</v>
      </c>
      <c r="N58" t="s">
        <v>32</v>
      </c>
    </row>
    <row r="59" spans="1:14" x14ac:dyDescent="0.2">
      <c r="A59">
        <v>126539887</v>
      </c>
      <c r="B59" t="s">
        <v>484</v>
      </c>
      <c r="C59" t="s">
        <v>501</v>
      </c>
      <c r="D59" t="s">
        <v>558</v>
      </c>
      <c r="E59" s="8">
        <v>0.38500000000000006</v>
      </c>
      <c r="F59" t="s">
        <v>487</v>
      </c>
      <c r="G59">
        <v>211</v>
      </c>
      <c r="H59" t="s">
        <v>35</v>
      </c>
      <c r="I59" t="s">
        <v>36</v>
      </c>
      <c r="J59" t="s">
        <v>37</v>
      </c>
      <c r="K59" t="s">
        <v>28</v>
      </c>
      <c r="L59">
        <v>2017</v>
      </c>
      <c r="M59" t="s">
        <v>38</v>
      </c>
      <c r="N59" t="s">
        <v>32</v>
      </c>
    </row>
    <row r="60" spans="1:14" x14ac:dyDescent="0.2">
      <c r="A60">
        <v>126539887</v>
      </c>
      <c r="B60" t="s">
        <v>485</v>
      </c>
      <c r="C60" t="s">
        <v>346</v>
      </c>
      <c r="D60" t="s">
        <v>559</v>
      </c>
      <c r="E60" s="8">
        <v>0.62</v>
      </c>
      <c r="F60" t="s">
        <v>487</v>
      </c>
      <c r="G60">
        <v>211</v>
      </c>
      <c r="H60" t="s">
        <v>35</v>
      </c>
      <c r="I60" t="s">
        <v>36</v>
      </c>
      <c r="J60" t="s">
        <v>37</v>
      </c>
      <c r="K60" t="s">
        <v>28</v>
      </c>
      <c r="L60">
        <v>2017</v>
      </c>
      <c r="M60" t="s">
        <v>38</v>
      </c>
      <c r="N60" t="s">
        <v>32</v>
      </c>
    </row>
    <row r="61" spans="1:14" x14ac:dyDescent="0.2">
      <c r="A61">
        <v>126539887</v>
      </c>
      <c r="B61" t="s">
        <v>485</v>
      </c>
      <c r="C61" t="s">
        <v>342</v>
      </c>
      <c r="D61" t="s">
        <v>559</v>
      </c>
      <c r="E61" s="8">
        <v>0.62249999999999994</v>
      </c>
      <c r="F61" t="s">
        <v>487</v>
      </c>
      <c r="G61">
        <v>211</v>
      </c>
      <c r="H61" t="s">
        <v>35</v>
      </c>
      <c r="I61" t="s">
        <v>36</v>
      </c>
      <c r="J61" t="s">
        <v>37</v>
      </c>
      <c r="K61" t="s">
        <v>28</v>
      </c>
      <c r="L61">
        <v>2017</v>
      </c>
      <c r="M61" t="s">
        <v>38</v>
      </c>
      <c r="N61" t="s">
        <v>32</v>
      </c>
    </row>
    <row r="62" spans="1:14" x14ac:dyDescent="0.2">
      <c r="A62">
        <v>208248363</v>
      </c>
      <c r="B62" t="s">
        <v>478</v>
      </c>
      <c r="C62" t="s">
        <v>276</v>
      </c>
      <c r="D62" t="s">
        <v>546</v>
      </c>
      <c r="E62" s="8">
        <v>0.59000000000000008</v>
      </c>
      <c r="F62" t="s">
        <v>487</v>
      </c>
      <c r="G62">
        <v>211</v>
      </c>
      <c r="H62" t="s">
        <v>35</v>
      </c>
      <c r="I62" t="s">
        <v>36</v>
      </c>
      <c r="J62" t="s">
        <v>37</v>
      </c>
      <c r="K62" t="s">
        <v>28</v>
      </c>
      <c r="L62">
        <v>2017</v>
      </c>
      <c r="M62" t="s">
        <v>38</v>
      </c>
      <c r="N62" t="s">
        <v>32</v>
      </c>
    </row>
    <row r="63" spans="1:14" x14ac:dyDescent="0.2">
      <c r="A63">
        <v>208248363</v>
      </c>
      <c r="B63" t="s">
        <v>478</v>
      </c>
      <c r="C63" t="s">
        <v>247</v>
      </c>
      <c r="D63" t="s">
        <v>546</v>
      </c>
      <c r="E63" s="8">
        <v>0.51600000000000001</v>
      </c>
      <c r="F63" t="s">
        <v>487</v>
      </c>
      <c r="G63">
        <v>211</v>
      </c>
      <c r="H63" t="s">
        <v>35</v>
      </c>
      <c r="I63" t="s">
        <v>36</v>
      </c>
      <c r="J63" t="s">
        <v>37</v>
      </c>
      <c r="K63" t="s">
        <v>28</v>
      </c>
      <c r="L63">
        <v>2017</v>
      </c>
      <c r="M63" t="s">
        <v>38</v>
      </c>
      <c r="N63" t="s">
        <v>32</v>
      </c>
    </row>
    <row r="64" spans="1:14" x14ac:dyDescent="0.2">
      <c r="A64">
        <v>208248363</v>
      </c>
      <c r="B64" t="s">
        <v>40</v>
      </c>
      <c r="C64" t="s">
        <v>435</v>
      </c>
      <c r="D64" t="s">
        <v>560</v>
      </c>
      <c r="E64" s="8">
        <v>0.51</v>
      </c>
      <c r="F64" t="s">
        <v>487</v>
      </c>
      <c r="G64">
        <v>211</v>
      </c>
      <c r="H64" t="s">
        <v>35</v>
      </c>
      <c r="I64" t="s">
        <v>36</v>
      </c>
      <c r="J64" t="s">
        <v>37</v>
      </c>
      <c r="K64" t="s">
        <v>28</v>
      </c>
      <c r="L64">
        <v>2017</v>
      </c>
      <c r="M64" t="s">
        <v>38</v>
      </c>
      <c r="N64" t="s">
        <v>32</v>
      </c>
    </row>
    <row r="65" spans="1:14" x14ac:dyDescent="0.2">
      <c r="A65">
        <v>208248363</v>
      </c>
      <c r="B65" t="s">
        <v>40</v>
      </c>
      <c r="C65" t="s">
        <v>393</v>
      </c>
      <c r="D65" t="s">
        <v>560</v>
      </c>
      <c r="E65" s="8">
        <v>0.59666666666666679</v>
      </c>
      <c r="F65" t="s">
        <v>487</v>
      </c>
      <c r="G65">
        <v>211</v>
      </c>
      <c r="H65" t="s">
        <v>35</v>
      </c>
      <c r="I65" t="s">
        <v>36</v>
      </c>
      <c r="J65" t="s">
        <v>37</v>
      </c>
      <c r="K65" t="s">
        <v>28</v>
      </c>
      <c r="L65">
        <v>2017</v>
      </c>
      <c r="M65" t="s">
        <v>38</v>
      </c>
      <c r="N65" t="s">
        <v>32</v>
      </c>
    </row>
    <row r="66" spans="1:14" x14ac:dyDescent="0.2">
      <c r="A66">
        <v>208248363</v>
      </c>
      <c r="B66" t="s">
        <v>41</v>
      </c>
      <c r="C66" t="s">
        <v>212</v>
      </c>
      <c r="D66" t="s">
        <v>562</v>
      </c>
      <c r="E66" s="8">
        <v>0.4825000000000001</v>
      </c>
      <c r="F66" t="s">
        <v>487</v>
      </c>
      <c r="G66">
        <v>211</v>
      </c>
      <c r="H66" t="s">
        <v>35</v>
      </c>
      <c r="I66" t="s">
        <v>36</v>
      </c>
      <c r="J66" t="s">
        <v>37</v>
      </c>
      <c r="K66" t="s">
        <v>28</v>
      </c>
      <c r="L66">
        <v>2017</v>
      </c>
      <c r="M66" t="s">
        <v>38</v>
      </c>
      <c r="N66" t="s">
        <v>32</v>
      </c>
    </row>
    <row r="67" spans="1:14" x14ac:dyDescent="0.2">
      <c r="A67">
        <v>208248363</v>
      </c>
      <c r="B67" t="s">
        <v>41</v>
      </c>
      <c r="C67" t="s">
        <v>207</v>
      </c>
      <c r="D67" t="s">
        <v>562</v>
      </c>
      <c r="E67" s="8">
        <v>0.51666666666666672</v>
      </c>
      <c r="F67" t="s">
        <v>487</v>
      </c>
      <c r="G67">
        <v>211</v>
      </c>
      <c r="H67" t="s">
        <v>35</v>
      </c>
      <c r="I67" t="s">
        <v>36</v>
      </c>
      <c r="J67" t="s">
        <v>37</v>
      </c>
      <c r="K67" t="s">
        <v>28</v>
      </c>
      <c r="L67">
        <v>2017</v>
      </c>
      <c r="M67" t="s">
        <v>38</v>
      </c>
      <c r="N67" t="s">
        <v>32</v>
      </c>
    </row>
    <row r="68" spans="1:14" x14ac:dyDescent="0.2">
      <c r="A68">
        <v>208248363</v>
      </c>
      <c r="B68" t="s">
        <v>41</v>
      </c>
      <c r="C68" t="s">
        <v>221</v>
      </c>
      <c r="D68" t="s">
        <v>563</v>
      </c>
      <c r="E68" s="8">
        <v>0.53333333333333333</v>
      </c>
      <c r="F68" t="s">
        <v>487</v>
      </c>
      <c r="G68">
        <v>211</v>
      </c>
      <c r="H68" t="s">
        <v>35</v>
      </c>
      <c r="I68" t="s">
        <v>36</v>
      </c>
      <c r="J68" t="s">
        <v>37</v>
      </c>
      <c r="K68" t="s">
        <v>28</v>
      </c>
      <c r="L68">
        <v>2017</v>
      </c>
      <c r="M68" t="s">
        <v>38</v>
      </c>
      <c r="N68" t="s">
        <v>32</v>
      </c>
    </row>
    <row r="69" spans="1:14" x14ac:dyDescent="0.2">
      <c r="A69">
        <v>208248363</v>
      </c>
      <c r="B69" t="s">
        <v>42</v>
      </c>
      <c r="C69" t="s">
        <v>159</v>
      </c>
      <c r="D69" t="s">
        <v>564</v>
      </c>
      <c r="E69" s="8">
        <v>0.4</v>
      </c>
      <c r="F69" t="s">
        <v>487</v>
      </c>
      <c r="G69">
        <v>211</v>
      </c>
      <c r="H69" t="s">
        <v>35</v>
      </c>
      <c r="I69" t="s">
        <v>36</v>
      </c>
      <c r="J69" t="s">
        <v>37</v>
      </c>
      <c r="K69" t="s">
        <v>28</v>
      </c>
      <c r="L69">
        <v>2017</v>
      </c>
      <c r="M69" t="s">
        <v>38</v>
      </c>
      <c r="N69" t="s">
        <v>32</v>
      </c>
    </row>
    <row r="70" spans="1:14" x14ac:dyDescent="0.2">
      <c r="A70">
        <v>208248363</v>
      </c>
      <c r="B70" t="s">
        <v>42</v>
      </c>
      <c r="C70" t="s">
        <v>135</v>
      </c>
      <c r="D70" t="s">
        <v>565</v>
      </c>
      <c r="E70" s="8">
        <v>0.51</v>
      </c>
      <c r="F70" t="s">
        <v>487</v>
      </c>
      <c r="G70">
        <v>211</v>
      </c>
      <c r="H70" t="s">
        <v>35</v>
      </c>
      <c r="I70" t="s">
        <v>36</v>
      </c>
      <c r="J70" t="s">
        <v>37</v>
      </c>
      <c r="K70" t="s">
        <v>28</v>
      </c>
      <c r="L70">
        <v>2017</v>
      </c>
      <c r="M70" t="s">
        <v>38</v>
      </c>
      <c r="N70" t="s">
        <v>32</v>
      </c>
    </row>
    <row r="71" spans="1:14" x14ac:dyDescent="0.2">
      <c r="A71">
        <v>208248363</v>
      </c>
      <c r="B71" t="s">
        <v>42</v>
      </c>
      <c r="C71" t="s">
        <v>56</v>
      </c>
      <c r="D71" t="s">
        <v>565</v>
      </c>
      <c r="E71" s="8">
        <v>0.51</v>
      </c>
      <c r="F71" t="s">
        <v>487</v>
      </c>
      <c r="G71">
        <v>211</v>
      </c>
      <c r="H71" t="s">
        <v>35</v>
      </c>
      <c r="I71" t="s">
        <v>36</v>
      </c>
      <c r="J71" t="s">
        <v>37</v>
      </c>
      <c r="K71" t="s">
        <v>28</v>
      </c>
      <c r="L71">
        <v>2017</v>
      </c>
      <c r="M71" t="s">
        <v>38</v>
      </c>
      <c r="N71" t="s">
        <v>32</v>
      </c>
    </row>
    <row r="72" spans="1:14" x14ac:dyDescent="0.2">
      <c r="A72">
        <v>208248363</v>
      </c>
      <c r="B72" t="s">
        <v>42</v>
      </c>
      <c r="C72" t="s">
        <v>155</v>
      </c>
      <c r="D72" t="s">
        <v>564</v>
      </c>
      <c r="E72" s="8">
        <v>0.4</v>
      </c>
      <c r="F72" t="s">
        <v>487</v>
      </c>
      <c r="G72">
        <v>211</v>
      </c>
      <c r="H72" t="s">
        <v>35</v>
      </c>
      <c r="I72" t="s">
        <v>36</v>
      </c>
      <c r="J72" t="s">
        <v>37</v>
      </c>
      <c r="K72" t="s">
        <v>28</v>
      </c>
      <c r="L72">
        <v>2017</v>
      </c>
      <c r="M72" t="s">
        <v>38</v>
      </c>
      <c r="N72" t="s">
        <v>32</v>
      </c>
    </row>
    <row r="73" spans="1:14" x14ac:dyDescent="0.2">
      <c r="A73">
        <v>208248363</v>
      </c>
      <c r="B73" t="s">
        <v>479</v>
      </c>
      <c r="C73" t="s">
        <v>57</v>
      </c>
      <c r="D73" t="s">
        <v>566</v>
      </c>
      <c r="E73" s="8">
        <v>0.5427777777777778</v>
      </c>
      <c r="F73" t="s">
        <v>487</v>
      </c>
      <c r="G73">
        <v>211</v>
      </c>
      <c r="H73" t="s">
        <v>35</v>
      </c>
      <c r="I73" t="s">
        <v>36</v>
      </c>
      <c r="J73" t="s">
        <v>37</v>
      </c>
      <c r="K73" t="s">
        <v>28</v>
      </c>
      <c r="L73">
        <v>2017</v>
      </c>
      <c r="M73" t="s">
        <v>38</v>
      </c>
      <c r="N73" t="s">
        <v>32</v>
      </c>
    </row>
    <row r="74" spans="1:14" x14ac:dyDescent="0.2">
      <c r="A74">
        <v>208248363</v>
      </c>
      <c r="B74" t="s">
        <v>479</v>
      </c>
      <c r="C74" t="s">
        <v>58</v>
      </c>
      <c r="D74" t="s">
        <v>567</v>
      </c>
      <c r="E74" s="8">
        <v>0.4</v>
      </c>
      <c r="F74" t="s">
        <v>487</v>
      </c>
      <c r="G74">
        <v>211</v>
      </c>
      <c r="H74" t="s">
        <v>35</v>
      </c>
      <c r="I74" t="s">
        <v>36</v>
      </c>
      <c r="J74" t="s">
        <v>37</v>
      </c>
      <c r="K74" t="s">
        <v>28</v>
      </c>
      <c r="L74">
        <v>2017</v>
      </c>
      <c r="M74" t="s">
        <v>38</v>
      </c>
      <c r="N74" t="s">
        <v>32</v>
      </c>
    </row>
    <row r="75" spans="1:14" x14ac:dyDescent="0.2">
      <c r="A75">
        <v>208248363</v>
      </c>
      <c r="B75" t="s">
        <v>480</v>
      </c>
      <c r="C75" t="s">
        <v>456</v>
      </c>
      <c r="D75" t="s">
        <v>568</v>
      </c>
      <c r="E75" s="8">
        <v>0.47333333333333338</v>
      </c>
      <c r="F75" t="s">
        <v>487</v>
      </c>
      <c r="G75">
        <v>211</v>
      </c>
      <c r="H75" t="s">
        <v>35</v>
      </c>
      <c r="I75" t="s">
        <v>36</v>
      </c>
      <c r="J75" t="s">
        <v>37</v>
      </c>
      <c r="K75" t="s">
        <v>28</v>
      </c>
      <c r="L75">
        <v>2017</v>
      </c>
      <c r="M75" t="s">
        <v>38</v>
      </c>
      <c r="N75" t="s">
        <v>32</v>
      </c>
    </row>
    <row r="76" spans="1:14" x14ac:dyDescent="0.2">
      <c r="A76">
        <v>208248363</v>
      </c>
      <c r="B76" t="s">
        <v>480</v>
      </c>
      <c r="C76" t="s">
        <v>452</v>
      </c>
      <c r="D76" t="s">
        <v>568</v>
      </c>
      <c r="E76" s="8">
        <v>0.47333333333333338</v>
      </c>
      <c r="F76" t="s">
        <v>487</v>
      </c>
      <c r="G76">
        <v>211</v>
      </c>
      <c r="H76" t="s">
        <v>35</v>
      </c>
      <c r="I76" t="s">
        <v>36</v>
      </c>
      <c r="J76" t="s">
        <v>37</v>
      </c>
      <c r="K76" t="s">
        <v>28</v>
      </c>
      <c r="L76">
        <v>2017</v>
      </c>
      <c r="M76" t="s">
        <v>38</v>
      </c>
      <c r="N76" t="s">
        <v>32</v>
      </c>
    </row>
    <row r="77" spans="1:14" x14ac:dyDescent="0.2">
      <c r="A77">
        <v>208248363</v>
      </c>
      <c r="B77" t="s">
        <v>481</v>
      </c>
      <c r="C77" t="s">
        <v>533</v>
      </c>
      <c r="D77" t="s">
        <v>569</v>
      </c>
      <c r="E77" s="8">
        <v>0.4</v>
      </c>
      <c r="F77" t="s">
        <v>487</v>
      </c>
      <c r="G77">
        <v>211</v>
      </c>
      <c r="H77" t="s">
        <v>35</v>
      </c>
      <c r="I77" t="s">
        <v>36</v>
      </c>
      <c r="J77" t="s">
        <v>37</v>
      </c>
      <c r="K77" t="s">
        <v>28</v>
      </c>
      <c r="L77">
        <v>2017</v>
      </c>
      <c r="M77" t="s">
        <v>38</v>
      </c>
      <c r="N77" t="s">
        <v>32</v>
      </c>
    </row>
    <row r="78" spans="1:14" x14ac:dyDescent="0.2">
      <c r="A78">
        <v>208248363</v>
      </c>
      <c r="B78" t="s">
        <v>481</v>
      </c>
      <c r="C78" t="s">
        <v>106</v>
      </c>
      <c r="D78" t="s">
        <v>569</v>
      </c>
      <c r="E78" s="8">
        <v>0.4</v>
      </c>
      <c r="F78" t="s">
        <v>487</v>
      </c>
      <c r="G78">
        <v>211</v>
      </c>
      <c r="H78" t="s">
        <v>35</v>
      </c>
      <c r="I78" t="s">
        <v>36</v>
      </c>
      <c r="J78" t="s">
        <v>37</v>
      </c>
      <c r="K78" t="s">
        <v>28</v>
      </c>
      <c r="L78">
        <v>2017</v>
      </c>
      <c r="M78" t="s">
        <v>38</v>
      </c>
      <c r="N78" t="s">
        <v>32</v>
      </c>
    </row>
    <row r="79" spans="1:14" x14ac:dyDescent="0.2">
      <c r="A79">
        <v>208248363</v>
      </c>
      <c r="B79" t="s">
        <v>43</v>
      </c>
      <c r="C79" t="s">
        <v>59</v>
      </c>
      <c r="D79" t="s">
        <v>570</v>
      </c>
      <c r="E79" s="8">
        <v>0.44400000000000006</v>
      </c>
      <c r="F79" t="s">
        <v>487</v>
      </c>
      <c r="G79">
        <v>211</v>
      </c>
      <c r="H79" t="s">
        <v>35</v>
      </c>
      <c r="I79" t="s">
        <v>36</v>
      </c>
      <c r="J79" t="s">
        <v>37</v>
      </c>
      <c r="K79" t="s">
        <v>28</v>
      </c>
      <c r="L79">
        <v>2017</v>
      </c>
      <c r="M79" t="s">
        <v>38</v>
      </c>
      <c r="N79" t="s">
        <v>32</v>
      </c>
    </row>
    <row r="80" spans="1:14" x14ac:dyDescent="0.2">
      <c r="A80">
        <v>208248363</v>
      </c>
      <c r="B80" t="s">
        <v>482</v>
      </c>
      <c r="C80" t="s">
        <v>436</v>
      </c>
      <c r="D80" t="s">
        <v>561</v>
      </c>
      <c r="E80" s="8">
        <v>0.50928571428571434</v>
      </c>
      <c r="F80" t="s">
        <v>487</v>
      </c>
      <c r="G80">
        <v>211</v>
      </c>
      <c r="H80" t="s">
        <v>35</v>
      </c>
      <c r="I80" t="s">
        <v>36</v>
      </c>
      <c r="J80" t="s">
        <v>37</v>
      </c>
      <c r="K80" t="s">
        <v>28</v>
      </c>
      <c r="L80">
        <v>2017</v>
      </c>
      <c r="M80" t="s">
        <v>38</v>
      </c>
      <c r="N80" t="s">
        <v>32</v>
      </c>
    </row>
    <row r="81" spans="1:14" x14ac:dyDescent="0.2">
      <c r="A81">
        <v>208248363</v>
      </c>
      <c r="B81" t="s">
        <v>482</v>
      </c>
      <c r="C81" t="s">
        <v>436</v>
      </c>
      <c r="D81" t="s">
        <v>561</v>
      </c>
      <c r="E81" s="8">
        <v>0.54800000000000015</v>
      </c>
      <c r="F81" t="s">
        <v>487</v>
      </c>
      <c r="G81">
        <v>211</v>
      </c>
      <c r="H81" t="s">
        <v>35</v>
      </c>
      <c r="I81" t="s">
        <v>36</v>
      </c>
      <c r="J81" t="s">
        <v>37</v>
      </c>
      <c r="K81" t="s">
        <v>28</v>
      </c>
      <c r="L81">
        <v>2017</v>
      </c>
      <c r="M81" t="s">
        <v>38</v>
      </c>
      <c r="N81" t="s">
        <v>32</v>
      </c>
    </row>
    <row r="82" spans="1:14" x14ac:dyDescent="0.2">
      <c r="A82">
        <v>208248363</v>
      </c>
      <c r="B82" t="s">
        <v>483</v>
      </c>
      <c r="C82" t="s">
        <v>197</v>
      </c>
      <c r="D82" t="s">
        <v>556</v>
      </c>
      <c r="E82" s="8">
        <v>0.51</v>
      </c>
      <c r="F82" t="s">
        <v>487</v>
      </c>
      <c r="G82">
        <v>211</v>
      </c>
      <c r="H82" t="s">
        <v>35</v>
      </c>
      <c r="I82" t="s">
        <v>36</v>
      </c>
      <c r="J82" t="s">
        <v>37</v>
      </c>
      <c r="K82" t="s">
        <v>28</v>
      </c>
      <c r="L82">
        <v>2017</v>
      </c>
      <c r="M82" t="s">
        <v>38</v>
      </c>
      <c r="N82" t="s">
        <v>32</v>
      </c>
    </row>
    <row r="83" spans="1:14" x14ac:dyDescent="0.2">
      <c r="A83">
        <v>208248363</v>
      </c>
      <c r="B83" t="s">
        <v>483</v>
      </c>
      <c r="C83" t="s">
        <v>196</v>
      </c>
      <c r="D83" t="s">
        <v>557</v>
      </c>
      <c r="E83" s="8">
        <v>0.4</v>
      </c>
      <c r="F83" t="s">
        <v>487</v>
      </c>
      <c r="G83">
        <v>211</v>
      </c>
      <c r="H83" t="s">
        <v>35</v>
      </c>
      <c r="I83" t="s">
        <v>36</v>
      </c>
      <c r="J83" t="s">
        <v>37</v>
      </c>
      <c r="K83" t="s">
        <v>28</v>
      </c>
      <c r="L83">
        <v>2017</v>
      </c>
      <c r="M83" t="s">
        <v>38</v>
      </c>
      <c r="N83" t="s">
        <v>32</v>
      </c>
    </row>
    <row r="84" spans="1:14" x14ac:dyDescent="0.2">
      <c r="A84">
        <v>208248363</v>
      </c>
      <c r="B84" t="s">
        <v>483</v>
      </c>
      <c r="C84" t="s">
        <v>197</v>
      </c>
      <c r="D84" t="s">
        <v>556</v>
      </c>
      <c r="E84" s="8">
        <v>0.47333333333333338</v>
      </c>
      <c r="F84" t="s">
        <v>487</v>
      </c>
      <c r="G84">
        <v>211</v>
      </c>
      <c r="H84" t="s">
        <v>35</v>
      </c>
      <c r="I84" t="s">
        <v>36</v>
      </c>
      <c r="J84" t="s">
        <v>37</v>
      </c>
      <c r="K84" t="s">
        <v>28</v>
      </c>
      <c r="L84">
        <v>2017</v>
      </c>
      <c r="M84" t="s">
        <v>38</v>
      </c>
      <c r="N84" t="s">
        <v>32</v>
      </c>
    </row>
    <row r="85" spans="1:14" x14ac:dyDescent="0.2">
      <c r="A85">
        <v>208248363</v>
      </c>
      <c r="B85" t="s">
        <v>483</v>
      </c>
      <c r="C85" t="s">
        <v>196</v>
      </c>
      <c r="D85" t="s">
        <v>557</v>
      </c>
      <c r="E85" s="8">
        <v>0.48</v>
      </c>
      <c r="F85" t="s">
        <v>487</v>
      </c>
      <c r="G85">
        <v>211</v>
      </c>
      <c r="H85" t="s">
        <v>35</v>
      </c>
      <c r="I85" t="s">
        <v>36</v>
      </c>
      <c r="J85" t="s">
        <v>37</v>
      </c>
      <c r="K85" t="s">
        <v>28</v>
      </c>
      <c r="L85">
        <v>2017</v>
      </c>
      <c r="M85" t="s">
        <v>38</v>
      </c>
      <c r="N85" t="s">
        <v>32</v>
      </c>
    </row>
    <row r="86" spans="1:14" x14ac:dyDescent="0.2">
      <c r="A86">
        <v>208248363</v>
      </c>
      <c r="B86" t="s">
        <v>483</v>
      </c>
      <c r="C86" t="s">
        <v>197</v>
      </c>
      <c r="D86" t="s">
        <v>556</v>
      </c>
      <c r="E86" s="8">
        <v>0.53333333333333333</v>
      </c>
      <c r="F86" t="s">
        <v>487</v>
      </c>
      <c r="G86">
        <v>211</v>
      </c>
      <c r="H86" t="s">
        <v>35</v>
      </c>
      <c r="I86" t="s">
        <v>36</v>
      </c>
      <c r="J86" t="s">
        <v>37</v>
      </c>
      <c r="K86" t="s">
        <v>28</v>
      </c>
      <c r="L86">
        <v>2017</v>
      </c>
      <c r="M86" t="s">
        <v>38</v>
      </c>
      <c r="N86" t="s">
        <v>32</v>
      </c>
    </row>
    <row r="87" spans="1:14" x14ac:dyDescent="0.2">
      <c r="A87">
        <v>208248363</v>
      </c>
      <c r="B87" t="s">
        <v>484</v>
      </c>
      <c r="C87" t="s">
        <v>497</v>
      </c>
      <c r="D87" t="s">
        <v>558</v>
      </c>
      <c r="E87" s="8">
        <v>0.47333333333333338</v>
      </c>
      <c r="F87" t="s">
        <v>487</v>
      </c>
      <c r="G87">
        <v>211</v>
      </c>
      <c r="H87" t="s">
        <v>35</v>
      </c>
      <c r="I87" t="s">
        <v>36</v>
      </c>
      <c r="J87" t="s">
        <v>37</v>
      </c>
      <c r="K87" t="s">
        <v>28</v>
      </c>
      <c r="L87">
        <v>2017</v>
      </c>
      <c r="M87" t="s">
        <v>38</v>
      </c>
      <c r="N87" t="s">
        <v>32</v>
      </c>
    </row>
    <row r="88" spans="1:14" x14ac:dyDescent="0.2">
      <c r="A88">
        <v>208248363</v>
      </c>
      <c r="B88" t="s">
        <v>484</v>
      </c>
      <c r="C88" t="s">
        <v>500</v>
      </c>
      <c r="D88" t="s">
        <v>558</v>
      </c>
      <c r="E88" s="8">
        <v>0.52750000000000008</v>
      </c>
      <c r="F88" t="s">
        <v>487</v>
      </c>
      <c r="G88">
        <v>211</v>
      </c>
      <c r="H88" t="s">
        <v>35</v>
      </c>
      <c r="I88" t="s">
        <v>36</v>
      </c>
      <c r="J88" t="s">
        <v>37</v>
      </c>
      <c r="K88" t="s">
        <v>28</v>
      </c>
      <c r="L88">
        <v>2017</v>
      </c>
      <c r="M88" t="s">
        <v>38</v>
      </c>
      <c r="N88" t="s">
        <v>32</v>
      </c>
    </row>
    <row r="89" spans="1:14" x14ac:dyDescent="0.2">
      <c r="A89">
        <v>208248363</v>
      </c>
      <c r="B89" t="s">
        <v>484</v>
      </c>
      <c r="C89" t="s">
        <v>501</v>
      </c>
      <c r="D89" t="s">
        <v>558</v>
      </c>
      <c r="E89" s="8">
        <v>0.48625000000000007</v>
      </c>
      <c r="F89" t="s">
        <v>487</v>
      </c>
      <c r="G89">
        <v>211</v>
      </c>
      <c r="H89" t="s">
        <v>35</v>
      </c>
      <c r="I89" t="s">
        <v>36</v>
      </c>
      <c r="J89" t="s">
        <v>37</v>
      </c>
      <c r="K89" t="s">
        <v>28</v>
      </c>
      <c r="L89">
        <v>2017</v>
      </c>
      <c r="M89" t="s">
        <v>38</v>
      </c>
      <c r="N89" t="s">
        <v>32</v>
      </c>
    </row>
    <row r="90" spans="1:14" x14ac:dyDescent="0.2">
      <c r="A90">
        <v>208248363</v>
      </c>
      <c r="B90" t="s">
        <v>485</v>
      </c>
      <c r="C90" t="s">
        <v>346</v>
      </c>
      <c r="D90" t="s">
        <v>559</v>
      </c>
      <c r="E90" s="8">
        <v>0.4</v>
      </c>
      <c r="F90" t="s">
        <v>487</v>
      </c>
      <c r="G90">
        <v>211</v>
      </c>
      <c r="H90" t="s">
        <v>35</v>
      </c>
      <c r="I90" t="s">
        <v>36</v>
      </c>
      <c r="J90" t="s">
        <v>37</v>
      </c>
      <c r="K90" t="s">
        <v>28</v>
      </c>
      <c r="L90">
        <v>2017</v>
      </c>
      <c r="M90" t="s">
        <v>38</v>
      </c>
      <c r="N90" t="s">
        <v>32</v>
      </c>
    </row>
    <row r="91" spans="1:14" x14ac:dyDescent="0.2">
      <c r="A91">
        <v>208248363</v>
      </c>
      <c r="B91" t="s">
        <v>485</v>
      </c>
      <c r="C91" t="s">
        <v>342</v>
      </c>
      <c r="D91" t="s">
        <v>559</v>
      </c>
      <c r="E91" s="8">
        <v>0.51875000000000004</v>
      </c>
      <c r="F91" t="s">
        <v>487</v>
      </c>
      <c r="G91">
        <v>211</v>
      </c>
      <c r="H91" t="s">
        <v>35</v>
      </c>
      <c r="I91" t="s">
        <v>36</v>
      </c>
      <c r="J91" t="s">
        <v>37</v>
      </c>
      <c r="K91" t="s">
        <v>28</v>
      </c>
      <c r="L91">
        <v>2017</v>
      </c>
      <c r="M91" t="s">
        <v>38</v>
      </c>
      <c r="N91" t="s">
        <v>32</v>
      </c>
    </row>
    <row r="92" spans="1:14" x14ac:dyDescent="0.2">
      <c r="A92">
        <v>220052551</v>
      </c>
      <c r="B92" t="s">
        <v>478</v>
      </c>
      <c r="C92" t="s">
        <v>276</v>
      </c>
      <c r="D92" t="s">
        <v>546</v>
      </c>
      <c r="E92" s="8">
        <v>0.71000000000000008</v>
      </c>
      <c r="F92" t="s">
        <v>487</v>
      </c>
      <c r="G92">
        <v>211</v>
      </c>
      <c r="H92" t="s">
        <v>35</v>
      </c>
      <c r="I92" t="s">
        <v>36</v>
      </c>
      <c r="J92" t="s">
        <v>37</v>
      </c>
      <c r="K92" t="s">
        <v>28</v>
      </c>
      <c r="L92">
        <v>2017</v>
      </c>
      <c r="M92" t="s">
        <v>38</v>
      </c>
      <c r="N92" t="s">
        <v>32</v>
      </c>
    </row>
    <row r="93" spans="1:14" x14ac:dyDescent="0.2">
      <c r="A93">
        <v>220052551</v>
      </c>
      <c r="B93" t="s">
        <v>478</v>
      </c>
      <c r="C93" t="s">
        <v>247</v>
      </c>
      <c r="D93" t="s">
        <v>546</v>
      </c>
      <c r="E93" s="8">
        <v>0.57600000000000007</v>
      </c>
      <c r="F93" t="s">
        <v>487</v>
      </c>
      <c r="G93">
        <v>211</v>
      </c>
      <c r="H93" t="s">
        <v>35</v>
      </c>
      <c r="I93" t="s">
        <v>36</v>
      </c>
      <c r="J93" t="s">
        <v>37</v>
      </c>
      <c r="K93" t="s">
        <v>28</v>
      </c>
      <c r="L93">
        <v>2017</v>
      </c>
      <c r="M93" t="s">
        <v>38</v>
      </c>
      <c r="N93" t="s">
        <v>32</v>
      </c>
    </row>
    <row r="94" spans="1:14" x14ac:dyDescent="0.2">
      <c r="A94">
        <v>220052551</v>
      </c>
      <c r="B94" t="s">
        <v>40</v>
      </c>
      <c r="C94" t="s">
        <v>435</v>
      </c>
      <c r="D94" t="s">
        <v>560</v>
      </c>
      <c r="E94" s="8">
        <v>0.74</v>
      </c>
      <c r="F94" t="s">
        <v>487</v>
      </c>
      <c r="G94">
        <v>211</v>
      </c>
      <c r="H94" t="s">
        <v>35</v>
      </c>
      <c r="I94" t="s">
        <v>36</v>
      </c>
      <c r="J94" t="s">
        <v>37</v>
      </c>
      <c r="K94" t="s">
        <v>28</v>
      </c>
      <c r="L94">
        <v>2017</v>
      </c>
      <c r="M94" t="s">
        <v>38</v>
      </c>
      <c r="N94" t="s">
        <v>32</v>
      </c>
    </row>
    <row r="95" spans="1:14" x14ac:dyDescent="0.2">
      <c r="A95">
        <v>220052551</v>
      </c>
      <c r="B95" t="s">
        <v>40</v>
      </c>
      <c r="C95" t="s">
        <v>393</v>
      </c>
      <c r="D95" t="s">
        <v>560</v>
      </c>
      <c r="E95" s="8">
        <v>0.77999999999999992</v>
      </c>
      <c r="F95" t="s">
        <v>487</v>
      </c>
      <c r="G95">
        <v>211</v>
      </c>
      <c r="H95" t="s">
        <v>35</v>
      </c>
      <c r="I95" t="s">
        <v>36</v>
      </c>
      <c r="J95" t="s">
        <v>37</v>
      </c>
      <c r="K95" t="s">
        <v>28</v>
      </c>
      <c r="L95">
        <v>2017</v>
      </c>
      <c r="M95" t="s">
        <v>38</v>
      </c>
      <c r="N95" t="s">
        <v>32</v>
      </c>
    </row>
    <row r="96" spans="1:14" x14ac:dyDescent="0.2">
      <c r="A96">
        <v>220052551</v>
      </c>
      <c r="B96" t="s">
        <v>41</v>
      </c>
      <c r="C96" t="s">
        <v>212</v>
      </c>
      <c r="D96" t="s">
        <v>562</v>
      </c>
      <c r="E96" s="8">
        <v>0.59000000000000008</v>
      </c>
      <c r="F96" t="s">
        <v>487</v>
      </c>
      <c r="G96">
        <v>211</v>
      </c>
      <c r="H96" t="s">
        <v>35</v>
      </c>
      <c r="I96" t="s">
        <v>36</v>
      </c>
      <c r="J96" t="s">
        <v>37</v>
      </c>
      <c r="K96" t="s">
        <v>28</v>
      </c>
      <c r="L96">
        <v>2017</v>
      </c>
      <c r="M96" t="s">
        <v>38</v>
      </c>
      <c r="N96" t="s">
        <v>32</v>
      </c>
    </row>
    <row r="97" spans="1:14" x14ac:dyDescent="0.2">
      <c r="A97">
        <v>220052551</v>
      </c>
      <c r="B97" t="s">
        <v>41</v>
      </c>
      <c r="C97" t="s">
        <v>207</v>
      </c>
      <c r="D97" t="s">
        <v>562</v>
      </c>
      <c r="E97" s="8">
        <v>0.56000000000000005</v>
      </c>
      <c r="F97" t="s">
        <v>487</v>
      </c>
      <c r="G97">
        <v>211</v>
      </c>
      <c r="H97" t="s">
        <v>35</v>
      </c>
      <c r="I97" t="s">
        <v>36</v>
      </c>
      <c r="J97" t="s">
        <v>37</v>
      </c>
      <c r="K97" t="s">
        <v>28</v>
      </c>
      <c r="L97">
        <v>2017</v>
      </c>
      <c r="M97" t="s">
        <v>38</v>
      </c>
      <c r="N97" t="s">
        <v>32</v>
      </c>
    </row>
    <row r="98" spans="1:14" x14ac:dyDescent="0.2">
      <c r="A98">
        <v>220052551</v>
      </c>
      <c r="B98" t="s">
        <v>41</v>
      </c>
      <c r="C98" t="s">
        <v>221</v>
      </c>
      <c r="D98" t="s">
        <v>563</v>
      </c>
      <c r="E98" s="8">
        <v>0.29333333333333333</v>
      </c>
      <c r="F98" t="s">
        <v>487</v>
      </c>
      <c r="G98">
        <v>211</v>
      </c>
      <c r="H98" t="s">
        <v>35</v>
      </c>
      <c r="I98" t="s">
        <v>36</v>
      </c>
      <c r="J98" t="s">
        <v>37</v>
      </c>
      <c r="K98" t="s">
        <v>28</v>
      </c>
      <c r="L98">
        <v>2017</v>
      </c>
      <c r="M98" t="s">
        <v>38</v>
      </c>
      <c r="N98" t="s">
        <v>32</v>
      </c>
    </row>
    <row r="99" spans="1:14" x14ac:dyDescent="0.2">
      <c r="A99">
        <v>220052551</v>
      </c>
      <c r="B99" t="s">
        <v>42</v>
      </c>
      <c r="C99" t="s">
        <v>159</v>
      </c>
      <c r="D99" t="s">
        <v>564</v>
      </c>
      <c r="E99" s="8">
        <v>0.14000000000000001</v>
      </c>
      <c r="F99" t="s">
        <v>487</v>
      </c>
      <c r="G99">
        <v>211</v>
      </c>
      <c r="H99" t="s">
        <v>35</v>
      </c>
      <c r="I99" t="s">
        <v>36</v>
      </c>
      <c r="J99" t="s">
        <v>37</v>
      </c>
      <c r="K99" t="s">
        <v>28</v>
      </c>
      <c r="L99">
        <v>2017</v>
      </c>
      <c r="M99" t="s">
        <v>38</v>
      </c>
      <c r="N99" t="s">
        <v>32</v>
      </c>
    </row>
    <row r="100" spans="1:14" x14ac:dyDescent="0.2">
      <c r="A100">
        <v>220052551</v>
      </c>
      <c r="B100" t="s">
        <v>42</v>
      </c>
      <c r="C100" t="s">
        <v>135</v>
      </c>
      <c r="D100" t="s">
        <v>565</v>
      </c>
      <c r="E100" s="8">
        <v>0.74</v>
      </c>
      <c r="F100" t="s">
        <v>487</v>
      </c>
      <c r="G100">
        <v>211</v>
      </c>
      <c r="H100" t="s">
        <v>35</v>
      </c>
      <c r="I100" t="s">
        <v>36</v>
      </c>
      <c r="J100" t="s">
        <v>37</v>
      </c>
      <c r="K100" t="s">
        <v>28</v>
      </c>
      <c r="L100">
        <v>2017</v>
      </c>
      <c r="M100" t="s">
        <v>38</v>
      </c>
      <c r="N100" t="s">
        <v>32</v>
      </c>
    </row>
    <row r="101" spans="1:14" x14ac:dyDescent="0.2">
      <c r="A101">
        <v>220052551</v>
      </c>
      <c r="B101" t="s">
        <v>42</v>
      </c>
      <c r="C101" t="s">
        <v>56</v>
      </c>
      <c r="D101" t="s">
        <v>565</v>
      </c>
      <c r="E101" s="8">
        <v>0.7400000000000001</v>
      </c>
      <c r="F101" t="s">
        <v>487</v>
      </c>
      <c r="G101">
        <v>211</v>
      </c>
      <c r="H101" t="s">
        <v>35</v>
      </c>
      <c r="I101" t="s">
        <v>36</v>
      </c>
      <c r="J101" t="s">
        <v>37</v>
      </c>
      <c r="K101" t="s">
        <v>28</v>
      </c>
      <c r="L101">
        <v>2017</v>
      </c>
      <c r="M101" t="s">
        <v>38</v>
      </c>
      <c r="N101" t="s">
        <v>32</v>
      </c>
    </row>
    <row r="102" spans="1:14" x14ac:dyDescent="0.2">
      <c r="A102">
        <v>220052551</v>
      </c>
      <c r="B102" t="s">
        <v>42</v>
      </c>
      <c r="C102" t="s">
        <v>155</v>
      </c>
      <c r="D102" t="s">
        <v>564</v>
      </c>
      <c r="E102" s="8">
        <v>0.14000000000000001</v>
      </c>
      <c r="F102" t="s">
        <v>487</v>
      </c>
      <c r="G102">
        <v>211</v>
      </c>
      <c r="H102" t="s">
        <v>35</v>
      </c>
      <c r="I102" t="s">
        <v>36</v>
      </c>
      <c r="J102" t="s">
        <v>37</v>
      </c>
      <c r="K102" t="s">
        <v>28</v>
      </c>
      <c r="L102">
        <v>2017</v>
      </c>
      <c r="M102" t="s">
        <v>38</v>
      </c>
      <c r="N102" t="s">
        <v>32</v>
      </c>
    </row>
    <row r="103" spans="1:14" x14ac:dyDescent="0.2">
      <c r="A103">
        <v>220052551</v>
      </c>
      <c r="B103" t="s">
        <v>479</v>
      </c>
      <c r="C103" t="s">
        <v>57</v>
      </c>
      <c r="D103" t="s">
        <v>566</v>
      </c>
      <c r="E103" s="8">
        <v>0.54166666666666663</v>
      </c>
      <c r="F103" t="s">
        <v>487</v>
      </c>
      <c r="G103">
        <v>211</v>
      </c>
      <c r="H103" t="s">
        <v>35</v>
      </c>
      <c r="I103" t="s">
        <v>36</v>
      </c>
      <c r="J103" t="s">
        <v>37</v>
      </c>
      <c r="K103" t="s">
        <v>28</v>
      </c>
      <c r="L103">
        <v>2017</v>
      </c>
      <c r="M103" t="s">
        <v>38</v>
      </c>
      <c r="N103" t="s">
        <v>32</v>
      </c>
    </row>
    <row r="104" spans="1:14" x14ac:dyDescent="0.2">
      <c r="A104">
        <v>220052551</v>
      </c>
      <c r="B104" t="s">
        <v>479</v>
      </c>
      <c r="C104" t="s">
        <v>58</v>
      </c>
      <c r="D104" t="s">
        <v>567</v>
      </c>
      <c r="E104" s="8">
        <v>0.14000000000000001</v>
      </c>
      <c r="F104" t="s">
        <v>487</v>
      </c>
      <c r="G104">
        <v>211</v>
      </c>
      <c r="H104" t="s">
        <v>35</v>
      </c>
      <c r="I104" t="s">
        <v>36</v>
      </c>
      <c r="J104" t="s">
        <v>37</v>
      </c>
      <c r="K104" t="s">
        <v>28</v>
      </c>
      <c r="L104">
        <v>2017</v>
      </c>
      <c r="M104" t="s">
        <v>38</v>
      </c>
      <c r="N104" t="s">
        <v>32</v>
      </c>
    </row>
    <row r="105" spans="1:14" x14ac:dyDescent="0.2">
      <c r="A105">
        <v>220052551</v>
      </c>
      <c r="B105" t="s">
        <v>480</v>
      </c>
      <c r="C105" t="s">
        <v>456</v>
      </c>
      <c r="D105" t="s">
        <v>568</v>
      </c>
      <c r="E105" s="8">
        <v>0.53999999999999992</v>
      </c>
      <c r="F105" t="s">
        <v>487</v>
      </c>
      <c r="G105">
        <v>211</v>
      </c>
      <c r="H105" t="s">
        <v>35</v>
      </c>
      <c r="I105" t="s">
        <v>36</v>
      </c>
      <c r="J105" t="s">
        <v>37</v>
      </c>
      <c r="K105" t="s">
        <v>28</v>
      </c>
      <c r="L105">
        <v>2017</v>
      </c>
      <c r="M105" t="s">
        <v>38</v>
      </c>
      <c r="N105" t="s">
        <v>32</v>
      </c>
    </row>
    <row r="106" spans="1:14" x14ac:dyDescent="0.2">
      <c r="A106">
        <v>220052551</v>
      </c>
      <c r="B106" t="s">
        <v>480</v>
      </c>
      <c r="C106" t="s">
        <v>452</v>
      </c>
      <c r="D106" t="s">
        <v>568</v>
      </c>
      <c r="E106" s="8">
        <v>0.53999999999999992</v>
      </c>
      <c r="F106" t="s">
        <v>487</v>
      </c>
      <c r="G106">
        <v>211</v>
      </c>
      <c r="H106" t="s">
        <v>35</v>
      </c>
      <c r="I106" t="s">
        <v>36</v>
      </c>
      <c r="J106" t="s">
        <v>37</v>
      </c>
      <c r="K106" t="s">
        <v>28</v>
      </c>
      <c r="L106">
        <v>2017</v>
      </c>
      <c r="M106" t="s">
        <v>38</v>
      </c>
      <c r="N106" t="s">
        <v>32</v>
      </c>
    </row>
    <row r="107" spans="1:14" x14ac:dyDescent="0.2">
      <c r="A107">
        <v>220052551</v>
      </c>
      <c r="B107" t="s">
        <v>481</v>
      </c>
      <c r="C107" t="s">
        <v>533</v>
      </c>
      <c r="D107" t="s">
        <v>569</v>
      </c>
      <c r="E107" s="8">
        <v>0.14000000000000001</v>
      </c>
      <c r="F107" t="s">
        <v>487</v>
      </c>
      <c r="G107">
        <v>211</v>
      </c>
      <c r="H107" t="s">
        <v>35</v>
      </c>
      <c r="I107" t="s">
        <v>36</v>
      </c>
      <c r="J107" t="s">
        <v>37</v>
      </c>
      <c r="K107" t="s">
        <v>28</v>
      </c>
      <c r="L107">
        <v>2017</v>
      </c>
      <c r="M107" t="s">
        <v>38</v>
      </c>
      <c r="N107" t="s">
        <v>32</v>
      </c>
    </row>
    <row r="108" spans="1:14" x14ac:dyDescent="0.2">
      <c r="A108">
        <v>220052551</v>
      </c>
      <c r="B108" t="s">
        <v>481</v>
      </c>
      <c r="C108" t="s">
        <v>106</v>
      </c>
      <c r="D108" t="s">
        <v>569</v>
      </c>
      <c r="E108" s="8">
        <v>0.14000000000000001</v>
      </c>
      <c r="F108" t="s">
        <v>487</v>
      </c>
      <c r="G108">
        <v>211</v>
      </c>
      <c r="H108" t="s">
        <v>35</v>
      </c>
      <c r="I108" t="s">
        <v>36</v>
      </c>
      <c r="J108" t="s">
        <v>37</v>
      </c>
      <c r="K108" t="s">
        <v>28</v>
      </c>
      <c r="L108">
        <v>2017</v>
      </c>
      <c r="M108" t="s">
        <v>38</v>
      </c>
      <c r="N108" t="s">
        <v>32</v>
      </c>
    </row>
    <row r="109" spans="1:14" x14ac:dyDescent="0.2">
      <c r="A109">
        <v>220052551</v>
      </c>
      <c r="B109" t="s">
        <v>43</v>
      </c>
      <c r="C109" t="s">
        <v>59</v>
      </c>
      <c r="D109" t="s">
        <v>570</v>
      </c>
      <c r="E109" s="8">
        <v>0.38</v>
      </c>
      <c r="F109" t="s">
        <v>487</v>
      </c>
      <c r="G109">
        <v>211</v>
      </c>
      <c r="H109" t="s">
        <v>35</v>
      </c>
      <c r="I109" t="s">
        <v>36</v>
      </c>
      <c r="J109" t="s">
        <v>37</v>
      </c>
      <c r="K109" t="s">
        <v>28</v>
      </c>
      <c r="L109">
        <v>2017</v>
      </c>
      <c r="M109" t="s">
        <v>38</v>
      </c>
      <c r="N109" t="s">
        <v>32</v>
      </c>
    </row>
    <row r="110" spans="1:14" x14ac:dyDescent="0.2">
      <c r="A110">
        <v>220052551</v>
      </c>
      <c r="B110" t="s">
        <v>482</v>
      </c>
      <c r="C110" t="s">
        <v>436</v>
      </c>
      <c r="D110" t="s">
        <v>561</v>
      </c>
      <c r="E110" s="8">
        <v>0.54214285714285715</v>
      </c>
      <c r="F110" t="s">
        <v>487</v>
      </c>
      <c r="G110">
        <v>211</v>
      </c>
      <c r="H110" t="s">
        <v>35</v>
      </c>
      <c r="I110" t="s">
        <v>36</v>
      </c>
      <c r="J110" t="s">
        <v>37</v>
      </c>
      <c r="K110" t="s">
        <v>28</v>
      </c>
      <c r="L110">
        <v>2017</v>
      </c>
      <c r="M110" t="s">
        <v>38</v>
      </c>
      <c r="N110" t="s">
        <v>32</v>
      </c>
    </row>
    <row r="111" spans="1:14" x14ac:dyDescent="0.2">
      <c r="A111">
        <v>220052551</v>
      </c>
      <c r="B111" t="s">
        <v>482</v>
      </c>
      <c r="C111" t="s">
        <v>436</v>
      </c>
      <c r="D111" t="s">
        <v>561</v>
      </c>
      <c r="E111" s="8">
        <v>0.73199999999999998</v>
      </c>
      <c r="F111" t="s">
        <v>487</v>
      </c>
      <c r="G111">
        <v>211</v>
      </c>
      <c r="H111" t="s">
        <v>35</v>
      </c>
      <c r="I111" t="s">
        <v>36</v>
      </c>
      <c r="J111" t="s">
        <v>37</v>
      </c>
      <c r="K111" t="s">
        <v>28</v>
      </c>
      <c r="L111">
        <v>2017</v>
      </c>
      <c r="M111" t="s">
        <v>38</v>
      </c>
      <c r="N111" t="s">
        <v>32</v>
      </c>
    </row>
    <row r="112" spans="1:14" x14ac:dyDescent="0.2">
      <c r="A112">
        <v>220052551</v>
      </c>
      <c r="B112" t="s">
        <v>483</v>
      </c>
      <c r="C112" t="s">
        <v>197</v>
      </c>
      <c r="D112" t="s">
        <v>556</v>
      </c>
      <c r="E112" s="8">
        <v>0.74</v>
      </c>
      <c r="F112" t="s">
        <v>487</v>
      </c>
      <c r="G112">
        <v>211</v>
      </c>
      <c r="H112" t="s">
        <v>35</v>
      </c>
      <c r="I112" t="s">
        <v>36</v>
      </c>
      <c r="J112" t="s">
        <v>37</v>
      </c>
      <c r="K112" t="s">
        <v>28</v>
      </c>
      <c r="L112">
        <v>2017</v>
      </c>
      <c r="M112" t="s">
        <v>38</v>
      </c>
      <c r="N112" t="s">
        <v>32</v>
      </c>
    </row>
    <row r="113" spans="1:14" x14ac:dyDescent="0.2">
      <c r="A113">
        <v>220052551</v>
      </c>
      <c r="B113" t="s">
        <v>483</v>
      </c>
      <c r="C113" t="s">
        <v>196</v>
      </c>
      <c r="D113" t="s">
        <v>557</v>
      </c>
      <c r="E113" s="8">
        <v>0.14000000000000001</v>
      </c>
      <c r="F113" t="s">
        <v>487</v>
      </c>
      <c r="G113">
        <v>211</v>
      </c>
      <c r="H113" t="s">
        <v>35</v>
      </c>
      <c r="I113" t="s">
        <v>36</v>
      </c>
      <c r="J113" t="s">
        <v>37</v>
      </c>
      <c r="K113" t="s">
        <v>28</v>
      </c>
      <c r="L113">
        <v>2017</v>
      </c>
      <c r="M113" t="s">
        <v>38</v>
      </c>
      <c r="N113" t="s">
        <v>32</v>
      </c>
    </row>
    <row r="114" spans="1:14" x14ac:dyDescent="0.2">
      <c r="A114">
        <v>220052551</v>
      </c>
      <c r="B114" t="s">
        <v>483</v>
      </c>
      <c r="C114" t="s">
        <v>197</v>
      </c>
      <c r="D114" t="s">
        <v>556</v>
      </c>
      <c r="E114" s="8">
        <v>0.53999999999999992</v>
      </c>
      <c r="F114" t="s">
        <v>487</v>
      </c>
      <c r="G114">
        <v>211</v>
      </c>
      <c r="H114" t="s">
        <v>35</v>
      </c>
      <c r="I114" t="s">
        <v>36</v>
      </c>
      <c r="J114" t="s">
        <v>37</v>
      </c>
      <c r="K114" t="s">
        <v>28</v>
      </c>
      <c r="L114">
        <v>2017</v>
      </c>
      <c r="M114" t="s">
        <v>38</v>
      </c>
      <c r="N114" t="s">
        <v>32</v>
      </c>
    </row>
    <row r="115" spans="1:14" x14ac:dyDescent="0.2">
      <c r="A115">
        <v>220052551</v>
      </c>
      <c r="B115" t="s">
        <v>483</v>
      </c>
      <c r="C115" t="s">
        <v>196</v>
      </c>
      <c r="D115" t="s">
        <v>557</v>
      </c>
      <c r="E115" s="8">
        <v>0.23200000000000004</v>
      </c>
      <c r="F115" t="s">
        <v>487</v>
      </c>
      <c r="G115">
        <v>211</v>
      </c>
      <c r="H115" t="s">
        <v>35</v>
      </c>
      <c r="I115" t="s">
        <v>36</v>
      </c>
      <c r="J115" t="s">
        <v>37</v>
      </c>
      <c r="K115" t="s">
        <v>28</v>
      </c>
      <c r="L115">
        <v>2017</v>
      </c>
      <c r="M115" t="s">
        <v>38</v>
      </c>
      <c r="N115" t="s">
        <v>32</v>
      </c>
    </row>
    <row r="116" spans="1:14" x14ac:dyDescent="0.2">
      <c r="A116">
        <v>220052551</v>
      </c>
      <c r="B116" t="s">
        <v>483</v>
      </c>
      <c r="C116" t="s">
        <v>197</v>
      </c>
      <c r="D116" t="s">
        <v>556</v>
      </c>
      <c r="E116" s="8">
        <v>0.29333333333333333</v>
      </c>
      <c r="F116" t="s">
        <v>487</v>
      </c>
      <c r="G116">
        <v>211</v>
      </c>
      <c r="H116" t="s">
        <v>35</v>
      </c>
      <c r="I116" t="s">
        <v>36</v>
      </c>
      <c r="J116" t="s">
        <v>37</v>
      </c>
      <c r="K116" t="s">
        <v>28</v>
      </c>
      <c r="L116">
        <v>2017</v>
      </c>
      <c r="M116" t="s">
        <v>38</v>
      </c>
      <c r="N116" t="s">
        <v>32</v>
      </c>
    </row>
    <row r="117" spans="1:14" x14ac:dyDescent="0.2">
      <c r="A117">
        <v>220052551</v>
      </c>
      <c r="B117" t="s">
        <v>484</v>
      </c>
      <c r="C117" t="s">
        <v>497</v>
      </c>
      <c r="D117" t="s">
        <v>558</v>
      </c>
      <c r="E117" s="8">
        <v>0.53999999999999992</v>
      </c>
      <c r="F117" t="s">
        <v>487</v>
      </c>
      <c r="G117">
        <v>211</v>
      </c>
      <c r="H117" t="s">
        <v>35</v>
      </c>
      <c r="I117" t="s">
        <v>36</v>
      </c>
      <c r="J117" t="s">
        <v>37</v>
      </c>
      <c r="K117" t="s">
        <v>28</v>
      </c>
      <c r="L117">
        <v>2017</v>
      </c>
      <c r="M117" t="s">
        <v>38</v>
      </c>
      <c r="N117" t="s">
        <v>32</v>
      </c>
    </row>
    <row r="118" spans="1:14" x14ac:dyDescent="0.2">
      <c r="A118">
        <v>220052551</v>
      </c>
      <c r="B118" t="s">
        <v>484</v>
      </c>
      <c r="C118" t="s">
        <v>500</v>
      </c>
      <c r="D118" t="s">
        <v>558</v>
      </c>
      <c r="E118" s="8">
        <v>0.78</v>
      </c>
      <c r="F118" t="s">
        <v>487</v>
      </c>
      <c r="G118">
        <v>211</v>
      </c>
      <c r="H118" t="s">
        <v>35</v>
      </c>
      <c r="I118" t="s">
        <v>36</v>
      </c>
      <c r="J118" t="s">
        <v>37</v>
      </c>
      <c r="K118" t="s">
        <v>28</v>
      </c>
      <c r="L118">
        <v>2017</v>
      </c>
      <c r="M118" t="s">
        <v>38</v>
      </c>
      <c r="N118" t="s">
        <v>32</v>
      </c>
    </row>
    <row r="119" spans="1:14" x14ac:dyDescent="0.2">
      <c r="A119">
        <v>220052551</v>
      </c>
      <c r="B119" t="s">
        <v>484</v>
      </c>
      <c r="C119" t="s">
        <v>501</v>
      </c>
      <c r="D119" t="s">
        <v>558</v>
      </c>
      <c r="E119" s="8">
        <v>0.48749999999999999</v>
      </c>
      <c r="F119" t="s">
        <v>487</v>
      </c>
      <c r="G119">
        <v>211</v>
      </c>
      <c r="H119" t="s">
        <v>35</v>
      </c>
      <c r="I119" t="s">
        <v>36</v>
      </c>
      <c r="J119" t="s">
        <v>37</v>
      </c>
      <c r="K119" t="s">
        <v>28</v>
      </c>
      <c r="L119">
        <v>2017</v>
      </c>
      <c r="M119" t="s">
        <v>38</v>
      </c>
      <c r="N119" t="s">
        <v>32</v>
      </c>
    </row>
    <row r="120" spans="1:14" x14ac:dyDescent="0.2">
      <c r="A120">
        <v>220052551</v>
      </c>
      <c r="B120" t="s">
        <v>485</v>
      </c>
      <c r="C120" t="s">
        <v>346</v>
      </c>
      <c r="D120" t="s">
        <v>559</v>
      </c>
      <c r="E120" s="8">
        <v>0.14000000000000001</v>
      </c>
      <c r="F120" t="s">
        <v>487</v>
      </c>
      <c r="G120">
        <v>211</v>
      </c>
      <c r="H120" t="s">
        <v>35</v>
      </c>
      <c r="I120" t="s">
        <v>36</v>
      </c>
      <c r="J120" t="s">
        <v>37</v>
      </c>
      <c r="K120" t="s">
        <v>28</v>
      </c>
      <c r="L120">
        <v>2017</v>
      </c>
      <c r="M120" t="s">
        <v>38</v>
      </c>
      <c r="N120" t="s">
        <v>32</v>
      </c>
    </row>
    <row r="121" spans="1:14" x14ac:dyDescent="0.2">
      <c r="A121">
        <v>220052551</v>
      </c>
      <c r="B121" t="s">
        <v>485</v>
      </c>
      <c r="C121" t="s">
        <v>342</v>
      </c>
      <c r="D121" t="s">
        <v>559</v>
      </c>
      <c r="E121" s="8">
        <v>0.26375000000000004</v>
      </c>
      <c r="F121" t="s">
        <v>487</v>
      </c>
      <c r="G121">
        <v>211</v>
      </c>
      <c r="H121" t="s">
        <v>35</v>
      </c>
      <c r="I121" t="s">
        <v>36</v>
      </c>
      <c r="J121" t="s">
        <v>37</v>
      </c>
      <c r="K121" t="s">
        <v>28</v>
      </c>
      <c r="L121">
        <v>2017</v>
      </c>
      <c r="M121" t="s">
        <v>38</v>
      </c>
      <c r="N121" t="s">
        <v>32</v>
      </c>
    </row>
    <row r="122" spans="1:14" x14ac:dyDescent="0.2">
      <c r="A122">
        <v>242132470</v>
      </c>
      <c r="B122" t="s">
        <v>478</v>
      </c>
      <c r="C122" t="s">
        <v>276</v>
      </c>
      <c r="D122" t="s">
        <v>546</v>
      </c>
      <c r="E122" s="8">
        <v>0.23999999999999996</v>
      </c>
      <c r="F122" t="s">
        <v>487</v>
      </c>
      <c r="G122">
        <v>211</v>
      </c>
      <c r="H122" t="s">
        <v>35</v>
      </c>
      <c r="I122" t="s">
        <v>36</v>
      </c>
      <c r="J122" t="s">
        <v>37</v>
      </c>
      <c r="K122" t="s">
        <v>28</v>
      </c>
      <c r="L122">
        <v>2017</v>
      </c>
      <c r="M122" t="s">
        <v>38</v>
      </c>
      <c r="N122" t="s">
        <v>32</v>
      </c>
    </row>
    <row r="123" spans="1:14" x14ac:dyDescent="0.2">
      <c r="A123">
        <v>242132470</v>
      </c>
      <c r="B123" t="s">
        <v>478</v>
      </c>
      <c r="C123" t="s">
        <v>247</v>
      </c>
      <c r="D123" t="s">
        <v>546</v>
      </c>
      <c r="E123" s="8">
        <v>0.18600000000000003</v>
      </c>
      <c r="F123" t="s">
        <v>487</v>
      </c>
      <c r="G123">
        <v>211</v>
      </c>
      <c r="H123" t="s">
        <v>35</v>
      </c>
      <c r="I123" t="s">
        <v>36</v>
      </c>
      <c r="J123" t="s">
        <v>37</v>
      </c>
      <c r="K123" t="s">
        <v>28</v>
      </c>
      <c r="L123">
        <v>2017</v>
      </c>
      <c r="M123" t="s">
        <v>38</v>
      </c>
      <c r="N123" t="s">
        <v>32</v>
      </c>
    </row>
    <row r="124" spans="1:14" x14ac:dyDescent="0.2">
      <c r="A124">
        <v>242132470</v>
      </c>
      <c r="B124" t="s">
        <v>40</v>
      </c>
      <c r="C124" t="s">
        <v>435</v>
      </c>
      <c r="D124" t="s">
        <v>560</v>
      </c>
      <c r="E124" s="8">
        <v>0.11000000000000001</v>
      </c>
      <c r="F124" t="s">
        <v>487</v>
      </c>
      <c r="G124">
        <v>211</v>
      </c>
      <c r="H124" t="s">
        <v>35</v>
      </c>
      <c r="I124" t="s">
        <v>36</v>
      </c>
      <c r="J124" t="s">
        <v>37</v>
      </c>
      <c r="K124" t="s">
        <v>28</v>
      </c>
      <c r="L124">
        <v>2017</v>
      </c>
      <c r="M124" t="s">
        <v>38</v>
      </c>
      <c r="N124" t="s">
        <v>32</v>
      </c>
    </row>
    <row r="125" spans="1:14" x14ac:dyDescent="0.2">
      <c r="A125">
        <v>242132470</v>
      </c>
      <c r="B125" t="s">
        <v>40</v>
      </c>
      <c r="C125" t="s">
        <v>393</v>
      </c>
      <c r="D125" t="s">
        <v>560</v>
      </c>
      <c r="E125" s="8">
        <v>0.55333333333333334</v>
      </c>
      <c r="F125" t="s">
        <v>487</v>
      </c>
      <c r="G125">
        <v>211</v>
      </c>
      <c r="H125" t="s">
        <v>35</v>
      </c>
      <c r="I125" t="s">
        <v>36</v>
      </c>
      <c r="J125" t="s">
        <v>37</v>
      </c>
      <c r="K125" t="s">
        <v>28</v>
      </c>
      <c r="L125">
        <v>2017</v>
      </c>
      <c r="M125" t="s">
        <v>38</v>
      </c>
      <c r="N125" t="s">
        <v>32</v>
      </c>
    </row>
    <row r="126" spans="1:14" x14ac:dyDescent="0.2">
      <c r="A126">
        <v>242132470</v>
      </c>
      <c r="B126" t="s">
        <v>41</v>
      </c>
      <c r="C126" t="s">
        <v>212</v>
      </c>
      <c r="D126" t="s">
        <v>562</v>
      </c>
      <c r="E126" s="8">
        <v>0.22250000000000006</v>
      </c>
      <c r="F126" t="s">
        <v>487</v>
      </c>
      <c r="G126">
        <v>211</v>
      </c>
      <c r="H126" t="s">
        <v>35</v>
      </c>
      <c r="I126" t="s">
        <v>36</v>
      </c>
      <c r="J126" t="s">
        <v>37</v>
      </c>
      <c r="K126" t="s">
        <v>28</v>
      </c>
      <c r="L126">
        <v>2017</v>
      </c>
      <c r="M126" t="s">
        <v>38</v>
      </c>
      <c r="N126" t="s">
        <v>32</v>
      </c>
    </row>
    <row r="127" spans="1:14" x14ac:dyDescent="0.2">
      <c r="A127">
        <v>242132470</v>
      </c>
      <c r="B127" t="s">
        <v>41</v>
      </c>
      <c r="C127" t="s">
        <v>207</v>
      </c>
      <c r="D127" t="s">
        <v>562</v>
      </c>
      <c r="E127" s="8">
        <v>0.48166666666666669</v>
      </c>
      <c r="F127" t="s">
        <v>487</v>
      </c>
      <c r="G127">
        <v>211</v>
      </c>
      <c r="H127" t="s">
        <v>35</v>
      </c>
      <c r="I127" t="s">
        <v>36</v>
      </c>
      <c r="J127" t="s">
        <v>37</v>
      </c>
      <c r="K127" t="s">
        <v>28</v>
      </c>
      <c r="L127">
        <v>2017</v>
      </c>
      <c r="M127" t="s">
        <v>38</v>
      </c>
      <c r="N127" t="s">
        <v>32</v>
      </c>
    </row>
    <row r="128" spans="1:14" x14ac:dyDescent="0.2">
      <c r="A128">
        <v>242132470</v>
      </c>
      <c r="B128" t="s">
        <v>41</v>
      </c>
      <c r="C128" t="s">
        <v>221</v>
      </c>
      <c r="D128" t="s">
        <v>563</v>
      </c>
      <c r="E128" s="8">
        <v>0.37333333333333335</v>
      </c>
      <c r="F128" t="s">
        <v>487</v>
      </c>
      <c r="G128">
        <v>211</v>
      </c>
      <c r="H128" t="s">
        <v>35</v>
      </c>
      <c r="I128" t="s">
        <v>36</v>
      </c>
      <c r="J128" t="s">
        <v>37</v>
      </c>
      <c r="K128" t="s">
        <v>28</v>
      </c>
      <c r="L128">
        <v>2017</v>
      </c>
      <c r="M128" t="s">
        <v>38</v>
      </c>
      <c r="N128" t="s">
        <v>32</v>
      </c>
    </row>
    <row r="129" spans="1:14" x14ac:dyDescent="0.2">
      <c r="A129">
        <v>242132470</v>
      </c>
      <c r="B129" t="s">
        <v>42</v>
      </c>
      <c r="C129" t="s">
        <v>159</v>
      </c>
      <c r="D129" t="s">
        <v>564</v>
      </c>
      <c r="E129" s="8">
        <v>0.56000000000000005</v>
      </c>
      <c r="F129" t="s">
        <v>487</v>
      </c>
      <c r="G129">
        <v>211</v>
      </c>
      <c r="H129" t="s">
        <v>35</v>
      </c>
      <c r="I129" t="s">
        <v>36</v>
      </c>
      <c r="J129" t="s">
        <v>37</v>
      </c>
      <c r="K129" t="s">
        <v>28</v>
      </c>
      <c r="L129">
        <v>2017</v>
      </c>
      <c r="M129" t="s">
        <v>38</v>
      </c>
      <c r="N129" t="s">
        <v>32</v>
      </c>
    </row>
    <row r="130" spans="1:14" x14ac:dyDescent="0.2">
      <c r="A130">
        <v>242132470</v>
      </c>
      <c r="B130" t="s">
        <v>42</v>
      </c>
      <c r="C130" t="s">
        <v>135</v>
      </c>
      <c r="D130" t="s">
        <v>565</v>
      </c>
      <c r="E130" s="8">
        <v>0.11000000000000001</v>
      </c>
      <c r="F130" t="s">
        <v>487</v>
      </c>
      <c r="G130">
        <v>211</v>
      </c>
      <c r="H130" t="s">
        <v>35</v>
      </c>
      <c r="I130" t="s">
        <v>36</v>
      </c>
      <c r="J130" t="s">
        <v>37</v>
      </c>
      <c r="K130" t="s">
        <v>28</v>
      </c>
      <c r="L130">
        <v>2017</v>
      </c>
      <c r="M130" t="s">
        <v>38</v>
      </c>
      <c r="N130" t="s">
        <v>32</v>
      </c>
    </row>
    <row r="131" spans="1:14" x14ac:dyDescent="0.2">
      <c r="A131">
        <v>242132470</v>
      </c>
      <c r="B131" t="s">
        <v>42</v>
      </c>
      <c r="C131" t="s">
        <v>56</v>
      </c>
      <c r="D131" t="s">
        <v>565</v>
      </c>
      <c r="E131" s="8">
        <v>0.11000000000000001</v>
      </c>
      <c r="F131" t="s">
        <v>487</v>
      </c>
      <c r="G131">
        <v>211</v>
      </c>
      <c r="H131" t="s">
        <v>35</v>
      </c>
      <c r="I131" t="s">
        <v>36</v>
      </c>
      <c r="J131" t="s">
        <v>37</v>
      </c>
      <c r="K131" t="s">
        <v>28</v>
      </c>
      <c r="L131">
        <v>2017</v>
      </c>
      <c r="M131" t="s">
        <v>38</v>
      </c>
      <c r="N131" t="s">
        <v>32</v>
      </c>
    </row>
    <row r="132" spans="1:14" x14ac:dyDescent="0.2">
      <c r="A132">
        <v>242132470</v>
      </c>
      <c r="B132" t="s">
        <v>42</v>
      </c>
      <c r="C132" t="s">
        <v>155</v>
      </c>
      <c r="D132" t="s">
        <v>564</v>
      </c>
      <c r="E132" s="8">
        <v>0.56000000000000005</v>
      </c>
      <c r="F132" t="s">
        <v>487</v>
      </c>
      <c r="G132">
        <v>211</v>
      </c>
      <c r="H132" t="s">
        <v>35</v>
      </c>
      <c r="I132" t="s">
        <v>36</v>
      </c>
      <c r="J132" t="s">
        <v>37</v>
      </c>
      <c r="K132" t="s">
        <v>28</v>
      </c>
      <c r="L132">
        <v>2017</v>
      </c>
      <c r="M132" t="s">
        <v>38</v>
      </c>
      <c r="N132" t="s">
        <v>32</v>
      </c>
    </row>
    <row r="133" spans="1:14" x14ac:dyDescent="0.2">
      <c r="A133">
        <v>242132470</v>
      </c>
      <c r="B133" t="s">
        <v>479</v>
      </c>
      <c r="C133" t="s">
        <v>57</v>
      </c>
      <c r="D133" t="s">
        <v>566</v>
      </c>
      <c r="E133" s="8">
        <v>0.35833333333333334</v>
      </c>
      <c r="F133" t="s">
        <v>487</v>
      </c>
      <c r="G133">
        <v>211</v>
      </c>
      <c r="H133" t="s">
        <v>35</v>
      </c>
      <c r="I133" t="s">
        <v>36</v>
      </c>
      <c r="J133" t="s">
        <v>37</v>
      </c>
      <c r="K133" t="s">
        <v>28</v>
      </c>
      <c r="L133">
        <v>2017</v>
      </c>
      <c r="M133" t="s">
        <v>38</v>
      </c>
      <c r="N133" t="s">
        <v>32</v>
      </c>
    </row>
    <row r="134" spans="1:14" x14ac:dyDescent="0.2">
      <c r="A134">
        <v>242132470</v>
      </c>
      <c r="B134" t="s">
        <v>479</v>
      </c>
      <c r="C134" t="s">
        <v>58</v>
      </c>
      <c r="D134" t="s">
        <v>567</v>
      </c>
      <c r="E134" s="8">
        <v>0.56000000000000005</v>
      </c>
      <c r="F134" t="s">
        <v>487</v>
      </c>
      <c r="G134">
        <v>211</v>
      </c>
      <c r="H134" t="s">
        <v>35</v>
      </c>
      <c r="I134" t="s">
        <v>36</v>
      </c>
      <c r="J134" t="s">
        <v>37</v>
      </c>
      <c r="K134" t="s">
        <v>28</v>
      </c>
      <c r="L134">
        <v>2017</v>
      </c>
      <c r="M134" t="s">
        <v>38</v>
      </c>
      <c r="N134" t="s">
        <v>32</v>
      </c>
    </row>
    <row r="135" spans="1:14" x14ac:dyDescent="0.2">
      <c r="A135">
        <v>242132470</v>
      </c>
      <c r="B135" t="s">
        <v>480</v>
      </c>
      <c r="C135" t="s">
        <v>456</v>
      </c>
      <c r="D135" t="s">
        <v>568</v>
      </c>
      <c r="E135" s="8">
        <v>0.26</v>
      </c>
      <c r="F135" t="s">
        <v>487</v>
      </c>
      <c r="G135">
        <v>211</v>
      </c>
      <c r="H135" t="s">
        <v>35</v>
      </c>
      <c r="I135" t="s">
        <v>36</v>
      </c>
      <c r="J135" t="s">
        <v>37</v>
      </c>
      <c r="K135" t="s">
        <v>28</v>
      </c>
      <c r="L135">
        <v>2017</v>
      </c>
      <c r="M135" t="s">
        <v>38</v>
      </c>
      <c r="N135" t="s">
        <v>32</v>
      </c>
    </row>
    <row r="136" spans="1:14" x14ac:dyDescent="0.2">
      <c r="A136">
        <v>242132470</v>
      </c>
      <c r="B136" t="s">
        <v>480</v>
      </c>
      <c r="C136" t="s">
        <v>452</v>
      </c>
      <c r="D136" t="s">
        <v>568</v>
      </c>
      <c r="E136" s="8">
        <v>0.26</v>
      </c>
      <c r="F136" t="s">
        <v>487</v>
      </c>
      <c r="G136">
        <v>211</v>
      </c>
      <c r="H136" t="s">
        <v>35</v>
      </c>
      <c r="I136" t="s">
        <v>36</v>
      </c>
      <c r="J136" t="s">
        <v>37</v>
      </c>
      <c r="K136" t="s">
        <v>28</v>
      </c>
      <c r="L136">
        <v>2017</v>
      </c>
      <c r="M136" t="s">
        <v>38</v>
      </c>
      <c r="N136" t="s">
        <v>32</v>
      </c>
    </row>
    <row r="137" spans="1:14" x14ac:dyDescent="0.2">
      <c r="A137">
        <v>242132470</v>
      </c>
      <c r="B137" t="s">
        <v>481</v>
      </c>
      <c r="C137" t="s">
        <v>533</v>
      </c>
      <c r="D137" t="s">
        <v>569</v>
      </c>
      <c r="E137" s="8">
        <v>0.56000000000000005</v>
      </c>
      <c r="F137" t="s">
        <v>487</v>
      </c>
      <c r="G137">
        <v>211</v>
      </c>
      <c r="H137" t="s">
        <v>35</v>
      </c>
      <c r="I137" t="s">
        <v>36</v>
      </c>
      <c r="J137" t="s">
        <v>37</v>
      </c>
      <c r="K137" t="s">
        <v>28</v>
      </c>
      <c r="L137">
        <v>2017</v>
      </c>
      <c r="M137" t="s">
        <v>38</v>
      </c>
      <c r="N137" t="s">
        <v>32</v>
      </c>
    </row>
    <row r="138" spans="1:14" x14ac:dyDescent="0.2">
      <c r="A138">
        <v>242132470</v>
      </c>
      <c r="B138" t="s">
        <v>481</v>
      </c>
      <c r="C138" t="s">
        <v>106</v>
      </c>
      <c r="D138" t="s">
        <v>569</v>
      </c>
      <c r="E138" s="8">
        <v>0.56000000000000005</v>
      </c>
      <c r="F138" t="s">
        <v>487</v>
      </c>
      <c r="G138">
        <v>211</v>
      </c>
      <c r="H138" t="s">
        <v>35</v>
      </c>
      <c r="I138" t="s">
        <v>36</v>
      </c>
      <c r="J138" t="s">
        <v>37</v>
      </c>
      <c r="K138" t="s">
        <v>28</v>
      </c>
      <c r="L138">
        <v>2017</v>
      </c>
      <c r="M138" t="s">
        <v>38</v>
      </c>
      <c r="N138" t="s">
        <v>32</v>
      </c>
    </row>
    <row r="139" spans="1:14" x14ac:dyDescent="0.2">
      <c r="A139">
        <v>242132470</v>
      </c>
      <c r="B139" t="s">
        <v>43</v>
      </c>
      <c r="C139" t="s">
        <v>59</v>
      </c>
      <c r="D139" t="s">
        <v>570</v>
      </c>
      <c r="E139" s="8">
        <v>0.38</v>
      </c>
      <c r="F139" t="s">
        <v>487</v>
      </c>
      <c r="G139">
        <v>211</v>
      </c>
      <c r="H139" t="s">
        <v>35</v>
      </c>
      <c r="I139" t="s">
        <v>36</v>
      </c>
      <c r="J139" t="s">
        <v>37</v>
      </c>
      <c r="K139" t="s">
        <v>28</v>
      </c>
      <c r="L139">
        <v>2017</v>
      </c>
      <c r="M139" t="s">
        <v>38</v>
      </c>
      <c r="N139" t="s">
        <v>32</v>
      </c>
    </row>
    <row r="140" spans="1:14" x14ac:dyDescent="0.2">
      <c r="A140">
        <v>242132470</v>
      </c>
      <c r="B140" t="s">
        <v>482</v>
      </c>
      <c r="C140" t="s">
        <v>436</v>
      </c>
      <c r="D140" t="s">
        <v>561</v>
      </c>
      <c r="E140" s="8">
        <v>0.18071428571428569</v>
      </c>
      <c r="F140" t="s">
        <v>487</v>
      </c>
      <c r="G140">
        <v>211</v>
      </c>
      <c r="H140" t="s">
        <v>35</v>
      </c>
      <c r="I140" t="s">
        <v>36</v>
      </c>
      <c r="J140" t="s">
        <v>37</v>
      </c>
      <c r="K140" t="s">
        <v>28</v>
      </c>
      <c r="L140">
        <v>2017</v>
      </c>
      <c r="M140" t="s">
        <v>38</v>
      </c>
      <c r="N140" t="s">
        <v>32</v>
      </c>
    </row>
    <row r="141" spans="1:14" x14ac:dyDescent="0.2">
      <c r="A141">
        <v>242132470</v>
      </c>
      <c r="B141" t="s">
        <v>482</v>
      </c>
      <c r="C141" t="s">
        <v>436</v>
      </c>
      <c r="D141" t="s">
        <v>561</v>
      </c>
      <c r="E141" s="8">
        <v>0.28799999999999998</v>
      </c>
      <c r="F141" t="s">
        <v>487</v>
      </c>
      <c r="G141">
        <v>211</v>
      </c>
      <c r="H141" t="s">
        <v>35</v>
      </c>
      <c r="I141" t="s">
        <v>36</v>
      </c>
      <c r="J141" t="s">
        <v>37</v>
      </c>
      <c r="K141" t="s">
        <v>28</v>
      </c>
      <c r="L141">
        <v>2017</v>
      </c>
      <c r="M141" t="s">
        <v>38</v>
      </c>
      <c r="N141" t="s">
        <v>32</v>
      </c>
    </row>
    <row r="142" spans="1:14" x14ac:dyDescent="0.2">
      <c r="A142">
        <v>242132470</v>
      </c>
      <c r="B142" t="s">
        <v>483</v>
      </c>
      <c r="C142" t="s">
        <v>197</v>
      </c>
      <c r="D142" t="s">
        <v>556</v>
      </c>
      <c r="E142" s="8">
        <v>0.11000000000000001</v>
      </c>
      <c r="F142" t="s">
        <v>487</v>
      </c>
      <c r="G142">
        <v>211</v>
      </c>
      <c r="H142" t="s">
        <v>35</v>
      </c>
      <c r="I142" t="s">
        <v>36</v>
      </c>
      <c r="J142" t="s">
        <v>37</v>
      </c>
      <c r="K142" t="s">
        <v>28</v>
      </c>
      <c r="L142">
        <v>2017</v>
      </c>
      <c r="M142" t="s">
        <v>38</v>
      </c>
      <c r="N142" t="s">
        <v>32</v>
      </c>
    </row>
    <row r="143" spans="1:14" x14ac:dyDescent="0.2">
      <c r="A143">
        <v>242132470</v>
      </c>
      <c r="B143" t="s">
        <v>483</v>
      </c>
      <c r="C143" t="s">
        <v>196</v>
      </c>
      <c r="D143" t="s">
        <v>557</v>
      </c>
      <c r="E143" s="8">
        <v>0.56000000000000005</v>
      </c>
      <c r="F143" t="s">
        <v>487</v>
      </c>
      <c r="G143">
        <v>211</v>
      </c>
      <c r="H143" t="s">
        <v>35</v>
      </c>
      <c r="I143" t="s">
        <v>36</v>
      </c>
      <c r="J143" t="s">
        <v>37</v>
      </c>
      <c r="K143" t="s">
        <v>28</v>
      </c>
      <c r="L143">
        <v>2017</v>
      </c>
      <c r="M143" t="s">
        <v>38</v>
      </c>
      <c r="N143" t="s">
        <v>32</v>
      </c>
    </row>
    <row r="144" spans="1:14" x14ac:dyDescent="0.2">
      <c r="A144">
        <v>242132470</v>
      </c>
      <c r="B144" t="s">
        <v>483</v>
      </c>
      <c r="C144" t="s">
        <v>197</v>
      </c>
      <c r="D144" t="s">
        <v>556</v>
      </c>
      <c r="E144" s="8">
        <v>0.26</v>
      </c>
      <c r="F144" t="s">
        <v>487</v>
      </c>
      <c r="G144">
        <v>211</v>
      </c>
      <c r="H144" t="s">
        <v>35</v>
      </c>
      <c r="I144" t="s">
        <v>36</v>
      </c>
      <c r="J144" t="s">
        <v>37</v>
      </c>
      <c r="K144" t="s">
        <v>28</v>
      </c>
      <c r="L144">
        <v>2017</v>
      </c>
      <c r="M144" t="s">
        <v>38</v>
      </c>
      <c r="N144" t="s">
        <v>32</v>
      </c>
    </row>
    <row r="145" spans="1:14" x14ac:dyDescent="0.2">
      <c r="A145">
        <v>242132470</v>
      </c>
      <c r="B145" t="s">
        <v>483</v>
      </c>
      <c r="C145" t="s">
        <v>196</v>
      </c>
      <c r="D145" t="s">
        <v>557</v>
      </c>
      <c r="E145" s="8">
        <v>0.44800000000000006</v>
      </c>
      <c r="F145" t="s">
        <v>487</v>
      </c>
      <c r="G145">
        <v>211</v>
      </c>
      <c r="H145" t="s">
        <v>35</v>
      </c>
      <c r="I145" t="s">
        <v>36</v>
      </c>
      <c r="J145" t="s">
        <v>37</v>
      </c>
      <c r="K145" t="s">
        <v>28</v>
      </c>
      <c r="L145">
        <v>2017</v>
      </c>
      <c r="M145" t="s">
        <v>38</v>
      </c>
      <c r="N145" t="s">
        <v>32</v>
      </c>
    </row>
    <row r="146" spans="1:14" x14ac:dyDescent="0.2">
      <c r="A146">
        <v>242132470</v>
      </c>
      <c r="B146" t="s">
        <v>483</v>
      </c>
      <c r="C146" t="s">
        <v>197</v>
      </c>
      <c r="D146" t="s">
        <v>556</v>
      </c>
      <c r="E146" s="8">
        <v>0.37333333333333335</v>
      </c>
      <c r="F146" t="s">
        <v>487</v>
      </c>
      <c r="G146">
        <v>211</v>
      </c>
      <c r="H146" t="s">
        <v>35</v>
      </c>
      <c r="I146" t="s">
        <v>36</v>
      </c>
      <c r="J146" t="s">
        <v>37</v>
      </c>
      <c r="K146" t="s">
        <v>28</v>
      </c>
      <c r="L146">
        <v>2017</v>
      </c>
      <c r="M146" t="s">
        <v>38</v>
      </c>
      <c r="N146" t="s">
        <v>32</v>
      </c>
    </row>
    <row r="147" spans="1:14" x14ac:dyDescent="0.2">
      <c r="A147">
        <v>242132470</v>
      </c>
      <c r="B147" t="s">
        <v>484</v>
      </c>
      <c r="C147" t="s">
        <v>497</v>
      </c>
      <c r="D147" t="s">
        <v>558</v>
      </c>
      <c r="E147" s="8">
        <v>0.26</v>
      </c>
      <c r="F147" t="s">
        <v>487</v>
      </c>
      <c r="G147">
        <v>211</v>
      </c>
      <c r="H147" t="s">
        <v>35</v>
      </c>
      <c r="I147" t="s">
        <v>36</v>
      </c>
      <c r="J147" t="s">
        <v>37</v>
      </c>
      <c r="K147" t="s">
        <v>28</v>
      </c>
      <c r="L147">
        <v>2017</v>
      </c>
      <c r="M147" t="s">
        <v>38</v>
      </c>
      <c r="N147" t="s">
        <v>32</v>
      </c>
    </row>
    <row r="148" spans="1:14" x14ac:dyDescent="0.2">
      <c r="A148">
        <v>242132470</v>
      </c>
      <c r="B148" t="s">
        <v>484</v>
      </c>
      <c r="C148" t="s">
        <v>500</v>
      </c>
      <c r="D148" t="s">
        <v>558</v>
      </c>
      <c r="E148" s="8">
        <v>0.22000000000000003</v>
      </c>
      <c r="F148" t="s">
        <v>487</v>
      </c>
      <c r="G148">
        <v>211</v>
      </c>
      <c r="H148" t="s">
        <v>35</v>
      </c>
      <c r="I148" t="s">
        <v>36</v>
      </c>
      <c r="J148" t="s">
        <v>37</v>
      </c>
      <c r="K148" t="s">
        <v>28</v>
      </c>
      <c r="L148">
        <v>2017</v>
      </c>
      <c r="M148" t="s">
        <v>38</v>
      </c>
      <c r="N148" t="s">
        <v>32</v>
      </c>
    </row>
    <row r="149" spans="1:14" x14ac:dyDescent="0.2">
      <c r="A149">
        <v>242132470</v>
      </c>
      <c r="B149" t="s">
        <v>484</v>
      </c>
      <c r="C149" t="s">
        <v>501</v>
      </c>
      <c r="D149" t="s">
        <v>558</v>
      </c>
      <c r="E149" s="8">
        <v>0.27</v>
      </c>
      <c r="F149" t="s">
        <v>487</v>
      </c>
      <c r="G149">
        <v>211</v>
      </c>
      <c r="H149" t="s">
        <v>35</v>
      </c>
      <c r="I149" t="s">
        <v>36</v>
      </c>
      <c r="J149" t="s">
        <v>37</v>
      </c>
      <c r="K149" t="s">
        <v>28</v>
      </c>
      <c r="L149">
        <v>2017</v>
      </c>
      <c r="M149" t="s">
        <v>38</v>
      </c>
      <c r="N149" t="s">
        <v>32</v>
      </c>
    </row>
    <row r="150" spans="1:14" x14ac:dyDescent="0.2">
      <c r="A150">
        <v>242132470</v>
      </c>
      <c r="B150" t="s">
        <v>485</v>
      </c>
      <c r="C150" t="s">
        <v>346</v>
      </c>
      <c r="D150" t="s">
        <v>559</v>
      </c>
      <c r="E150" s="8">
        <v>0.56000000000000005</v>
      </c>
      <c r="F150" t="s">
        <v>487</v>
      </c>
      <c r="G150">
        <v>211</v>
      </c>
      <c r="H150" t="s">
        <v>35</v>
      </c>
      <c r="I150" t="s">
        <v>36</v>
      </c>
      <c r="J150" t="s">
        <v>37</v>
      </c>
      <c r="K150" t="s">
        <v>28</v>
      </c>
      <c r="L150">
        <v>2017</v>
      </c>
      <c r="M150" t="s">
        <v>38</v>
      </c>
      <c r="N150" t="s">
        <v>32</v>
      </c>
    </row>
    <row r="151" spans="1:14" x14ac:dyDescent="0.2">
      <c r="A151">
        <v>242132470</v>
      </c>
      <c r="B151" t="s">
        <v>485</v>
      </c>
      <c r="C151" t="s">
        <v>342</v>
      </c>
      <c r="D151" t="s">
        <v>559</v>
      </c>
      <c r="E151" s="8">
        <v>0.33625000000000005</v>
      </c>
      <c r="F151" t="s">
        <v>487</v>
      </c>
      <c r="G151">
        <v>211</v>
      </c>
      <c r="H151" t="s">
        <v>35</v>
      </c>
      <c r="I151" t="s">
        <v>36</v>
      </c>
      <c r="J151" t="s">
        <v>37</v>
      </c>
      <c r="K151" t="s">
        <v>28</v>
      </c>
      <c r="L151">
        <v>2017</v>
      </c>
      <c r="M151" t="s">
        <v>38</v>
      </c>
      <c r="N151" t="s">
        <v>32</v>
      </c>
    </row>
    <row r="152" spans="1:14" x14ac:dyDescent="0.2">
      <c r="A152">
        <v>277055951</v>
      </c>
      <c r="B152" t="s">
        <v>478</v>
      </c>
      <c r="C152" t="s">
        <v>276</v>
      </c>
      <c r="D152" t="s">
        <v>546</v>
      </c>
      <c r="E152" s="8">
        <v>0.33999999999999997</v>
      </c>
      <c r="F152" t="s">
        <v>487</v>
      </c>
      <c r="G152">
        <v>211</v>
      </c>
      <c r="H152" t="s">
        <v>35</v>
      </c>
      <c r="I152" t="s">
        <v>36</v>
      </c>
      <c r="J152" t="s">
        <v>37</v>
      </c>
      <c r="K152" t="s">
        <v>28</v>
      </c>
      <c r="L152">
        <v>2017</v>
      </c>
      <c r="M152" t="s">
        <v>38</v>
      </c>
      <c r="N152" t="s">
        <v>32</v>
      </c>
    </row>
    <row r="153" spans="1:14" x14ac:dyDescent="0.2">
      <c r="A153">
        <v>277055951</v>
      </c>
      <c r="B153" t="s">
        <v>478</v>
      </c>
      <c r="C153" t="s">
        <v>247</v>
      </c>
      <c r="D153" t="s">
        <v>546</v>
      </c>
      <c r="E153" s="8">
        <v>0.29200000000000004</v>
      </c>
      <c r="F153" t="s">
        <v>487</v>
      </c>
      <c r="G153">
        <v>211</v>
      </c>
      <c r="H153" t="s">
        <v>35</v>
      </c>
      <c r="I153" t="s">
        <v>36</v>
      </c>
      <c r="J153" t="s">
        <v>37</v>
      </c>
      <c r="K153" t="s">
        <v>28</v>
      </c>
      <c r="L153">
        <v>2017</v>
      </c>
      <c r="M153" t="s">
        <v>38</v>
      </c>
      <c r="N153" t="s">
        <v>32</v>
      </c>
    </row>
    <row r="154" spans="1:14" x14ac:dyDescent="0.2">
      <c r="A154">
        <v>277055951</v>
      </c>
      <c r="B154" t="s">
        <v>40</v>
      </c>
      <c r="C154" t="s">
        <v>435</v>
      </c>
      <c r="D154" t="s">
        <v>560</v>
      </c>
      <c r="E154" s="8">
        <v>0.26</v>
      </c>
      <c r="F154" t="s">
        <v>487</v>
      </c>
      <c r="G154">
        <v>211</v>
      </c>
      <c r="H154" t="s">
        <v>35</v>
      </c>
      <c r="I154" t="s">
        <v>36</v>
      </c>
      <c r="J154" t="s">
        <v>37</v>
      </c>
      <c r="K154" t="s">
        <v>28</v>
      </c>
      <c r="L154">
        <v>2017</v>
      </c>
      <c r="M154" t="s">
        <v>38</v>
      </c>
      <c r="N154" t="s">
        <v>32</v>
      </c>
    </row>
    <row r="155" spans="1:14" x14ac:dyDescent="0.2">
      <c r="A155">
        <v>277055951</v>
      </c>
      <c r="B155" t="s">
        <v>40</v>
      </c>
      <c r="C155" t="s">
        <v>393</v>
      </c>
      <c r="D155" t="s">
        <v>560</v>
      </c>
      <c r="E155" s="8">
        <v>0.6066666666666668</v>
      </c>
      <c r="F155" t="s">
        <v>487</v>
      </c>
      <c r="G155">
        <v>211</v>
      </c>
      <c r="H155" t="s">
        <v>35</v>
      </c>
      <c r="I155" t="s">
        <v>36</v>
      </c>
      <c r="J155" t="s">
        <v>37</v>
      </c>
      <c r="K155" t="s">
        <v>28</v>
      </c>
      <c r="L155">
        <v>2017</v>
      </c>
      <c r="M155" t="s">
        <v>38</v>
      </c>
      <c r="N155" t="s">
        <v>32</v>
      </c>
    </row>
    <row r="156" spans="1:14" x14ac:dyDescent="0.2">
      <c r="A156">
        <v>277055951</v>
      </c>
      <c r="B156" t="s">
        <v>41</v>
      </c>
      <c r="C156" t="s">
        <v>212</v>
      </c>
      <c r="D156" t="s">
        <v>562</v>
      </c>
      <c r="E156" s="8">
        <v>0.19500000000000001</v>
      </c>
      <c r="F156" t="s">
        <v>487</v>
      </c>
      <c r="G156">
        <v>211</v>
      </c>
      <c r="H156" t="s">
        <v>35</v>
      </c>
      <c r="I156" t="s">
        <v>36</v>
      </c>
      <c r="J156" t="s">
        <v>37</v>
      </c>
      <c r="K156" t="s">
        <v>28</v>
      </c>
      <c r="L156">
        <v>2017</v>
      </c>
      <c r="M156" t="s">
        <v>38</v>
      </c>
      <c r="N156" t="s">
        <v>32</v>
      </c>
    </row>
    <row r="157" spans="1:14" x14ac:dyDescent="0.2">
      <c r="A157">
        <v>277055951</v>
      </c>
      <c r="B157" t="s">
        <v>41</v>
      </c>
      <c r="C157" t="s">
        <v>207</v>
      </c>
      <c r="D157" t="s">
        <v>562</v>
      </c>
      <c r="E157" s="8">
        <v>0.34666666666666668</v>
      </c>
      <c r="F157" t="s">
        <v>487</v>
      </c>
      <c r="G157">
        <v>211</v>
      </c>
      <c r="H157" t="s">
        <v>35</v>
      </c>
      <c r="I157" t="s">
        <v>36</v>
      </c>
      <c r="J157" t="s">
        <v>37</v>
      </c>
      <c r="K157" t="s">
        <v>28</v>
      </c>
      <c r="L157">
        <v>2017</v>
      </c>
      <c r="M157" t="s">
        <v>38</v>
      </c>
      <c r="N157" t="s">
        <v>32</v>
      </c>
    </row>
    <row r="158" spans="1:14" x14ac:dyDescent="0.2">
      <c r="A158">
        <v>277055951</v>
      </c>
      <c r="B158" t="s">
        <v>41</v>
      </c>
      <c r="C158" t="s">
        <v>221</v>
      </c>
      <c r="D158" t="s">
        <v>563</v>
      </c>
      <c r="E158" s="8">
        <v>0.13333333333333333</v>
      </c>
      <c r="F158" t="s">
        <v>487</v>
      </c>
      <c r="G158">
        <v>211</v>
      </c>
      <c r="H158" t="s">
        <v>35</v>
      </c>
      <c r="I158" t="s">
        <v>36</v>
      </c>
      <c r="J158" t="s">
        <v>37</v>
      </c>
      <c r="K158" t="s">
        <v>28</v>
      </c>
      <c r="L158">
        <v>2017</v>
      </c>
      <c r="M158" t="s">
        <v>38</v>
      </c>
      <c r="N158" t="s">
        <v>32</v>
      </c>
    </row>
    <row r="159" spans="1:14" x14ac:dyDescent="0.2">
      <c r="A159">
        <v>277055951</v>
      </c>
      <c r="B159" t="s">
        <v>42</v>
      </c>
      <c r="C159" t="s">
        <v>159</v>
      </c>
      <c r="D159" t="s">
        <v>564</v>
      </c>
      <c r="E159" s="8">
        <v>0</v>
      </c>
      <c r="F159" t="s">
        <v>487</v>
      </c>
      <c r="G159">
        <v>211</v>
      </c>
      <c r="H159" t="s">
        <v>35</v>
      </c>
      <c r="I159" t="s">
        <v>36</v>
      </c>
      <c r="J159" t="s">
        <v>37</v>
      </c>
      <c r="K159" t="s">
        <v>28</v>
      </c>
      <c r="L159">
        <v>2017</v>
      </c>
      <c r="M159" t="s">
        <v>38</v>
      </c>
      <c r="N159" t="s">
        <v>32</v>
      </c>
    </row>
    <row r="160" spans="1:14" x14ac:dyDescent="0.2">
      <c r="A160">
        <v>277055951</v>
      </c>
      <c r="B160" t="s">
        <v>42</v>
      </c>
      <c r="C160" t="s">
        <v>135</v>
      </c>
      <c r="D160" t="s">
        <v>565</v>
      </c>
      <c r="E160" s="8">
        <v>0.26</v>
      </c>
      <c r="F160" t="s">
        <v>487</v>
      </c>
      <c r="G160">
        <v>211</v>
      </c>
      <c r="H160" t="s">
        <v>35</v>
      </c>
      <c r="I160" t="s">
        <v>36</v>
      </c>
      <c r="J160" t="s">
        <v>37</v>
      </c>
      <c r="K160" t="s">
        <v>28</v>
      </c>
      <c r="L160">
        <v>2017</v>
      </c>
      <c r="M160" t="s">
        <v>38</v>
      </c>
      <c r="N160" t="s">
        <v>32</v>
      </c>
    </row>
    <row r="161" spans="1:14" x14ac:dyDescent="0.2">
      <c r="A161">
        <v>277055951</v>
      </c>
      <c r="B161" t="s">
        <v>42</v>
      </c>
      <c r="C161" t="s">
        <v>56</v>
      </c>
      <c r="D161" t="s">
        <v>565</v>
      </c>
      <c r="E161" s="8">
        <v>0.26</v>
      </c>
      <c r="F161" t="s">
        <v>487</v>
      </c>
      <c r="G161">
        <v>211</v>
      </c>
      <c r="H161" t="s">
        <v>35</v>
      </c>
      <c r="I161" t="s">
        <v>36</v>
      </c>
      <c r="J161" t="s">
        <v>37</v>
      </c>
      <c r="K161" t="s">
        <v>28</v>
      </c>
      <c r="L161">
        <v>2017</v>
      </c>
      <c r="M161" t="s">
        <v>38</v>
      </c>
      <c r="N161" t="s">
        <v>32</v>
      </c>
    </row>
    <row r="162" spans="1:14" x14ac:dyDescent="0.2">
      <c r="A162">
        <v>277055951</v>
      </c>
      <c r="B162" t="s">
        <v>42</v>
      </c>
      <c r="C162" t="s">
        <v>155</v>
      </c>
      <c r="D162" t="s">
        <v>564</v>
      </c>
      <c r="E162" s="8">
        <v>0</v>
      </c>
      <c r="F162" t="s">
        <v>487</v>
      </c>
      <c r="G162">
        <v>211</v>
      </c>
      <c r="H162" t="s">
        <v>35</v>
      </c>
      <c r="I162" t="s">
        <v>36</v>
      </c>
      <c r="J162" t="s">
        <v>37</v>
      </c>
      <c r="K162" t="s">
        <v>28</v>
      </c>
      <c r="L162">
        <v>2017</v>
      </c>
      <c r="M162" t="s">
        <v>38</v>
      </c>
      <c r="N162" t="s">
        <v>32</v>
      </c>
    </row>
    <row r="163" spans="1:14" x14ac:dyDescent="0.2">
      <c r="A163">
        <v>277055951</v>
      </c>
      <c r="B163" t="s">
        <v>479</v>
      </c>
      <c r="C163" t="s">
        <v>57</v>
      </c>
      <c r="D163" t="s">
        <v>566</v>
      </c>
      <c r="E163" s="8">
        <v>0.37111111111111117</v>
      </c>
      <c r="F163" t="s">
        <v>487</v>
      </c>
      <c r="G163">
        <v>211</v>
      </c>
      <c r="H163" t="s">
        <v>35</v>
      </c>
      <c r="I163" t="s">
        <v>36</v>
      </c>
      <c r="J163" t="s">
        <v>37</v>
      </c>
      <c r="K163" t="s">
        <v>28</v>
      </c>
      <c r="L163">
        <v>2017</v>
      </c>
      <c r="M163" t="s">
        <v>38</v>
      </c>
      <c r="N163" t="s">
        <v>32</v>
      </c>
    </row>
    <row r="164" spans="1:14" x14ac:dyDescent="0.2">
      <c r="A164">
        <v>277055951</v>
      </c>
      <c r="B164" t="s">
        <v>479</v>
      </c>
      <c r="C164" t="s">
        <v>58</v>
      </c>
      <c r="D164" t="s">
        <v>567</v>
      </c>
      <c r="E164" s="8">
        <v>0</v>
      </c>
      <c r="F164" t="s">
        <v>487</v>
      </c>
      <c r="G164">
        <v>211</v>
      </c>
      <c r="H164" t="s">
        <v>35</v>
      </c>
      <c r="I164" t="s">
        <v>36</v>
      </c>
      <c r="J164" t="s">
        <v>37</v>
      </c>
      <c r="K164" t="s">
        <v>28</v>
      </c>
      <c r="L164">
        <v>2017</v>
      </c>
      <c r="M164" t="s">
        <v>38</v>
      </c>
      <c r="N164" t="s">
        <v>32</v>
      </c>
    </row>
    <row r="165" spans="1:14" x14ac:dyDescent="0.2">
      <c r="A165">
        <v>277055951</v>
      </c>
      <c r="B165" t="s">
        <v>480</v>
      </c>
      <c r="C165" t="s">
        <v>456</v>
      </c>
      <c r="D165" t="s">
        <v>568</v>
      </c>
      <c r="E165" s="8">
        <v>0.17333333333333334</v>
      </c>
      <c r="F165" t="s">
        <v>487</v>
      </c>
      <c r="G165">
        <v>211</v>
      </c>
      <c r="H165" t="s">
        <v>35</v>
      </c>
      <c r="I165" t="s">
        <v>36</v>
      </c>
      <c r="J165" t="s">
        <v>37</v>
      </c>
      <c r="K165" t="s">
        <v>28</v>
      </c>
      <c r="L165">
        <v>2017</v>
      </c>
      <c r="M165" t="s">
        <v>38</v>
      </c>
      <c r="N165" t="s">
        <v>32</v>
      </c>
    </row>
    <row r="166" spans="1:14" x14ac:dyDescent="0.2">
      <c r="A166">
        <v>277055951</v>
      </c>
      <c r="B166" t="s">
        <v>480</v>
      </c>
      <c r="C166" t="s">
        <v>452</v>
      </c>
      <c r="D166" t="s">
        <v>568</v>
      </c>
      <c r="E166" s="8">
        <v>0.17333333333333334</v>
      </c>
      <c r="F166" t="s">
        <v>487</v>
      </c>
      <c r="G166">
        <v>211</v>
      </c>
      <c r="H166" t="s">
        <v>35</v>
      </c>
      <c r="I166" t="s">
        <v>36</v>
      </c>
      <c r="J166" t="s">
        <v>37</v>
      </c>
      <c r="K166" t="s">
        <v>28</v>
      </c>
      <c r="L166">
        <v>2017</v>
      </c>
      <c r="M166" t="s">
        <v>38</v>
      </c>
      <c r="N166" t="s">
        <v>32</v>
      </c>
    </row>
    <row r="167" spans="1:14" x14ac:dyDescent="0.2">
      <c r="A167">
        <v>277055951</v>
      </c>
      <c r="B167" t="s">
        <v>481</v>
      </c>
      <c r="C167" t="s">
        <v>533</v>
      </c>
      <c r="D167" t="s">
        <v>569</v>
      </c>
      <c r="E167" s="8">
        <v>0</v>
      </c>
      <c r="F167" t="s">
        <v>487</v>
      </c>
      <c r="G167">
        <v>211</v>
      </c>
      <c r="H167" t="s">
        <v>35</v>
      </c>
      <c r="I167" t="s">
        <v>36</v>
      </c>
      <c r="J167" t="s">
        <v>37</v>
      </c>
      <c r="K167" t="s">
        <v>28</v>
      </c>
      <c r="L167">
        <v>2017</v>
      </c>
      <c r="M167" t="s">
        <v>38</v>
      </c>
      <c r="N167" t="s">
        <v>32</v>
      </c>
    </row>
    <row r="168" spans="1:14" x14ac:dyDescent="0.2">
      <c r="A168">
        <v>277055951</v>
      </c>
      <c r="B168" t="s">
        <v>481</v>
      </c>
      <c r="C168" t="s">
        <v>106</v>
      </c>
      <c r="D168" t="s">
        <v>569</v>
      </c>
      <c r="E168" s="8">
        <v>0</v>
      </c>
      <c r="F168" t="s">
        <v>487</v>
      </c>
      <c r="G168">
        <v>211</v>
      </c>
      <c r="H168" t="s">
        <v>35</v>
      </c>
      <c r="I168" t="s">
        <v>36</v>
      </c>
      <c r="J168" t="s">
        <v>37</v>
      </c>
      <c r="K168" t="s">
        <v>28</v>
      </c>
      <c r="L168">
        <v>2017</v>
      </c>
      <c r="M168" t="s">
        <v>38</v>
      </c>
      <c r="N168" t="s">
        <v>32</v>
      </c>
    </row>
    <row r="169" spans="1:14" x14ac:dyDescent="0.2">
      <c r="A169">
        <v>277055951</v>
      </c>
      <c r="B169" t="s">
        <v>43</v>
      </c>
      <c r="C169" t="s">
        <v>59</v>
      </c>
      <c r="D169" t="s">
        <v>570</v>
      </c>
      <c r="E169" s="8">
        <v>0.10400000000000001</v>
      </c>
      <c r="F169" t="s">
        <v>487</v>
      </c>
      <c r="G169">
        <v>211</v>
      </c>
      <c r="H169" t="s">
        <v>35</v>
      </c>
      <c r="I169" t="s">
        <v>36</v>
      </c>
      <c r="J169" t="s">
        <v>37</v>
      </c>
      <c r="K169" t="s">
        <v>28</v>
      </c>
      <c r="L169">
        <v>2017</v>
      </c>
      <c r="M169" t="s">
        <v>38</v>
      </c>
      <c r="N169" t="s">
        <v>32</v>
      </c>
    </row>
    <row r="170" spans="1:14" x14ac:dyDescent="0.2">
      <c r="A170">
        <v>277055951</v>
      </c>
      <c r="B170" t="s">
        <v>482</v>
      </c>
      <c r="C170" t="s">
        <v>436</v>
      </c>
      <c r="D170" t="s">
        <v>561</v>
      </c>
      <c r="E170" s="8">
        <v>0.33142857142857141</v>
      </c>
      <c r="F170" t="s">
        <v>487</v>
      </c>
      <c r="G170">
        <v>211</v>
      </c>
      <c r="H170" t="s">
        <v>35</v>
      </c>
      <c r="I170" t="s">
        <v>36</v>
      </c>
      <c r="J170" t="s">
        <v>37</v>
      </c>
      <c r="K170" t="s">
        <v>28</v>
      </c>
      <c r="L170">
        <v>2017</v>
      </c>
      <c r="M170" t="s">
        <v>38</v>
      </c>
      <c r="N170" t="s">
        <v>32</v>
      </c>
    </row>
    <row r="171" spans="1:14" x14ac:dyDescent="0.2">
      <c r="A171">
        <v>277055951</v>
      </c>
      <c r="B171" t="s">
        <v>482</v>
      </c>
      <c r="C171" t="s">
        <v>436</v>
      </c>
      <c r="D171" t="s">
        <v>561</v>
      </c>
      <c r="E171" s="8">
        <v>0.32799999999999996</v>
      </c>
      <c r="F171" t="s">
        <v>487</v>
      </c>
      <c r="G171">
        <v>211</v>
      </c>
      <c r="H171" t="s">
        <v>35</v>
      </c>
      <c r="I171" t="s">
        <v>36</v>
      </c>
      <c r="J171" t="s">
        <v>37</v>
      </c>
      <c r="K171" t="s">
        <v>28</v>
      </c>
      <c r="L171">
        <v>2017</v>
      </c>
      <c r="M171" t="s">
        <v>38</v>
      </c>
      <c r="N171" t="s">
        <v>32</v>
      </c>
    </row>
    <row r="172" spans="1:14" x14ac:dyDescent="0.2">
      <c r="A172">
        <v>277055951</v>
      </c>
      <c r="B172" t="s">
        <v>483</v>
      </c>
      <c r="C172" t="s">
        <v>197</v>
      </c>
      <c r="D172" t="s">
        <v>556</v>
      </c>
      <c r="E172" s="8">
        <v>0.26</v>
      </c>
      <c r="F172" t="s">
        <v>487</v>
      </c>
      <c r="G172">
        <v>211</v>
      </c>
      <c r="H172" t="s">
        <v>35</v>
      </c>
      <c r="I172" t="s">
        <v>36</v>
      </c>
      <c r="J172" t="s">
        <v>37</v>
      </c>
      <c r="K172" t="s">
        <v>28</v>
      </c>
      <c r="L172">
        <v>2017</v>
      </c>
      <c r="M172" t="s">
        <v>38</v>
      </c>
      <c r="N172" t="s">
        <v>32</v>
      </c>
    </row>
    <row r="173" spans="1:14" x14ac:dyDescent="0.2">
      <c r="A173">
        <v>277055951</v>
      </c>
      <c r="B173" t="s">
        <v>483</v>
      </c>
      <c r="C173" t="s">
        <v>196</v>
      </c>
      <c r="D173" t="s">
        <v>557</v>
      </c>
      <c r="E173" s="8">
        <v>0</v>
      </c>
      <c r="F173" t="s">
        <v>487</v>
      </c>
      <c r="G173">
        <v>211</v>
      </c>
      <c r="H173" t="s">
        <v>35</v>
      </c>
      <c r="I173" t="s">
        <v>36</v>
      </c>
      <c r="J173" t="s">
        <v>37</v>
      </c>
      <c r="K173" t="s">
        <v>28</v>
      </c>
      <c r="L173">
        <v>2017</v>
      </c>
      <c r="M173" t="s">
        <v>38</v>
      </c>
      <c r="N173" t="s">
        <v>32</v>
      </c>
    </row>
    <row r="174" spans="1:14" x14ac:dyDescent="0.2">
      <c r="A174">
        <v>277055951</v>
      </c>
      <c r="B174" t="s">
        <v>483</v>
      </c>
      <c r="C174" t="s">
        <v>197</v>
      </c>
      <c r="D174" t="s">
        <v>556</v>
      </c>
      <c r="E174" s="8">
        <v>0.17333333333333334</v>
      </c>
      <c r="F174" t="s">
        <v>487</v>
      </c>
      <c r="G174">
        <v>211</v>
      </c>
      <c r="H174" t="s">
        <v>35</v>
      </c>
      <c r="I174" t="s">
        <v>36</v>
      </c>
      <c r="J174" t="s">
        <v>37</v>
      </c>
      <c r="K174" t="s">
        <v>28</v>
      </c>
      <c r="L174">
        <v>2017</v>
      </c>
      <c r="M174" t="s">
        <v>38</v>
      </c>
      <c r="N174" t="s">
        <v>32</v>
      </c>
    </row>
    <row r="175" spans="1:14" x14ac:dyDescent="0.2">
      <c r="A175">
        <v>277055951</v>
      </c>
      <c r="B175" t="s">
        <v>483</v>
      </c>
      <c r="C175" t="s">
        <v>196</v>
      </c>
      <c r="D175" t="s">
        <v>557</v>
      </c>
      <c r="E175" s="8">
        <v>0.08</v>
      </c>
      <c r="F175" t="s">
        <v>487</v>
      </c>
      <c r="G175">
        <v>211</v>
      </c>
      <c r="H175" t="s">
        <v>35</v>
      </c>
      <c r="I175" t="s">
        <v>36</v>
      </c>
      <c r="J175" t="s">
        <v>37</v>
      </c>
      <c r="K175" t="s">
        <v>28</v>
      </c>
      <c r="L175">
        <v>2017</v>
      </c>
      <c r="M175" t="s">
        <v>38</v>
      </c>
      <c r="N175" t="s">
        <v>32</v>
      </c>
    </row>
    <row r="176" spans="1:14" x14ac:dyDescent="0.2">
      <c r="A176">
        <v>277055951</v>
      </c>
      <c r="B176" t="s">
        <v>483</v>
      </c>
      <c r="C176" t="s">
        <v>197</v>
      </c>
      <c r="D176" t="s">
        <v>556</v>
      </c>
      <c r="E176" s="8">
        <v>0.13333333333333333</v>
      </c>
      <c r="F176" t="s">
        <v>487</v>
      </c>
      <c r="G176">
        <v>211</v>
      </c>
      <c r="H176" t="s">
        <v>35</v>
      </c>
      <c r="I176" t="s">
        <v>36</v>
      </c>
      <c r="J176" t="s">
        <v>37</v>
      </c>
      <c r="K176" t="s">
        <v>28</v>
      </c>
      <c r="L176">
        <v>2017</v>
      </c>
      <c r="M176" t="s">
        <v>38</v>
      </c>
      <c r="N176" t="s">
        <v>32</v>
      </c>
    </row>
    <row r="177" spans="1:14" x14ac:dyDescent="0.2">
      <c r="A177">
        <v>277055951</v>
      </c>
      <c r="B177" t="s">
        <v>484</v>
      </c>
      <c r="C177" t="s">
        <v>497</v>
      </c>
      <c r="D177" t="s">
        <v>558</v>
      </c>
      <c r="E177" s="8">
        <v>0.17333333333333334</v>
      </c>
      <c r="F177" t="s">
        <v>487</v>
      </c>
      <c r="G177">
        <v>211</v>
      </c>
      <c r="H177" t="s">
        <v>35</v>
      </c>
      <c r="I177" t="s">
        <v>36</v>
      </c>
      <c r="J177" t="s">
        <v>37</v>
      </c>
      <c r="K177" t="s">
        <v>28</v>
      </c>
      <c r="L177">
        <v>2017</v>
      </c>
      <c r="M177" t="s">
        <v>38</v>
      </c>
      <c r="N177" t="s">
        <v>32</v>
      </c>
    </row>
    <row r="178" spans="1:14" x14ac:dyDescent="0.2">
      <c r="A178">
        <v>277055951</v>
      </c>
      <c r="B178" t="s">
        <v>484</v>
      </c>
      <c r="C178" t="s">
        <v>500</v>
      </c>
      <c r="D178" t="s">
        <v>558</v>
      </c>
      <c r="E178" s="8">
        <v>0.43500000000000005</v>
      </c>
      <c r="F178" t="s">
        <v>487</v>
      </c>
      <c r="G178">
        <v>211</v>
      </c>
      <c r="H178" t="s">
        <v>35</v>
      </c>
      <c r="I178" t="s">
        <v>36</v>
      </c>
      <c r="J178" t="s">
        <v>37</v>
      </c>
      <c r="K178" t="s">
        <v>28</v>
      </c>
      <c r="L178">
        <v>2017</v>
      </c>
      <c r="M178" t="s">
        <v>38</v>
      </c>
      <c r="N178" t="s">
        <v>32</v>
      </c>
    </row>
    <row r="179" spans="1:14" x14ac:dyDescent="0.2">
      <c r="A179">
        <v>277055951</v>
      </c>
      <c r="B179" t="s">
        <v>484</v>
      </c>
      <c r="C179" t="s">
        <v>501</v>
      </c>
      <c r="D179" t="s">
        <v>558</v>
      </c>
      <c r="E179" s="8">
        <v>0.215</v>
      </c>
      <c r="F179" t="s">
        <v>487</v>
      </c>
      <c r="G179">
        <v>211</v>
      </c>
      <c r="H179" t="s">
        <v>35</v>
      </c>
      <c r="I179" t="s">
        <v>36</v>
      </c>
      <c r="J179" t="s">
        <v>37</v>
      </c>
      <c r="K179" t="s">
        <v>28</v>
      </c>
      <c r="L179">
        <v>2017</v>
      </c>
      <c r="M179" t="s">
        <v>38</v>
      </c>
      <c r="N179" t="s">
        <v>32</v>
      </c>
    </row>
    <row r="180" spans="1:14" x14ac:dyDescent="0.2">
      <c r="A180">
        <v>277055951</v>
      </c>
      <c r="B180" t="s">
        <v>485</v>
      </c>
      <c r="C180" t="s">
        <v>346</v>
      </c>
      <c r="D180" t="s">
        <v>559</v>
      </c>
      <c r="E180" s="8">
        <v>0</v>
      </c>
      <c r="F180" t="s">
        <v>487</v>
      </c>
      <c r="G180">
        <v>211</v>
      </c>
      <c r="H180" t="s">
        <v>35</v>
      </c>
      <c r="I180" t="s">
        <v>36</v>
      </c>
      <c r="J180" t="s">
        <v>37</v>
      </c>
      <c r="K180" t="s">
        <v>28</v>
      </c>
      <c r="L180">
        <v>2017</v>
      </c>
      <c r="M180" t="s">
        <v>38</v>
      </c>
      <c r="N180" t="s">
        <v>32</v>
      </c>
    </row>
    <row r="181" spans="1:14" x14ac:dyDescent="0.2">
      <c r="A181">
        <v>277055951</v>
      </c>
      <c r="B181" t="s">
        <v>485</v>
      </c>
      <c r="C181" t="s">
        <v>342</v>
      </c>
      <c r="D181" t="s">
        <v>559</v>
      </c>
      <c r="E181" s="8">
        <v>0.25</v>
      </c>
      <c r="F181" t="s">
        <v>487</v>
      </c>
      <c r="G181">
        <v>211</v>
      </c>
      <c r="H181" t="s">
        <v>35</v>
      </c>
      <c r="I181" t="s">
        <v>36</v>
      </c>
      <c r="J181" t="s">
        <v>37</v>
      </c>
      <c r="K181" t="s">
        <v>28</v>
      </c>
      <c r="L181">
        <v>2017</v>
      </c>
      <c r="M181" t="s">
        <v>38</v>
      </c>
      <c r="N181" t="s">
        <v>32</v>
      </c>
    </row>
    <row r="182" spans="1:14" x14ac:dyDescent="0.2">
      <c r="A182">
        <v>310082419</v>
      </c>
      <c r="B182" t="s">
        <v>478</v>
      </c>
      <c r="C182" t="s">
        <v>276</v>
      </c>
      <c r="D182" t="s">
        <v>546</v>
      </c>
      <c r="E182" s="8">
        <v>0.17666666666666669</v>
      </c>
      <c r="F182" t="s">
        <v>487</v>
      </c>
      <c r="G182">
        <v>211</v>
      </c>
      <c r="H182" t="s">
        <v>35</v>
      </c>
      <c r="I182" t="s">
        <v>36</v>
      </c>
      <c r="J182" t="s">
        <v>37</v>
      </c>
      <c r="K182" t="s">
        <v>28</v>
      </c>
      <c r="L182">
        <v>2017</v>
      </c>
      <c r="M182" t="s">
        <v>38</v>
      </c>
      <c r="N182" t="s">
        <v>32</v>
      </c>
    </row>
    <row r="183" spans="1:14" x14ac:dyDescent="0.2">
      <c r="A183">
        <v>310082419</v>
      </c>
      <c r="B183" t="s">
        <v>478</v>
      </c>
      <c r="C183" t="s">
        <v>247</v>
      </c>
      <c r="D183" t="s">
        <v>546</v>
      </c>
      <c r="E183" s="8">
        <v>0.22800000000000001</v>
      </c>
      <c r="F183" t="s">
        <v>487</v>
      </c>
      <c r="G183">
        <v>211</v>
      </c>
      <c r="H183" t="s">
        <v>35</v>
      </c>
      <c r="I183" t="s">
        <v>36</v>
      </c>
      <c r="J183" t="s">
        <v>37</v>
      </c>
      <c r="K183" t="s">
        <v>28</v>
      </c>
      <c r="L183">
        <v>2017</v>
      </c>
      <c r="M183" t="s">
        <v>38</v>
      </c>
      <c r="N183" t="s">
        <v>32</v>
      </c>
    </row>
    <row r="184" spans="1:14" x14ac:dyDescent="0.2">
      <c r="A184">
        <v>310082419</v>
      </c>
      <c r="B184" t="s">
        <v>40</v>
      </c>
      <c r="C184" t="s">
        <v>435</v>
      </c>
      <c r="D184" t="s">
        <v>560</v>
      </c>
      <c r="E184" s="8">
        <v>0.04</v>
      </c>
      <c r="F184" t="s">
        <v>487</v>
      </c>
      <c r="G184">
        <v>211</v>
      </c>
      <c r="H184" t="s">
        <v>35</v>
      </c>
      <c r="I184" t="s">
        <v>36</v>
      </c>
      <c r="J184" t="s">
        <v>37</v>
      </c>
      <c r="K184" t="s">
        <v>28</v>
      </c>
      <c r="L184">
        <v>2017</v>
      </c>
      <c r="M184" t="s">
        <v>38</v>
      </c>
      <c r="N184" t="s">
        <v>32</v>
      </c>
    </row>
    <row r="185" spans="1:14" x14ac:dyDescent="0.2">
      <c r="A185">
        <v>310082419</v>
      </c>
      <c r="B185" t="s">
        <v>40</v>
      </c>
      <c r="C185" t="s">
        <v>393</v>
      </c>
      <c r="D185" t="s">
        <v>560</v>
      </c>
      <c r="E185" s="8">
        <v>0.39</v>
      </c>
      <c r="F185" t="s">
        <v>487</v>
      </c>
      <c r="G185">
        <v>211</v>
      </c>
      <c r="H185" t="s">
        <v>35</v>
      </c>
      <c r="I185" t="s">
        <v>36</v>
      </c>
      <c r="J185" t="s">
        <v>37</v>
      </c>
      <c r="K185" t="s">
        <v>28</v>
      </c>
      <c r="L185">
        <v>2017</v>
      </c>
      <c r="M185" t="s">
        <v>38</v>
      </c>
      <c r="N185" t="s">
        <v>32</v>
      </c>
    </row>
    <row r="186" spans="1:14" x14ac:dyDescent="0.2">
      <c r="A186">
        <v>310082419</v>
      </c>
      <c r="B186" t="s">
        <v>41</v>
      </c>
      <c r="C186" t="s">
        <v>212</v>
      </c>
      <c r="D186" t="s">
        <v>562</v>
      </c>
      <c r="E186" s="8">
        <v>8.5000000000000006E-2</v>
      </c>
      <c r="F186" t="s">
        <v>487</v>
      </c>
      <c r="G186">
        <v>211</v>
      </c>
      <c r="H186" t="s">
        <v>35</v>
      </c>
      <c r="I186" t="s">
        <v>36</v>
      </c>
      <c r="J186" t="s">
        <v>37</v>
      </c>
      <c r="K186" t="s">
        <v>28</v>
      </c>
      <c r="L186">
        <v>2017</v>
      </c>
      <c r="M186" t="s">
        <v>38</v>
      </c>
      <c r="N186" t="s">
        <v>32</v>
      </c>
    </row>
    <row r="187" spans="1:14" x14ac:dyDescent="0.2">
      <c r="A187">
        <v>310082419</v>
      </c>
      <c r="B187" t="s">
        <v>41</v>
      </c>
      <c r="C187" t="s">
        <v>207</v>
      </c>
      <c r="D187" t="s">
        <v>562</v>
      </c>
      <c r="E187" s="8">
        <v>0.27500000000000002</v>
      </c>
      <c r="F187" t="s">
        <v>487</v>
      </c>
      <c r="G187">
        <v>211</v>
      </c>
      <c r="H187" t="s">
        <v>35</v>
      </c>
      <c r="I187" t="s">
        <v>36</v>
      </c>
      <c r="J187" t="s">
        <v>37</v>
      </c>
      <c r="K187" t="s">
        <v>28</v>
      </c>
      <c r="L187">
        <v>2017</v>
      </c>
      <c r="M187" t="s">
        <v>38</v>
      </c>
      <c r="N187" t="s">
        <v>32</v>
      </c>
    </row>
    <row r="188" spans="1:14" x14ac:dyDescent="0.2">
      <c r="A188">
        <v>310082419</v>
      </c>
      <c r="B188" t="s">
        <v>41</v>
      </c>
      <c r="C188" t="s">
        <v>221</v>
      </c>
      <c r="D188" t="s">
        <v>563</v>
      </c>
      <c r="E188" s="8">
        <v>0.34666666666666668</v>
      </c>
      <c r="F188" t="s">
        <v>487</v>
      </c>
      <c r="G188">
        <v>211</v>
      </c>
      <c r="H188" t="s">
        <v>35</v>
      </c>
      <c r="I188" t="s">
        <v>36</v>
      </c>
      <c r="J188" t="s">
        <v>37</v>
      </c>
      <c r="K188" t="s">
        <v>28</v>
      </c>
      <c r="L188">
        <v>2017</v>
      </c>
      <c r="M188" t="s">
        <v>38</v>
      </c>
      <c r="N188" t="s">
        <v>32</v>
      </c>
    </row>
    <row r="189" spans="1:14" x14ac:dyDescent="0.2">
      <c r="A189">
        <v>310082419</v>
      </c>
      <c r="B189" t="s">
        <v>42</v>
      </c>
      <c r="C189" t="s">
        <v>159</v>
      </c>
      <c r="D189" t="s">
        <v>564</v>
      </c>
      <c r="E189" s="8">
        <v>0.22000000000000003</v>
      </c>
      <c r="F189" t="s">
        <v>487</v>
      </c>
      <c r="G189">
        <v>211</v>
      </c>
      <c r="H189" t="s">
        <v>35</v>
      </c>
      <c r="I189" t="s">
        <v>36</v>
      </c>
      <c r="J189" t="s">
        <v>37</v>
      </c>
      <c r="K189" t="s">
        <v>28</v>
      </c>
      <c r="L189">
        <v>2017</v>
      </c>
      <c r="M189" t="s">
        <v>38</v>
      </c>
      <c r="N189" t="s">
        <v>32</v>
      </c>
    </row>
    <row r="190" spans="1:14" x14ac:dyDescent="0.2">
      <c r="A190">
        <v>310082419</v>
      </c>
      <c r="B190" t="s">
        <v>42</v>
      </c>
      <c r="C190" t="s">
        <v>135</v>
      </c>
      <c r="D190" t="s">
        <v>565</v>
      </c>
      <c r="E190" s="8">
        <v>0.04</v>
      </c>
      <c r="F190" t="s">
        <v>487</v>
      </c>
      <c r="G190">
        <v>211</v>
      </c>
      <c r="H190" t="s">
        <v>35</v>
      </c>
      <c r="I190" t="s">
        <v>36</v>
      </c>
      <c r="J190" t="s">
        <v>37</v>
      </c>
      <c r="K190" t="s">
        <v>28</v>
      </c>
      <c r="L190">
        <v>2017</v>
      </c>
      <c r="M190" t="s">
        <v>38</v>
      </c>
      <c r="N190" t="s">
        <v>32</v>
      </c>
    </row>
    <row r="191" spans="1:14" x14ac:dyDescent="0.2">
      <c r="A191">
        <v>310082419</v>
      </c>
      <c r="B191" t="s">
        <v>42</v>
      </c>
      <c r="C191" t="s">
        <v>56</v>
      </c>
      <c r="D191" t="s">
        <v>565</v>
      </c>
      <c r="E191" s="8">
        <v>4.0000000000000008E-2</v>
      </c>
      <c r="F191" t="s">
        <v>487</v>
      </c>
      <c r="G191">
        <v>211</v>
      </c>
      <c r="H191" t="s">
        <v>35</v>
      </c>
      <c r="I191" t="s">
        <v>36</v>
      </c>
      <c r="J191" t="s">
        <v>37</v>
      </c>
      <c r="K191" t="s">
        <v>28</v>
      </c>
      <c r="L191">
        <v>2017</v>
      </c>
      <c r="M191" t="s">
        <v>38</v>
      </c>
      <c r="N191" t="s">
        <v>32</v>
      </c>
    </row>
    <row r="192" spans="1:14" x14ac:dyDescent="0.2">
      <c r="A192">
        <v>310082419</v>
      </c>
      <c r="B192" t="s">
        <v>42</v>
      </c>
      <c r="C192" t="s">
        <v>155</v>
      </c>
      <c r="D192" t="s">
        <v>564</v>
      </c>
      <c r="E192" s="8">
        <v>0.22000000000000003</v>
      </c>
      <c r="F192" t="s">
        <v>487</v>
      </c>
      <c r="G192">
        <v>211</v>
      </c>
      <c r="H192" t="s">
        <v>35</v>
      </c>
      <c r="I192" t="s">
        <v>36</v>
      </c>
      <c r="J192" t="s">
        <v>37</v>
      </c>
      <c r="K192" t="s">
        <v>28</v>
      </c>
      <c r="L192">
        <v>2017</v>
      </c>
      <c r="M192" t="s">
        <v>38</v>
      </c>
      <c r="N192" t="s">
        <v>32</v>
      </c>
    </row>
    <row r="193" spans="1:14" x14ac:dyDescent="0.2">
      <c r="A193">
        <v>310082419</v>
      </c>
      <c r="B193" t="s">
        <v>479</v>
      </c>
      <c r="C193" t="s">
        <v>57</v>
      </c>
      <c r="D193" t="s">
        <v>566</v>
      </c>
      <c r="E193" s="8">
        <v>0.30166666666666675</v>
      </c>
      <c r="F193" t="s">
        <v>487</v>
      </c>
      <c r="G193">
        <v>211</v>
      </c>
      <c r="H193" t="s">
        <v>35</v>
      </c>
      <c r="I193" t="s">
        <v>36</v>
      </c>
      <c r="J193" t="s">
        <v>37</v>
      </c>
      <c r="K193" t="s">
        <v>28</v>
      </c>
      <c r="L193">
        <v>2017</v>
      </c>
      <c r="M193" t="s">
        <v>38</v>
      </c>
      <c r="N193" t="s">
        <v>32</v>
      </c>
    </row>
    <row r="194" spans="1:14" x14ac:dyDescent="0.2">
      <c r="A194">
        <v>310082419</v>
      </c>
      <c r="B194" t="s">
        <v>479</v>
      </c>
      <c r="C194" t="s">
        <v>58</v>
      </c>
      <c r="D194" t="s">
        <v>567</v>
      </c>
      <c r="E194" s="8">
        <v>0.22000000000000003</v>
      </c>
      <c r="F194" t="s">
        <v>487</v>
      </c>
      <c r="G194">
        <v>211</v>
      </c>
      <c r="H194" t="s">
        <v>35</v>
      </c>
      <c r="I194" t="s">
        <v>36</v>
      </c>
      <c r="J194" t="s">
        <v>37</v>
      </c>
      <c r="K194" t="s">
        <v>28</v>
      </c>
      <c r="L194">
        <v>2017</v>
      </c>
      <c r="M194" t="s">
        <v>38</v>
      </c>
      <c r="N194" t="s">
        <v>32</v>
      </c>
    </row>
    <row r="195" spans="1:14" x14ac:dyDescent="0.2">
      <c r="A195">
        <v>310082419</v>
      </c>
      <c r="B195" t="s">
        <v>480</v>
      </c>
      <c r="C195" t="s">
        <v>456</v>
      </c>
      <c r="D195" t="s">
        <v>568</v>
      </c>
      <c r="E195" s="8">
        <v>0.1</v>
      </c>
      <c r="F195" t="s">
        <v>487</v>
      </c>
      <c r="G195">
        <v>211</v>
      </c>
      <c r="H195" t="s">
        <v>35</v>
      </c>
      <c r="I195" t="s">
        <v>36</v>
      </c>
      <c r="J195" t="s">
        <v>37</v>
      </c>
      <c r="K195" t="s">
        <v>28</v>
      </c>
      <c r="L195">
        <v>2017</v>
      </c>
      <c r="M195" t="s">
        <v>38</v>
      </c>
      <c r="N195" t="s">
        <v>32</v>
      </c>
    </row>
    <row r="196" spans="1:14" x14ac:dyDescent="0.2">
      <c r="A196">
        <v>310082419</v>
      </c>
      <c r="B196" t="s">
        <v>480</v>
      </c>
      <c r="C196" t="s">
        <v>452</v>
      </c>
      <c r="D196" t="s">
        <v>568</v>
      </c>
      <c r="E196" s="8">
        <v>0.1</v>
      </c>
      <c r="F196" t="s">
        <v>487</v>
      </c>
      <c r="G196">
        <v>211</v>
      </c>
      <c r="H196" t="s">
        <v>35</v>
      </c>
      <c r="I196" t="s">
        <v>36</v>
      </c>
      <c r="J196" t="s">
        <v>37</v>
      </c>
      <c r="K196" t="s">
        <v>28</v>
      </c>
      <c r="L196">
        <v>2017</v>
      </c>
      <c r="M196" t="s">
        <v>38</v>
      </c>
      <c r="N196" t="s">
        <v>32</v>
      </c>
    </row>
    <row r="197" spans="1:14" x14ac:dyDescent="0.2">
      <c r="A197">
        <v>310082419</v>
      </c>
      <c r="B197" t="s">
        <v>481</v>
      </c>
      <c r="C197" t="s">
        <v>533</v>
      </c>
      <c r="D197" t="s">
        <v>569</v>
      </c>
      <c r="E197" s="8">
        <v>0.22000000000000003</v>
      </c>
      <c r="F197" t="s">
        <v>487</v>
      </c>
      <c r="G197">
        <v>211</v>
      </c>
      <c r="H197" t="s">
        <v>35</v>
      </c>
      <c r="I197" t="s">
        <v>36</v>
      </c>
      <c r="J197" t="s">
        <v>37</v>
      </c>
      <c r="K197" t="s">
        <v>28</v>
      </c>
      <c r="L197">
        <v>2017</v>
      </c>
      <c r="M197" t="s">
        <v>38</v>
      </c>
      <c r="N197" t="s">
        <v>32</v>
      </c>
    </row>
    <row r="198" spans="1:14" x14ac:dyDescent="0.2">
      <c r="A198">
        <v>310082419</v>
      </c>
      <c r="B198" t="s">
        <v>481</v>
      </c>
      <c r="C198" t="s">
        <v>106</v>
      </c>
      <c r="D198" t="s">
        <v>569</v>
      </c>
      <c r="E198" s="8">
        <v>0.22000000000000003</v>
      </c>
      <c r="F198" t="s">
        <v>487</v>
      </c>
      <c r="G198">
        <v>211</v>
      </c>
      <c r="H198" t="s">
        <v>35</v>
      </c>
      <c r="I198" t="s">
        <v>36</v>
      </c>
      <c r="J198" t="s">
        <v>37</v>
      </c>
      <c r="K198" t="s">
        <v>28</v>
      </c>
      <c r="L198">
        <v>2017</v>
      </c>
      <c r="M198" t="s">
        <v>38</v>
      </c>
      <c r="N198" t="s">
        <v>32</v>
      </c>
    </row>
    <row r="199" spans="1:14" x14ac:dyDescent="0.2">
      <c r="A199">
        <v>310082419</v>
      </c>
      <c r="B199" t="s">
        <v>43</v>
      </c>
      <c r="C199" t="s">
        <v>59</v>
      </c>
      <c r="D199" t="s">
        <v>570</v>
      </c>
      <c r="E199" s="8">
        <v>0.14800000000000002</v>
      </c>
      <c r="F199" t="s">
        <v>487</v>
      </c>
      <c r="G199">
        <v>211</v>
      </c>
      <c r="H199" t="s">
        <v>35</v>
      </c>
      <c r="I199" t="s">
        <v>36</v>
      </c>
      <c r="J199" t="s">
        <v>37</v>
      </c>
      <c r="K199" t="s">
        <v>28</v>
      </c>
      <c r="L199">
        <v>2017</v>
      </c>
      <c r="M199" t="s">
        <v>38</v>
      </c>
      <c r="N199" t="s">
        <v>32</v>
      </c>
    </row>
    <row r="200" spans="1:14" x14ac:dyDescent="0.2">
      <c r="A200">
        <v>310082419</v>
      </c>
      <c r="B200" t="s">
        <v>482</v>
      </c>
      <c r="C200" t="s">
        <v>436</v>
      </c>
      <c r="D200" t="s">
        <v>561</v>
      </c>
      <c r="E200" s="8">
        <v>0.22928571428571429</v>
      </c>
      <c r="F200" t="s">
        <v>487</v>
      </c>
      <c r="G200">
        <v>211</v>
      </c>
      <c r="H200" t="s">
        <v>35</v>
      </c>
      <c r="I200" t="s">
        <v>36</v>
      </c>
      <c r="J200" t="s">
        <v>37</v>
      </c>
      <c r="K200" t="s">
        <v>28</v>
      </c>
      <c r="L200">
        <v>2017</v>
      </c>
      <c r="M200" t="s">
        <v>38</v>
      </c>
      <c r="N200" t="s">
        <v>32</v>
      </c>
    </row>
    <row r="201" spans="1:14" x14ac:dyDescent="0.2">
      <c r="A201">
        <v>310082419</v>
      </c>
      <c r="B201" t="s">
        <v>482</v>
      </c>
      <c r="C201" t="s">
        <v>436</v>
      </c>
      <c r="D201" t="s">
        <v>561</v>
      </c>
      <c r="E201" s="8">
        <v>9.1999999999999998E-2</v>
      </c>
      <c r="F201" t="s">
        <v>487</v>
      </c>
      <c r="G201">
        <v>211</v>
      </c>
      <c r="H201" t="s">
        <v>35</v>
      </c>
      <c r="I201" t="s">
        <v>36</v>
      </c>
      <c r="J201" t="s">
        <v>37</v>
      </c>
      <c r="K201" t="s">
        <v>28</v>
      </c>
      <c r="L201">
        <v>2017</v>
      </c>
      <c r="M201" t="s">
        <v>38</v>
      </c>
      <c r="N201" t="s">
        <v>32</v>
      </c>
    </row>
    <row r="202" spans="1:14" x14ac:dyDescent="0.2">
      <c r="A202">
        <v>310082419</v>
      </c>
      <c r="B202" t="s">
        <v>483</v>
      </c>
      <c r="C202" t="s">
        <v>197</v>
      </c>
      <c r="D202" t="s">
        <v>556</v>
      </c>
      <c r="E202" s="8">
        <v>0.04</v>
      </c>
      <c r="F202" t="s">
        <v>487</v>
      </c>
      <c r="G202">
        <v>211</v>
      </c>
      <c r="H202" t="s">
        <v>35</v>
      </c>
      <c r="I202" t="s">
        <v>36</v>
      </c>
      <c r="J202" t="s">
        <v>37</v>
      </c>
      <c r="K202" t="s">
        <v>28</v>
      </c>
      <c r="L202">
        <v>2017</v>
      </c>
      <c r="M202" t="s">
        <v>38</v>
      </c>
      <c r="N202" t="s">
        <v>32</v>
      </c>
    </row>
    <row r="203" spans="1:14" x14ac:dyDescent="0.2">
      <c r="A203">
        <v>310082419</v>
      </c>
      <c r="B203" t="s">
        <v>483</v>
      </c>
      <c r="C203" t="s">
        <v>196</v>
      </c>
      <c r="D203" t="s">
        <v>557</v>
      </c>
      <c r="E203" s="8">
        <v>0.22000000000000003</v>
      </c>
      <c r="F203" t="s">
        <v>487</v>
      </c>
      <c r="G203">
        <v>211</v>
      </c>
      <c r="H203" t="s">
        <v>35</v>
      </c>
      <c r="I203" t="s">
        <v>36</v>
      </c>
      <c r="J203" t="s">
        <v>37</v>
      </c>
      <c r="K203" t="s">
        <v>28</v>
      </c>
      <c r="L203">
        <v>2017</v>
      </c>
      <c r="M203" t="s">
        <v>38</v>
      </c>
      <c r="N203" t="s">
        <v>32</v>
      </c>
    </row>
    <row r="204" spans="1:14" x14ac:dyDescent="0.2">
      <c r="A204">
        <v>310082419</v>
      </c>
      <c r="B204" t="s">
        <v>483</v>
      </c>
      <c r="C204" t="s">
        <v>197</v>
      </c>
      <c r="D204" t="s">
        <v>556</v>
      </c>
      <c r="E204" s="8">
        <v>0.1</v>
      </c>
      <c r="F204" t="s">
        <v>487</v>
      </c>
      <c r="G204">
        <v>211</v>
      </c>
      <c r="H204" t="s">
        <v>35</v>
      </c>
      <c r="I204" t="s">
        <v>36</v>
      </c>
      <c r="J204" t="s">
        <v>37</v>
      </c>
      <c r="K204" t="s">
        <v>28</v>
      </c>
      <c r="L204">
        <v>2017</v>
      </c>
      <c r="M204" t="s">
        <v>38</v>
      </c>
      <c r="N204" t="s">
        <v>32</v>
      </c>
    </row>
    <row r="205" spans="1:14" x14ac:dyDescent="0.2">
      <c r="A205">
        <v>310082419</v>
      </c>
      <c r="B205" t="s">
        <v>483</v>
      </c>
      <c r="C205" t="s">
        <v>196</v>
      </c>
      <c r="D205" t="s">
        <v>557</v>
      </c>
      <c r="E205" s="8">
        <v>0.29600000000000004</v>
      </c>
      <c r="F205" t="s">
        <v>487</v>
      </c>
      <c r="G205">
        <v>211</v>
      </c>
      <c r="H205" t="s">
        <v>35</v>
      </c>
      <c r="I205" t="s">
        <v>36</v>
      </c>
      <c r="J205" t="s">
        <v>37</v>
      </c>
      <c r="K205" t="s">
        <v>28</v>
      </c>
      <c r="L205">
        <v>2017</v>
      </c>
      <c r="M205" t="s">
        <v>38</v>
      </c>
      <c r="N205" t="s">
        <v>32</v>
      </c>
    </row>
    <row r="206" spans="1:14" x14ac:dyDescent="0.2">
      <c r="A206">
        <v>310082419</v>
      </c>
      <c r="B206" t="s">
        <v>483</v>
      </c>
      <c r="C206" t="s">
        <v>197</v>
      </c>
      <c r="D206" t="s">
        <v>556</v>
      </c>
      <c r="E206" s="8">
        <v>0.34666666666666668</v>
      </c>
      <c r="F206" t="s">
        <v>487</v>
      </c>
      <c r="G206">
        <v>211</v>
      </c>
      <c r="H206" t="s">
        <v>35</v>
      </c>
      <c r="I206" t="s">
        <v>36</v>
      </c>
      <c r="J206" t="s">
        <v>37</v>
      </c>
      <c r="K206" t="s">
        <v>28</v>
      </c>
      <c r="L206">
        <v>2017</v>
      </c>
      <c r="M206" t="s">
        <v>38</v>
      </c>
      <c r="N206" t="s">
        <v>32</v>
      </c>
    </row>
    <row r="207" spans="1:14" x14ac:dyDescent="0.2">
      <c r="A207">
        <v>310082419</v>
      </c>
      <c r="B207" t="s">
        <v>484</v>
      </c>
      <c r="C207" t="s">
        <v>497</v>
      </c>
      <c r="D207" t="s">
        <v>558</v>
      </c>
      <c r="E207" s="8">
        <v>0.1</v>
      </c>
      <c r="F207" t="s">
        <v>487</v>
      </c>
      <c r="G207">
        <v>211</v>
      </c>
      <c r="H207" t="s">
        <v>35</v>
      </c>
      <c r="I207" t="s">
        <v>36</v>
      </c>
      <c r="J207" t="s">
        <v>37</v>
      </c>
      <c r="K207" t="s">
        <v>28</v>
      </c>
      <c r="L207">
        <v>2017</v>
      </c>
      <c r="M207" t="s">
        <v>38</v>
      </c>
      <c r="N207" t="s">
        <v>32</v>
      </c>
    </row>
    <row r="208" spans="1:14" x14ac:dyDescent="0.2">
      <c r="A208">
        <v>310082419</v>
      </c>
      <c r="B208" t="s">
        <v>484</v>
      </c>
      <c r="C208" t="s">
        <v>500</v>
      </c>
      <c r="D208" t="s">
        <v>558</v>
      </c>
      <c r="E208" s="8">
        <v>0.23750000000000004</v>
      </c>
      <c r="F208" t="s">
        <v>487</v>
      </c>
      <c r="G208">
        <v>211</v>
      </c>
      <c r="H208" t="s">
        <v>35</v>
      </c>
      <c r="I208" t="s">
        <v>36</v>
      </c>
      <c r="J208" t="s">
        <v>37</v>
      </c>
      <c r="K208" t="s">
        <v>28</v>
      </c>
      <c r="L208">
        <v>2017</v>
      </c>
      <c r="M208" t="s">
        <v>38</v>
      </c>
      <c r="N208" t="s">
        <v>32</v>
      </c>
    </row>
    <row r="209" spans="1:14" x14ac:dyDescent="0.2">
      <c r="A209">
        <v>310082419</v>
      </c>
      <c r="B209" t="s">
        <v>484</v>
      </c>
      <c r="C209" t="s">
        <v>501</v>
      </c>
      <c r="D209" t="s">
        <v>558</v>
      </c>
      <c r="E209" s="8">
        <v>0.20250000000000004</v>
      </c>
      <c r="F209" t="s">
        <v>487</v>
      </c>
      <c r="G209">
        <v>211</v>
      </c>
      <c r="H209" t="s">
        <v>35</v>
      </c>
      <c r="I209" t="s">
        <v>36</v>
      </c>
      <c r="J209" t="s">
        <v>37</v>
      </c>
      <c r="K209" t="s">
        <v>28</v>
      </c>
      <c r="L209">
        <v>2017</v>
      </c>
      <c r="M209" t="s">
        <v>38</v>
      </c>
      <c r="N209" t="s">
        <v>32</v>
      </c>
    </row>
    <row r="210" spans="1:14" x14ac:dyDescent="0.2">
      <c r="A210">
        <v>310082419</v>
      </c>
      <c r="B210" t="s">
        <v>485</v>
      </c>
      <c r="C210" t="s">
        <v>346</v>
      </c>
      <c r="D210" t="s">
        <v>559</v>
      </c>
      <c r="E210" s="8">
        <v>0.22000000000000003</v>
      </c>
      <c r="F210" t="s">
        <v>487</v>
      </c>
      <c r="G210">
        <v>211</v>
      </c>
      <c r="H210" t="s">
        <v>35</v>
      </c>
      <c r="I210" t="s">
        <v>36</v>
      </c>
      <c r="J210" t="s">
        <v>37</v>
      </c>
      <c r="K210" t="s">
        <v>28</v>
      </c>
      <c r="L210">
        <v>2017</v>
      </c>
      <c r="M210" t="s">
        <v>38</v>
      </c>
      <c r="N210" t="s">
        <v>32</v>
      </c>
    </row>
    <row r="211" spans="1:14" x14ac:dyDescent="0.2">
      <c r="A211">
        <v>310082419</v>
      </c>
      <c r="B211" t="s">
        <v>485</v>
      </c>
      <c r="C211" t="s">
        <v>342</v>
      </c>
      <c r="D211" t="s">
        <v>559</v>
      </c>
      <c r="E211" s="8">
        <v>0.36625000000000002</v>
      </c>
      <c r="F211" t="s">
        <v>487</v>
      </c>
      <c r="G211">
        <v>211</v>
      </c>
      <c r="H211" t="s">
        <v>35</v>
      </c>
      <c r="I211" t="s">
        <v>36</v>
      </c>
      <c r="J211" t="s">
        <v>37</v>
      </c>
      <c r="K211" t="s">
        <v>28</v>
      </c>
      <c r="L211">
        <v>2017</v>
      </c>
      <c r="M211" t="s">
        <v>38</v>
      </c>
      <c r="N211" t="s">
        <v>32</v>
      </c>
    </row>
    <row r="212" spans="1:14" x14ac:dyDescent="0.2">
      <c r="A212">
        <v>315378369</v>
      </c>
      <c r="B212" t="s">
        <v>478</v>
      </c>
      <c r="C212" t="s">
        <v>276</v>
      </c>
      <c r="D212" t="s">
        <v>546</v>
      </c>
      <c r="E212" s="8">
        <v>0.19666666666666668</v>
      </c>
      <c r="F212" t="s">
        <v>487</v>
      </c>
      <c r="G212">
        <v>211</v>
      </c>
      <c r="H212" t="s">
        <v>35</v>
      </c>
      <c r="I212" t="s">
        <v>36</v>
      </c>
      <c r="J212" t="s">
        <v>37</v>
      </c>
      <c r="K212" t="s">
        <v>28</v>
      </c>
      <c r="L212">
        <v>2017</v>
      </c>
      <c r="M212" t="s">
        <v>38</v>
      </c>
      <c r="N212" t="s">
        <v>32</v>
      </c>
    </row>
    <row r="213" spans="1:14" x14ac:dyDescent="0.2">
      <c r="A213">
        <v>315378369</v>
      </c>
      <c r="B213" t="s">
        <v>478</v>
      </c>
      <c r="C213" t="s">
        <v>247</v>
      </c>
      <c r="D213" t="s">
        <v>546</v>
      </c>
      <c r="E213" s="8">
        <v>0.24400000000000002</v>
      </c>
      <c r="F213" t="s">
        <v>487</v>
      </c>
      <c r="G213">
        <v>211</v>
      </c>
      <c r="H213" t="s">
        <v>35</v>
      </c>
      <c r="I213" t="s">
        <v>36</v>
      </c>
      <c r="J213" t="s">
        <v>37</v>
      </c>
      <c r="K213" t="s">
        <v>28</v>
      </c>
      <c r="L213">
        <v>2017</v>
      </c>
      <c r="M213" t="s">
        <v>38</v>
      </c>
      <c r="N213" t="s">
        <v>32</v>
      </c>
    </row>
    <row r="214" spans="1:14" x14ac:dyDescent="0.2">
      <c r="A214">
        <v>315378369</v>
      </c>
      <c r="B214" t="s">
        <v>40</v>
      </c>
      <c r="C214" t="s">
        <v>435</v>
      </c>
      <c r="D214" t="s">
        <v>560</v>
      </c>
      <c r="E214" s="8">
        <v>0.12000000000000002</v>
      </c>
      <c r="F214" t="s">
        <v>487</v>
      </c>
      <c r="G214">
        <v>211</v>
      </c>
      <c r="H214" t="s">
        <v>35</v>
      </c>
      <c r="I214" t="s">
        <v>36</v>
      </c>
      <c r="J214" t="s">
        <v>37</v>
      </c>
      <c r="K214" t="s">
        <v>28</v>
      </c>
      <c r="L214">
        <v>2017</v>
      </c>
      <c r="M214" t="s">
        <v>38</v>
      </c>
      <c r="N214" t="s">
        <v>32</v>
      </c>
    </row>
    <row r="215" spans="1:14" x14ac:dyDescent="0.2">
      <c r="A215">
        <v>315378369</v>
      </c>
      <c r="B215" t="s">
        <v>40</v>
      </c>
      <c r="C215" t="s">
        <v>393</v>
      </c>
      <c r="D215" t="s">
        <v>560</v>
      </c>
      <c r="E215" s="8">
        <v>0.24333333333333335</v>
      </c>
      <c r="F215" t="s">
        <v>487</v>
      </c>
      <c r="G215">
        <v>211</v>
      </c>
      <c r="H215" t="s">
        <v>35</v>
      </c>
      <c r="I215" t="s">
        <v>36</v>
      </c>
      <c r="J215" t="s">
        <v>37</v>
      </c>
      <c r="K215" t="s">
        <v>28</v>
      </c>
      <c r="L215">
        <v>2017</v>
      </c>
      <c r="M215" t="s">
        <v>38</v>
      </c>
      <c r="N215" t="s">
        <v>32</v>
      </c>
    </row>
    <row r="216" spans="1:14" x14ac:dyDescent="0.2">
      <c r="A216">
        <v>315378369</v>
      </c>
      <c r="B216" t="s">
        <v>41</v>
      </c>
      <c r="C216" t="s">
        <v>212</v>
      </c>
      <c r="D216" t="s">
        <v>562</v>
      </c>
      <c r="E216" s="8">
        <v>0.18000000000000002</v>
      </c>
      <c r="F216" t="s">
        <v>487</v>
      </c>
      <c r="G216">
        <v>211</v>
      </c>
      <c r="H216" t="s">
        <v>35</v>
      </c>
      <c r="I216" t="s">
        <v>36</v>
      </c>
      <c r="J216" t="s">
        <v>37</v>
      </c>
      <c r="K216" t="s">
        <v>28</v>
      </c>
      <c r="L216">
        <v>2017</v>
      </c>
      <c r="M216" t="s">
        <v>38</v>
      </c>
      <c r="N216" t="s">
        <v>32</v>
      </c>
    </row>
    <row r="217" spans="1:14" x14ac:dyDescent="0.2">
      <c r="A217">
        <v>315378369</v>
      </c>
      <c r="B217" t="s">
        <v>41</v>
      </c>
      <c r="C217" t="s">
        <v>207</v>
      </c>
      <c r="D217" t="s">
        <v>562</v>
      </c>
      <c r="E217" s="8">
        <v>0.26166666666666666</v>
      </c>
      <c r="F217" t="s">
        <v>487</v>
      </c>
      <c r="G217">
        <v>211</v>
      </c>
      <c r="H217" t="s">
        <v>35</v>
      </c>
      <c r="I217" t="s">
        <v>36</v>
      </c>
      <c r="J217" t="s">
        <v>37</v>
      </c>
      <c r="K217" t="s">
        <v>28</v>
      </c>
      <c r="L217">
        <v>2017</v>
      </c>
      <c r="M217" t="s">
        <v>38</v>
      </c>
      <c r="N217" t="s">
        <v>32</v>
      </c>
    </row>
    <row r="218" spans="1:14" x14ac:dyDescent="0.2">
      <c r="A218">
        <v>315378369</v>
      </c>
      <c r="B218" t="s">
        <v>41</v>
      </c>
      <c r="C218" t="s">
        <v>221</v>
      </c>
      <c r="D218" t="s">
        <v>563</v>
      </c>
      <c r="E218" s="8">
        <v>0.37333333333333329</v>
      </c>
      <c r="F218" t="s">
        <v>487</v>
      </c>
      <c r="G218">
        <v>211</v>
      </c>
      <c r="H218" t="s">
        <v>35</v>
      </c>
      <c r="I218" t="s">
        <v>36</v>
      </c>
      <c r="J218" t="s">
        <v>37</v>
      </c>
      <c r="K218" t="s">
        <v>28</v>
      </c>
      <c r="L218">
        <v>2017</v>
      </c>
      <c r="M218" t="s">
        <v>38</v>
      </c>
      <c r="N218" t="s">
        <v>32</v>
      </c>
    </row>
    <row r="219" spans="1:14" x14ac:dyDescent="0.2">
      <c r="A219">
        <v>315378369</v>
      </c>
      <c r="B219" t="s">
        <v>42</v>
      </c>
      <c r="C219" t="s">
        <v>159</v>
      </c>
      <c r="D219" t="s">
        <v>564</v>
      </c>
      <c r="E219" s="8">
        <v>0.36</v>
      </c>
      <c r="F219" t="s">
        <v>487</v>
      </c>
      <c r="G219">
        <v>211</v>
      </c>
      <c r="H219" t="s">
        <v>35</v>
      </c>
      <c r="I219" t="s">
        <v>36</v>
      </c>
      <c r="J219" t="s">
        <v>37</v>
      </c>
      <c r="K219" t="s">
        <v>28</v>
      </c>
      <c r="L219">
        <v>2017</v>
      </c>
      <c r="M219" t="s">
        <v>38</v>
      </c>
      <c r="N219" t="s">
        <v>32</v>
      </c>
    </row>
    <row r="220" spans="1:14" x14ac:dyDescent="0.2">
      <c r="A220">
        <v>315378369</v>
      </c>
      <c r="B220" t="s">
        <v>42</v>
      </c>
      <c r="C220" t="s">
        <v>135</v>
      </c>
      <c r="D220" t="s">
        <v>565</v>
      </c>
      <c r="E220" s="8">
        <v>0.12000000000000002</v>
      </c>
      <c r="F220" t="s">
        <v>487</v>
      </c>
      <c r="G220">
        <v>211</v>
      </c>
      <c r="H220" t="s">
        <v>35</v>
      </c>
      <c r="I220" t="s">
        <v>36</v>
      </c>
      <c r="J220" t="s">
        <v>37</v>
      </c>
      <c r="K220" t="s">
        <v>28</v>
      </c>
      <c r="L220">
        <v>2017</v>
      </c>
      <c r="M220" t="s">
        <v>38</v>
      </c>
      <c r="N220" t="s">
        <v>32</v>
      </c>
    </row>
    <row r="221" spans="1:14" x14ac:dyDescent="0.2">
      <c r="A221">
        <v>315378369</v>
      </c>
      <c r="B221" t="s">
        <v>42</v>
      </c>
      <c r="C221" t="s">
        <v>56</v>
      </c>
      <c r="D221" t="s">
        <v>565</v>
      </c>
      <c r="E221" s="8">
        <v>0.12000000000000002</v>
      </c>
      <c r="F221" t="s">
        <v>487</v>
      </c>
      <c r="G221">
        <v>211</v>
      </c>
      <c r="H221" t="s">
        <v>35</v>
      </c>
      <c r="I221" t="s">
        <v>36</v>
      </c>
      <c r="J221" t="s">
        <v>37</v>
      </c>
      <c r="K221" t="s">
        <v>28</v>
      </c>
      <c r="L221">
        <v>2017</v>
      </c>
      <c r="M221" t="s">
        <v>38</v>
      </c>
      <c r="N221" t="s">
        <v>32</v>
      </c>
    </row>
    <row r="222" spans="1:14" x14ac:dyDescent="0.2">
      <c r="A222">
        <v>315378369</v>
      </c>
      <c r="B222" t="s">
        <v>42</v>
      </c>
      <c r="C222" t="s">
        <v>155</v>
      </c>
      <c r="D222" t="s">
        <v>564</v>
      </c>
      <c r="E222" s="8">
        <v>0.36</v>
      </c>
      <c r="F222" t="s">
        <v>487</v>
      </c>
      <c r="G222">
        <v>211</v>
      </c>
      <c r="H222" t="s">
        <v>35</v>
      </c>
      <c r="I222" t="s">
        <v>36</v>
      </c>
      <c r="J222" t="s">
        <v>37</v>
      </c>
      <c r="K222" t="s">
        <v>28</v>
      </c>
      <c r="L222">
        <v>2017</v>
      </c>
      <c r="M222" t="s">
        <v>38</v>
      </c>
      <c r="N222" t="s">
        <v>32</v>
      </c>
    </row>
    <row r="223" spans="1:14" x14ac:dyDescent="0.2">
      <c r="A223">
        <v>315378369</v>
      </c>
      <c r="B223" t="s">
        <v>479</v>
      </c>
      <c r="C223" t="s">
        <v>57</v>
      </c>
      <c r="D223" t="s">
        <v>566</v>
      </c>
      <c r="E223" s="8">
        <v>0.23777777777777781</v>
      </c>
      <c r="F223" t="s">
        <v>487</v>
      </c>
      <c r="G223">
        <v>211</v>
      </c>
      <c r="H223" t="s">
        <v>35</v>
      </c>
      <c r="I223" t="s">
        <v>36</v>
      </c>
      <c r="J223" t="s">
        <v>37</v>
      </c>
      <c r="K223" t="s">
        <v>28</v>
      </c>
      <c r="L223">
        <v>2017</v>
      </c>
      <c r="M223" t="s">
        <v>38</v>
      </c>
      <c r="N223" t="s">
        <v>32</v>
      </c>
    </row>
    <row r="224" spans="1:14" x14ac:dyDescent="0.2">
      <c r="A224">
        <v>315378369</v>
      </c>
      <c r="B224" t="s">
        <v>479</v>
      </c>
      <c r="C224" t="s">
        <v>58</v>
      </c>
      <c r="D224" t="s">
        <v>567</v>
      </c>
      <c r="E224" s="8">
        <v>0.36</v>
      </c>
      <c r="F224" t="s">
        <v>487</v>
      </c>
      <c r="G224">
        <v>211</v>
      </c>
      <c r="H224" t="s">
        <v>35</v>
      </c>
      <c r="I224" t="s">
        <v>36</v>
      </c>
      <c r="J224" t="s">
        <v>37</v>
      </c>
      <c r="K224" t="s">
        <v>28</v>
      </c>
      <c r="L224">
        <v>2017</v>
      </c>
      <c r="M224" t="s">
        <v>38</v>
      </c>
      <c r="N224" t="s">
        <v>32</v>
      </c>
    </row>
    <row r="225" spans="1:14" x14ac:dyDescent="0.2">
      <c r="A225">
        <v>315378369</v>
      </c>
      <c r="B225" t="s">
        <v>480</v>
      </c>
      <c r="C225" t="s">
        <v>456</v>
      </c>
      <c r="D225" t="s">
        <v>568</v>
      </c>
      <c r="E225" s="8">
        <v>0.2</v>
      </c>
      <c r="F225" t="s">
        <v>487</v>
      </c>
      <c r="G225">
        <v>211</v>
      </c>
      <c r="H225" t="s">
        <v>35</v>
      </c>
      <c r="I225" t="s">
        <v>36</v>
      </c>
      <c r="J225" t="s">
        <v>37</v>
      </c>
      <c r="K225" t="s">
        <v>28</v>
      </c>
      <c r="L225">
        <v>2017</v>
      </c>
      <c r="M225" t="s">
        <v>38</v>
      </c>
      <c r="N225" t="s">
        <v>32</v>
      </c>
    </row>
    <row r="226" spans="1:14" x14ac:dyDescent="0.2">
      <c r="A226">
        <v>315378369</v>
      </c>
      <c r="B226" t="s">
        <v>480</v>
      </c>
      <c r="C226" t="s">
        <v>452</v>
      </c>
      <c r="D226" t="s">
        <v>568</v>
      </c>
      <c r="E226" s="8">
        <v>0.2</v>
      </c>
      <c r="F226" t="s">
        <v>487</v>
      </c>
      <c r="G226">
        <v>211</v>
      </c>
      <c r="H226" t="s">
        <v>35</v>
      </c>
      <c r="I226" t="s">
        <v>36</v>
      </c>
      <c r="J226" t="s">
        <v>37</v>
      </c>
      <c r="K226" t="s">
        <v>28</v>
      </c>
      <c r="L226">
        <v>2017</v>
      </c>
      <c r="M226" t="s">
        <v>38</v>
      </c>
      <c r="N226" t="s">
        <v>32</v>
      </c>
    </row>
    <row r="227" spans="1:14" x14ac:dyDescent="0.2">
      <c r="A227">
        <v>315378369</v>
      </c>
      <c r="B227" t="s">
        <v>481</v>
      </c>
      <c r="C227" t="s">
        <v>533</v>
      </c>
      <c r="D227" t="s">
        <v>569</v>
      </c>
      <c r="E227" s="8">
        <v>0.36</v>
      </c>
      <c r="F227" t="s">
        <v>487</v>
      </c>
      <c r="G227">
        <v>211</v>
      </c>
      <c r="H227" t="s">
        <v>35</v>
      </c>
      <c r="I227" t="s">
        <v>36</v>
      </c>
      <c r="J227" t="s">
        <v>37</v>
      </c>
      <c r="K227" t="s">
        <v>28</v>
      </c>
      <c r="L227">
        <v>2017</v>
      </c>
      <c r="M227" t="s">
        <v>38</v>
      </c>
      <c r="N227" t="s">
        <v>32</v>
      </c>
    </row>
    <row r="228" spans="1:14" x14ac:dyDescent="0.2">
      <c r="A228">
        <v>315378369</v>
      </c>
      <c r="B228" t="s">
        <v>481</v>
      </c>
      <c r="C228" t="s">
        <v>106</v>
      </c>
      <c r="D228" t="s">
        <v>569</v>
      </c>
      <c r="E228" s="8">
        <v>0.36</v>
      </c>
      <c r="F228" t="s">
        <v>487</v>
      </c>
      <c r="G228">
        <v>211</v>
      </c>
      <c r="H228" t="s">
        <v>35</v>
      </c>
      <c r="I228" t="s">
        <v>36</v>
      </c>
      <c r="J228" t="s">
        <v>37</v>
      </c>
      <c r="K228" t="s">
        <v>28</v>
      </c>
      <c r="L228">
        <v>2017</v>
      </c>
      <c r="M228" t="s">
        <v>38</v>
      </c>
      <c r="N228" t="s">
        <v>32</v>
      </c>
    </row>
    <row r="229" spans="1:14" x14ac:dyDescent="0.2">
      <c r="A229">
        <v>315378369</v>
      </c>
      <c r="B229" t="s">
        <v>43</v>
      </c>
      <c r="C229" t="s">
        <v>59</v>
      </c>
      <c r="D229" t="s">
        <v>570</v>
      </c>
      <c r="E229" s="8">
        <v>0.26400000000000001</v>
      </c>
      <c r="F229" t="s">
        <v>487</v>
      </c>
      <c r="G229">
        <v>211</v>
      </c>
      <c r="H229" t="s">
        <v>35</v>
      </c>
      <c r="I229" t="s">
        <v>36</v>
      </c>
      <c r="J229" t="s">
        <v>37</v>
      </c>
      <c r="K229" t="s">
        <v>28</v>
      </c>
      <c r="L229">
        <v>2017</v>
      </c>
      <c r="M229" t="s">
        <v>38</v>
      </c>
      <c r="N229" t="s">
        <v>32</v>
      </c>
    </row>
    <row r="230" spans="1:14" x14ac:dyDescent="0.2">
      <c r="A230">
        <v>315378369</v>
      </c>
      <c r="B230" t="s">
        <v>482</v>
      </c>
      <c r="C230" t="s">
        <v>436</v>
      </c>
      <c r="D230" t="s">
        <v>561</v>
      </c>
      <c r="E230" s="8">
        <v>0.19857142857142857</v>
      </c>
      <c r="F230" t="s">
        <v>487</v>
      </c>
      <c r="G230">
        <v>211</v>
      </c>
      <c r="H230" t="s">
        <v>35</v>
      </c>
      <c r="I230" t="s">
        <v>36</v>
      </c>
      <c r="J230" t="s">
        <v>37</v>
      </c>
      <c r="K230" t="s">
        <v>28</v>
      </c>
      <c r="L230">
        <v>2017</v>
      </c>
      <c r="M230" t="s">
        <v>38</v>
      </c>
      <c r="N230" t="s">
        <v>32</v>
      </c>
    </row>
    <row r="231" spans="1:14" x14ac:dyDescent="0.2">
      <c r="A231">
        <v>315378369</v>
      </c>
      <c r="B231" t="s">
        <v>482</v>
      </c>
      <c r="C231" t="s">
        <v>436</v>
      </c>
      <c r="D231" t="s">
        <v>561</v>
      </c>
      <c r="E231" s="8">
        <v>0.15600000000000003</v>
      </c>
      <c r="F231" t="s">
        <v>487</v>
      </c>
      <c r="G231">
        <v>211</v>
      </c>
      <c r="H231" t="s">
        <v>35</v>
      </c>
      <c r="I231" t="s">
        <v>36</v>
      </c>
      <c r="J231" t="s">
        <v>37</v>
      </c>
      <c r="K231" t="s">
        <v>28</v>
      </c>
      <c r="L231">
        <v>2017</v>
      </c>
      <c r="M231" t="s">
        <v>38</v>
      </c>
      <c r="N231" t="s">
        <v>32</v>
      </c>
    </row>
    <row r="232" spans="1:14" x14ac:dyDescent="0.2">
      <c r="A232">
        <v>315378369</v>
      </c>
      <c r="B232" t="s">
        <v>483</v>
      </c>
      <c r="C232" t="s">
        <v>197</v>
      </c>
      <c r="D232" t="s">
        <v>556</v>
      </c>
      <c r="E232" s="8">
        <v>0.12000000000000002</v>
      </c>
      <c r="F232" t="s">
        <v>487</v>
      </c>
      <c r="G232">
        <v>211</v>
      </c>
      <c r="H232" t="s">
        <v>35</v>
      </c>
      <c r="I232" t="s">
        <v>36</v>
      </c>
      <c r="J232" t="s">
        <v>37</v>
      </c>
      <c r="K232" t="s">
        <v>28</v>
      </c>
      <c r="L232">
        <v>2017</v>
      </c>
      <c r="M232" t="s">
        <v>38</v>
      </c>
      <c r="N232" t="s">
        <v>32</v>
      </c>
    </row>
    <row r="233" spans="1:14" x14ac:dyDescent="0.2">
      <c r="A233">
        <v>315378369</v>
      </c>
      <c r="B233" t="s">
        <v>483</v>
      </c>
      <c r="C233" t="s">
        <v>196</v>
      </c>
      <c r="D233" t="s">
        <v>557</v>
      </c>
      <c r="E233" s="8">
        <v>0.36</v>
      </c>
      <c r="F233" t="s">
        <v>487</v>
      </c>
      <c r="G233">
        <v>211</v>
      </c>
      <c r="H233" t="s">
        <v>35</v>
      </c>
      <c r="I233" t="s">
        <v>36</v>
      </c>
      <c r="J233" t="s">
        <v>37</v>
      </c>
      <c r="K233" t="s">
        <v>28</v>
      </c>
      <c r="L233">
        <v>2017</v>
      </c>
      <c r="M233" t="s">
        <v>38</v>
      </c>
      <c r="N233" t="s">
        <v>32</v>
      </c>
    </row>
    <row r="234" spans="1:14" x14ac:dyDescent="0.2">
      <c r="A234">
        <v>315378369</v>
      </c>
      <c r="B234" t="s">
        <v>483</v>
      </c>
      <c r="C234" t="s">
        <v>197</v>
      </c>
      <c r="D234" t="s">
        <v>556</v>
      </c>
      <c r="E234" s="8">
        <v>0.2</v>
      </c>
      <c r="F234" t="s">
        <v>487</v>
      </c>
      <c r="G234">
        <v>211</v>
      </c>
      <c r="H234" t="s">
        <v>35</v>
      </c>
      <c r="I234" t="s">
        <v>36</v>
      </c>
      <c r="J234" t="s">
        <v>37</v>
      </c>
      <c r="K234" t="s">
        <v>28</v>
      </c>
      <c r="L234">
        <v>2017</v>
      </c>
      <c r="M234" t="s">
        <v>38</v>
      </c>
      <c r="N234" t="s">
        <v>32</v>
      </c>
    </row>
    <row r="235" spans="1:14" x14ac:dyDescent="0.2">
      <c r="A235">
        <v>315378369</v>
      </c>
      <c r="B235" t="s">
        <v>483</v>
      </c>
      <c r="C235" t="s">
        <v>196</v>
      </c>
      <c r="D235" t="s">
        <v>557</v>
      </c>
      <c r="E235" s="8">
        <v>0.36799999999999999</v>
      </c>
      <c r="F235" t="s">
        <v>487</v>
      </c>
      <c r="G235">
        <v>211</v>
      </c>
      <c r="H235" t="s">
        <v>35</v>
      </c>
      <c r="I235" t="s">
        <v>36</v>
      </c>
      <c r="J235" t="s">
        <v>37</v>
      </c>
      <c r="K235" t="s">
        <v>28</v>
      </c>
      <c r="L235">
        <v>2017</v>
      </c>
      <c r="M235" t="s">
        <v>38</v>
      </c>
      <c r="N235" t="s">
        <v>32</v>
      </c>
    </row>
    <row r="236" spans="1:14" x14ac:dyDescent="0.2">
      <c r="A236">
        <v>315378369</v>
      </c>
      <c r="B236" t="s">
        <v>483</v>
      </c>
      <c r="C236" t="s">
        <v>197</v>
      </c>
      <c r="D236" t="s">
        <v>556</v>
      </c>
      <c r="E236" s="8">
        <v>0.37333333333333329</v>
      </c>
      <c r="F236" t="s">
        <v>487</v>
      </c>
      <c r="G236">
        <v>211</v>
      </c>
      <c r="H236" t="s">
        <v>35</v>
      </c>
      <c r="I236" t="s">
        <v>36</v>
      </c>
      <c r="J236" t="s">
        <v>37</v>
      </c>
      <c r="K236" t="s">
        <v>28</v>
      </c>
      <c r="L236">
        <v>2017</v>
      </c>
      <c r="M236" t="s">
        <v>38</v>
      </c>
      <c r="N236" t="s">
        <v>32</v>
      </c>
    </row>
    <row r="237" spans="1:14" x14ac:dyDescent="0.2">
      <c r="A237">
        <v>315378369</v>
      </c>
      <c r="B237" t="s">
        <v>484</v>
      </c>
      <c r="C237" t="s">
        <v>497</v>
      </c>
      <c r="D237" t="s">
        <v>558</v>
      </c>
      <c r="E237" s="8">
        <v>0.2</v>
      </c>
      <c r="F237" t="s">
        <v>487</v>
      </c>
      <c r="G237">
        <v>211</v>
      </c>
      <c r="H237" t="s">
        <v>35</v>
      </c>
      <c r="I237" t="s">
        <v>36</v>
      </c>
      <c r="J237" t="s">
        <v>37</v>
      </c>
      <c r="K237" t="s">
        <v>28</v>
      </c>
      <c r="L237">
        <v>2017</v>
      </c>
      <c r="M237" t="s">
        <v>38</v>
      </c>
      <c r="N237" t="s">
        <v>32</v>
      </c>
    </row>
    <row r="238" spans="1:14" x14ac:dyDescent="0.2">
      <c r="A238">
        <v>315378369</v>
      </c>
      <c r="B238" t="s">
        <v>484</v>
      </c>
      <c r="C238" t="s">
        <v>500</v>
      </c>
      <c r="D238" t="s">
        <v>558</v>
      </c>
      <c r="E238" s="8">
        <v>0.16750000000000004</v>
      </c>
      <c r="F238" t="s">
        <v>487</v>
      </c>
      <c r="G238">
        <v>211</v>
      </c>
      <c r="H238" t="s">
        <v>35</v>
      </c>
      <c r="I238" t="s">
        <v>36</v>
      </c>
      <c r="J238" t="s">
        <v>37</v>
      </c>
      <c r="K238" t="s">
        <v>28</v>
      </c>
      <c r="L238">
        <v>2017</v>
      </c>
      <c r="M238" t="s">
        <v>38</v>
      </c>
      <c r="N238" t="s">
        <v>32</v>
      </c>
    </row>
    <row r="239" spans="1:14" x14ac:dyDescent="0.2">
      <c r="A239">
        <v>315378369</v>
      </c>
      <c r="B239" t="s">
        <v>484</v>
      </c>
      <c r="C239" t="s">
        <v>501</v>
      </c>
      <c r="D239" t="s">
        <v>558</v>
      </c>
      <c r="E239" s="8">
        <v>0.25750000000000001</v>
      </c>
      <c r="F239" t="s">
        <v>487</v>
      </c>
      <c r="G239">
        <v>211</v>
      </c>
      <c r="H239" t="s">
        <v>35</v>
      </c>
      <c r="I239" t="s">
        <v>36</v>
      </c>
      <c r="J239" t="s">
        <v>37</v>
      </c>
      <c r="K239" t="s">
        <v>28</v>
      </c>
      <c r="L239">
        <v>2017</v>
      </c>
      <c r="M239" t="s">
        <v>38</v>
      </c>
      <c r="N239" t="s">
        <v>32</v>
      </c>
    </row>
    <row r="240" spans="1:14" x14ac:dyDescent="0.2">
      <c r="A240">
        <v>315378369</v>
      </c>
      <c r="B240" t="s">
        <v>485</v>
      </c>
      <c r="C240" t="s">
        <v>346</v>
      </c>
      <c r="D240" t="s">
        <v>559</v>
      </c>
      <c r="E240" s="8">
        <v>0.36</v>
      </c>
      <c r="F240" t="s">
        <v>487</v>
      </c>
      <c r="G240">
        <v>211</v>
      </c>
      <c r="H240" t="s">
        <v>35</v>
      </c>
      <c r="I240" t="s">
        <v>36</v>
      </c>
      <c r="J240" t="s">
        <v>37</v>
      </c>
      <c r="K240" t="s">
        <v>28</v>
      </c>
      <c r="L240">
        <v>2017</v>
      </c>
      <c r="M240" t="s">
        <v>38</v>
      </c>
      <c r="N240" t="s">
        <v>32</v>
      </c>
    </row>
    <row r="241" spans="1:14" x14ac:dyDescent="0.2">
      <c r="A241">
        <v>315378369</v>
      </c>
      <c r="B241" t="s">
        <v>485</v>
      </c>
      <c r="C241" t="s">
        <v>342</v>
      </c>
      <c r="D241" t="s">
        <v>559</v>
      </c>
      <c r="E241" s="8">
        <v>0.29249999999999998</v>
      </c>
      <c r="F241" t="s">
        <v>487</v>
      </c>
      <c r="G241">
        <v>211</v>
      </c>
      <c r="H241" t="s">
        <v>35</v>
      </c>
      <c r="I241" t="s">
        <v>36</v>
      </c>
      <c r="J241" t="s">
        <v>37</v>
      </c>
      <c r="K241" t="s">
        <v>28</v>
      </c>
      <c r="L241">
        <v>2017</v>
      </c>
      <c r="M241" t="s">
        <v>38</v>
      </c>
      <c r="N241" t="s">
        <v>32</v>
      </c>
    </row>
    <row r="242" spans="1:14" x14ac:dyDescent="0.2">
      <c r="A242">
        <v>356558346</v>
      </c>
      <c r="B242" t="s">
        <v>478</v>
      </c>
      <c r="C242" t="s">
        <v>276</v>
      </c>
      <c r="D242" t="s">
        <v>546</v>
      </c>
      <c r="E242" s="8">
        <v>0.53666666666666674</v>
      </c>
      <c r="F242" t="s">
        <v>487</v>
      </c>
      <c r="G242">
        <v>211</v>
      </c>
      <c r="H242" t="s">
        <v>35</v>
      </c>
      <c r="I242" t="s">
        <v>36</v>
      </c>
      <c r="J242" t="s">
        <v>37</v>
      </c>
      <c r="K242" t="s">
        <v>28</v>
      </c>
      <c r="L242">
        <v>2017</v>
      </c>
      <c r="M242" t="s">
        <v>38</v>
      </c>
      <c r="N242" t="s">
        <v>32</v>
      </c>
    </row>
    <row r="243" spans="1:14" x14ac:dyDescent="0.2">
      <c r="A243">
        <v>356558346</v>
      </c>
      <c r="B243" t="s">
        <v>478</v>
      </c>
      <c r="C243" t="s">
        <v>247</v>
      </c>
      <c r="D243" t="s">
        <v>546</v>
      </c>
      <c r="E243" s="8">
        <v>0.47799999999999998</v>
      </c>
      <c r="F243" t="s">
        <v>487</v>
      </c>
      <c r="G243">
        <v>211</v>
      </c>
      <c r="H243" t="s">
        <v>35</v>
      </c>
      <c r="I243" t="s">
        <v>36</v>
      </c>
      <c r="J243" t="s">
        <v>37</v>
      </c>
      <c r="K243" t="s">
        <v>28</v>
      </c>
      <c r="L243">
        <v>2017</v>
      </c>
      <c r="M243" t="s">
        <v>38</v>
      </c>
      <c r="N243" t="s">
        <v>32</v>
      </c>
    </row>
    <row r="244" spans="1:14" x14ac:dyDescent="0.2">
      <c r="A244">
        <v>356558346</v>
      </c>
      <c r="B244" t="s">
        <v>40</v>
      </c>
      <c r="C244" t="s">
        <v>435</v>
      </c>
      <c r="D244" t="s">
        <v>560</v>
      </c>
      <c r="E244" s="8">
        <v>0.43</v>
      </c>
      <c r="F244" t="s">
        <v>487</v>
      </c>
      <c r="G244">
        <v>211</v>
      </c>
      <c r="H244" t="s">
        <v>35</v>
      </c>
      <c r="I244" t="s">
        <v>36</v>
      </c>
      <c r="J244" t="s">
        <v>37</v>
      </c>
      <c r="K244" t="s">
        <v>28</v>
      </c>
      <c r="L244">
        <v>2017</v>
      </c>
      <c r="M244" t="s">
        <v>38</v>
      </c>
      <c r="N244" t="s">
        <v>32</v>
      </c>
    </row>
    <row r="245" spans="1:14" x14ac:dyDescent="0.2">
      <c r="A245">
        <v>356558346</v>
      </c>
      <c r="B245" t="s">
        <v>40</v>
      </c>
      <c r="C245" t="s">
        <v>393</v>
      </c>
      <c r="D245" t="s">
        <v>560</v>
      </c>
      <c r="E245" s="8">
        <v>0.59666666666666657</v>
      </c>
      <c r="F245" t="s">
        <v>487</v>
      </c>
      <c r="G245">
        <v>211</v>
      </c>
      <c r="H245" t="s">
        <v>35</v>
      </c>
      <c r="I245" t="s">
        <v>36</v>
      </c>
      <c r="J245" t="s">
        <v>37</v>
      </c>
      <c r="K245" t="s">
        <v>28</v>
      </c>
      <c r="L245">
        <v>2017</v>
      </c>
      <c r="M245" t="s">
        <v>38</v>
      </c>
      <c r="N245" t="s">
        <v>32</v>
      </c>
    </row>
    <row r="246" spans="1:14" x14ac:dyDescent="0.2">
      <c r="A246">
        <v>356558346</v>
      </c>
      <c r="B246" t="s">
        <v>41</v>
      </c>
      <c r="C246" t="s">
        <v>212</v>
      </c>
      <c r="D246" t="s">
        <v>562</v>
      </c>
      <c r="E246" s="8">
        <v>0.33250000000000002</v>
      </c>
      <c r="F246" t="s">
        <v>487</v>
      </c>
      <c r="G246">
        <v>211</v>
      </c>
      <c r="H246" t="s">
        <v>35</v>
      </c>
      <c r="I246" t="s">
        <v>36</v>
      </c>
      <c r="J246" t="s">
        <v>37</v>
      </c>
      <c r="K246" t="s">
        <v>28</v>
      </c>
      <c r="L246">
        <v>2017</v>
      </c>
      <c r="M246" t="s">
        <v>38</v>
      </c>
      <c r="N246" t="s">
        <v>32</v>
      </c>
    </row>
    <row r="247" spans="1:14" x14ac:dyDescent="0.2">
      <c r="A247">
        <v>356558346</v>
      </c>
      <c r="B247" t="s">
        <v>41</v>
      </c>
      <c r="C247" t="s">
        <v>207</v>
      </c>
      <c r="D247" t="s">
        <v>562</v>
      </c>
      <c r="E247" s="8">
        <v>0.38333333333333336</v>
      </c>
      <c r="F247" t="s">
        <v>487</v>
      </c>
      <c r="G247">
        <v>211</v>
      </c>
      <c r="H247" t="s">
        <v>35</v>
      </c>
      <c r="I247" t="s">
        <v>36</v>
      </c>
      <c r="J247" t="s">
        <v>37</v>
      </c>
      <c r="K247" t="s">
        <v>28</v>
      </c>
      <c r="L247">
        <v>2017</v>
      </c>
      <c r="M247" t="s">
        <v>38</v>
      </c>
      <c r="N247" t="s">
        <v>32</v>
      </c>
    </row>
    <row r="248" spans="1:14" x14ac:dyDescent="0.2">
      <c r="A248">
        <v>356558346</v>
      </c>
      <c r="B248" t="s">
        <v>41</v>
      </c>
      <c r="C248" t="s">
        <v>221</v>
      </c>
      <c r="D248" t="s">
        <v>563</v>
      </c>
      <c r="E248" s="8">
        <v>0.22666666666666666</v>
      </c>
      <c r="F248" t="s">
        <v>487</v>
      </c>
      <c r="G248">
        <v>211</v>
      </c>
      <c r="H248" t="s">
        <v>35</v>
      </c>
      <c r="I248" t="s">
        <v>36</v>
      </c>
      <c r="J248" t="s">
        <v>37</v>
      </c>
      <c r="K248" t="s">
        <v>28</v>
      </c>
      <c r="L248">
        <v>2017</v>
      </c>
      <c r="M248" t="s">
        <v>38</v>
      </c>
      <c r="N248" t="s">
        <v>32</v>
      </c>
    </row>
    <row r="249" spans="1:14" x14ac:dyDescent="0.2">
      <c r="A249">
        <v>356558346</v>
      </c>
      <c r="B249" t="s">
        <v>42</v>
      </c>
      <c r="C249" t="s">
        <v>159</v>
      </c>
      <c r="D249" t="s">
        <v>564</v>
      </c>
      <c r="E249" s="8">
        <v>0.04</v>
      </c>
      <c r="F249" t="s">
        <v>487</v>
      </c>
      <c r="G249">
        <v>211</v>
      </c>
      <c r="H249" t="s">
        <v>35</v>
      </c>
      <c r="I249" t="s">
        <v>36</v>
      </c>
      <c r="J249" t="s">
        <v>37</v>
      </c>
      <c r="K249" t="s">
        <v>28</v>
      </c>
      <c r="L249">
        <v>2017</v>
      </c>
      <c r="M249" t="s">
        <v>38</v>
      </c>
      <c r="N249" t="s">
        <v>32</v>
      </c>
    </row>
    <row r="250" spans="1:14" x14ac:dyDescent="0.2">
      <c r="A250">
        <v>356558346</v>
      </c>
      <c r="B250" t="s">
        <v>42</v>
      </c>
      <c r="C250" t="s">
        <v>135</v>
      </c>
      <c r="D250" t="s">
        <v>565</v>
      </c>
      <c r="E250" s="8">
        <v>0.43</v>
      </c>
      <c r="F250" t="s">
        <v>487</v>
      </c>
      <c r="G250">
        <v>211</v>
      </c>
      <c r="H250" t="s">
        <v>35</v>
      </c>
      <c r="I250" t="s">
        <v>36</v>
      </c>
      <c r="J250" t="s">
        <v>37</v>
      </c>
      <c r="K250" t="s">
        <v>28</v>
      </c>
      <c r="L250">
        <v>2017</v>
      </c>
      <c r="M250" t="s">
        <v>38</v>
      </c>
      <c r="N250" t="s">
        <v>32</v>
      </c>
    </row>
    <row r="251" spans="1:14" x14ac:dyDescent="0.2">
      <c r="A251">
        <v>356558346</v>
      </c>
      <c r="B251" t="s">
        <v>42</v>
      </c>
      <c r="C251" t="s">
        <v>56</v>
      </c>
      <c r="D251" t="s">
        <v>565</v>
      </c>
      <c r="E251" s="8">
        <v>0.42999999999999994</v>
      </c>
      <c r="F251" t="s">
        <v>487</v>
      </c>
      <c r="G251">
        <v>211</v>
      </c>
      <c r="H251" t="s">
        <v>35</v>
      </c>
      <c r="I251" t="s">
        <v>36</v>
      </c>
      <c r="J251" t="s">
        <v>37</v>
      </c>
      <c r="K251" t="s">
        <v>28</v>
      </c>
      <c r="L251">
        <v>2017</v>
      </c>
      <c r="M251" t="s">
        <v>38</v>
      </c>
      <c r="N251" t="s">
        <v>32</v>
      </c>
    </row>
    <row r="252" spans="1:14" x14ac:dyDescent="0.2">
      <c r="A252">
        <v>356558346</v>
      </c>
      <c r="B252" t="s">
        <v>42</v>
      </c>
      <c r="C252" t="s">
        <v>155</v>
      </c>
      <c r="D252" t="s">
        <v>564</v>
      </c>
      <c r="E252" s="8">
        <v>0.04</v>
      </c>
      <c r="F252" t="s">
        <v>487</v>
      </c>
      <c r="G252">
        <v>211</v>
      </c>
      <c r="H252" t="s">
        <v>35</v>
      </c>
      <c r="I252" t="s">
        <v>36</v>
      </c>
      <c r="J252" t="s">
        <v>37</v>
      </c>
      <c r="K252" t="s">
        <v>28</v>
      </c>
      <c r="L252">
        <v>2017</v>
      </c>
      <c r="M252" t="s">
        <v>38</v>
      </c>
      <c r="N252" t="s">
        <v>32</v>
      </c>
    </row>
    <row r="253" spans="1:14" x14ac:dyDescent="0.2">
      <c r="A253">
        <v>356558346</v>
      </c>
      <c r="B253" t="s">
        <v>479</v>
      </c>
      <c r="C253" t="s">
        <v>57</v>
      </c>
      <c r="D253" t="s">
        <v>566</v>
      </c>
      <c r="E253" s="8">
        <v>0.39499999999999996</v>
      </c>
      <c r="F253" t="s">
        <v>487</v>
      </c>
      <c r="G253">
        <v>211</v>
      </c>
      <c r="H253" t="s">
        <v>35</v>
      </c>
      <c r="I253" t="s">
        <v>36</v>
      </c>
      <c r="J253" t="s">
        <v>37</v>
      </c>
      <c r="K253" t="s">
        <v>28</v>
      </c>
      <c r="L253">
        <v>2017</v>
      </c>
      <c r="M253" t="s">
        <v>38</v>
      </c>
      <c r="N253" t="s">
        <v>32</v>
      </c>
    </row>
    <row r="254" spans="1:14" x14ac:dyDescent="0.2">
      <c r="A254">
        <v>356558346</v>
      </c>
      <c r="B254" t="s">
        <v>479</v>
      </c>
      <c r="C254" t="s">
        <v>58</v>
      </c>
      <c r="D254" t="s">
        <v>567</v>
      </c>
      <c r="E254" s="8">
        <v>0.04</v>
      </c>
      <c r="F254" t="s">
        <v>487</v>
      </c>
      <c r="G254">
        <v>211</v>
      </c>
      <c r="H254" t="s">
        <v>35</v>
      </c>
      <c r="I254" t="s">
        <v>36</v>
      </c>
      <c r="J254" t="s">
        <v>37</v>
      </c>
      <c r="K254" t="s">
        <v>28</v>
      </c>
      <c r="L254">
        <v>2017</v>
      </c>
      <c r="M254" t="s">
        <v>38</v>
      </c>
      <c r="N254" t="s">
        <v>32</v>
      </c>
    </row>
    <row r="255" spans="1:14" x14ac:dyDescent="0.2">
      <c r="A255">
        <v>356558346</v>
      </c>
      <c r="B255" t="s">
        <v>480</v>
      </c>
      <c r="C255" t="s">
        <v>456</v>
      </c>
      <c r="D255" t="s">
        <v>568</v>
      </c>
      <c r="E255" s="8">
        <v>0.3</v>
      </c>
      <c r="F255" t="s">
        <v>487</v>
      </c>
      <c r="G255">
        <v>211</v>
      </c>
      <c r="H255" t="s">
        <v>35</v>
      </c>
      <c r="I255" t="s">
        <v>36</v>
      </c>
      <c r="J255" t="s">
        <v>37</v>
      </c>
      <c r="K255" t="s">
        <v>28</v>
      </c>
      <c r="L255">
        <v>2017</v>
      </c>
      <c r="M255" t="s">
        <v>38</v>
      </c>
      <c r="N255" t="s">
        <v>32</v>
      </c>
    </row>
    <row r="256" spans="1:14" x14ac:dyDescent="0.2">
      <c r="A256">
        <v>356558346</v>
      </c>
      <c r="B256" t="s">
        <v>480</v>
      </c>
      <c r="C256" t="s">
        <v>452</v>
      </c>
      <c r="D256" t="s">
        <v>568</v>
      </c>
      <c r="E256" s="8">
        <v>0.3</v>
      </c>
      <c r="F256" t="s">
        <v>487</v>
      </c>
      <c r="G256">
        <v>211</v>
      </c>
      <c r="H256" t="s">
        <v>35</v>
      </c>
      <c r="I256" t="s">
        <v>36</v>
      </c>
      <c r="J256" t="s">
        <v>37</v>
      </c>
      <c r="K256" t="s">
        <v>28</v>
      </c>
      <c r="L256">
        <v>2017</v>
      </c>
      <c r="M256" t="s">
        <v>38</v>
      </c>
      <c r="N256" t="s">
        <v>32</v>
      </c>
    </row>
    <row r="257" spans="1:14" x14ac:dyDescent="0.2">
      <c r="A257">
        <v>356558346</v>
      </c>
      <c r="B257" t="s">
        <v>481</v>
      </c>
      <c r="C257" t="s">
        <v>533</v>
      </c>
      <c r="D257" t="s">
        <v>569</v>
      </c>
      <c r="E257" s="8">
        <v>0.04</v>
      </c>
      <c r="F257" t="s">
        <v>487</v>
      </c>
      <c r="G257">
        <v>211</v>
      </c>
      <c r="H257" t="s">
        <v>35</v>
      </c>
      <c r="I257" t="s">
        <v>36</v>
      </c>
      <c r="J257" t="s">
        <v>37</v>
      </c>
      <c r="K257" t="s">
        <v>28</v>
      </c>
      <c r="L257">
        <v>2017</v>
      </c>
      <c r="M257" t="s">
        <v>38</v>
      </c>
      <c r="N257" t="s">
        <v>32</v>
      </c>
    </row>
    <row r="258" spans="1:14" x14ac:dyDescent="0.2">
      <c r="A258">
        <v>356558346</v>
      </c>
      <c r="B258" t="s">
        <v>481</v>
      </c>
      <c r="C258" t="s">
        <v>106</v>
      </c>
      <c r="D258" t="s">
        <v>569</v>
      </c>
      <c r="E258" s="8">
        <v>0.04</v>
      </c>
      <c r="F258" t="s">
        <v>487</v>
      </c>
      <c r="G258">
        <v>211</v>
      </c>
      <c r="H258" t="s">
        <v>35</v>
      </c>
      <c r="I258" t="s">
        <v>36</v>
      </c>
      <c r="J258" t="s">
        <v>37</v>
      </c>
      <c r="K258" t="s">
        <v>28</v>
      </c>
      <c r="L258">
        <v>2017</v>
      </c>
      <c r="M258" t="s">
        <v>38</v>
      </c>
      <c r="N258" t="s">
        <v>32</v>
      </c>
    </row>
    <row r="259" spans="1:14" x14ac:dyDescent="0.2">
      <c r="A259">
        <v>356558346</v>
      </c>
      <c r="B259" t="s">
        <v>43</v>
      </c>
      <c r="C259" t="s">
        <v>59</v>
      </c>
      <c r="D259" t="s">
        <v>570</v>
      </c>
      <c r="E259" s="8">
        <v>0.19600000000000001</v>
      </c>
      <c r="F259" t="s">
        <v>487</v>
      </c>
      <c r="G259">
        <v>211</v>
      </c>
      <c r="H259" t="s">
        <v>35</v>
      </c>
      <c r="I259" t="s">
        <v>36</v>
      </c>
      <c r="J259" t="s">
        <v>37</v>
      </c>
      <c r="K259" t="s">
        <v>28</v>
      </c>
      <c r="L259">
        <v>2017</v>
      </c>
      <c r="M259" t="s">
        <v>38</v>
      </c>
      <c r="N259" t="s">
        <v>32</v>
      </c>
    </row>
    <row r="260" spans="1:14" x14ac:dyDescent="0.2">
      <c r="A260">
        <v>356558346</v>
      </c>
      <c r="B260" t="s">
        <v>482</v>
      </c>
      <c r="C260" t="s">
        <v>436</v>
      </c>
      <c r="D260" t="s">
        <v>561</v>
      </c>
      <c r="E260" s="8">
        <v>0.43500000000000005</v>
      </c>
      <c r="F260" t="s">
        <v>487</v>
      </c>
      <c r="G260">
        <v>211</v>
      </c>
      <c r="H260" t="s">
        <v>35</v>
      </c>
      <c r="I260" t="s">
        <v>36</v>
      </c>
      <c r="J260" t="s">
        <v>37</v>
      </c>
      <c r="K260" t="s">
        <v>28</v>
      </c>
      <c r="L260">
        <v>2017</v>
      </c>
      <c r="M260" t="s">
        <v>38</v>
      </c>
      <c r="N260" t="s">
        <v>32</v>
      </c>
    </row>
    <row r="261" spans="1:14" x14ac:dyDescent="0.2">
      <c r="A261">
        <v>356558346</v>
      </c>
      <c r="B261" t="s">
        <v>482</v>
      </c>
      <c r="C261" t="s">
        <v>436</v>
      </c>
      <c r="D261" t="s">
        <v>561</v>
      </c>
      <c r="E261" s="8">
        <v>0.52400000000000002</v>
      </c>
      <c r="F261" t="s">
        <v>487</v>
      </c>
      <c r="G261">
        <v>211</v>
      </c>
      <c r="H261" t="s">
        <v>35</v>
      </c>
      <c r="I261" t="s">
        <v>36</v>
      </c>
      <c r="J261" t="s">
        <v>37</v>
      </c>
      <c r="K261" t="s">
        <v>28</v>
      </c>
      <c r="L261">
        <v>2017</v>
      </c>
      <c r="M261" t="s">
        <v>38</v>
      </c>
      <c r="N261" t="s">
        <v>32</v>
      </c>
    </row>
    <row r="262" spans="1:14" x14ac:dyDescent="0.2">
      <c r="A262">
        <v>356558346</v>
      </c>
      <c r="B262" t="s">
        <v>483</v>
      </c>
      <c r="C262" t="s">
        <v>197</v>
      </c>
      <c r="D262" t="s">
        <v>556</v>
      </c>
      <c r="E262" s="8">
        <v>0.43</v>
      </c>
      <c r="F262" t="s">
        <v>487</v>
      </c>
      <c r="G262">
        <v>211</v>
      </c>
      <c r="H262" t="s">
        <v>35</v>
      </c>
      <c r="I262" t="s">
        <v>36</v>
      </c>
      <c r="J262" t="s">
        <v>37</v>
      </c>
      <c r="K262" t="s">
        <v>28</v>
      </c>
      <c r="L262">
        <v>2017</v>
      </c>
      <c r="M262" t="s">
        <v>38</v>
      </c>
      <c r="N262" t="s">
        <v>32</v>
      </c>
    </row>
    <row r="263" spans="1:14" x14ac:dyDescent="0.2">
      <c r="A263">
        <v>356558346</v>
      </c>
      <c r="B263" t="s">
        <v>483</v>
      </c>
      <c r="C263" t="s">
        <v>196</v>
      </c>
      <c r="D263" t="s">
        <v>557</v>
      </c>
      <c r="E263" s="8">
        <v>0.04</v>
      </c>
      <c r="F263" t="s">
        <v>487</v>
      </c>
      <c r="G263">
        <v>211</v>
      </c>
      <c r="H263" t="s">
        <v>35</v>
      </c>
      <c r="I263" t="s">
        <v>36</v>
      </c>
      <c r="J263" t="s">
        <v>37</v>
      </c>
      <c r="K263" t="s">
        <v>28</v>
      </c>
      <c r="L263">
        <v>2017</v>
      </c>
      <c r="M263" t="s">
        <v>38</v>
      </c>
      <c r="N263" t="s">
        <v>32</v>
      </c>
    </row>
    <row r="264" spans="1:14" x14ac:dyDescent="0.2">
      <c r="A264">
        <v>356558346</v>
      </c>
      <c r="B264" t="s">
        <v>483</v>
      </c>
      <c r="C264" t="s">
        <v>197</v>
      </c>
      <c r="D264" t="s">
        <v>556</v>
      </c>
      <c r="E264" s="8">
        <v>0.3</v>
      </c>
      <c r="F264" t="s">
        <v>487</v>
      </c>
      <c r="G264">
        <v>211</v>
      </c>
      <c r="H264" t="s">
        <v>35</v>
      </c>
      <c r="I264" t="s">
        <v>36</v>
      </c>
      <c r="J264" t="s">
        <v>37</v>
      </c>
      <c r="K264" t="s">
        <v>28</v>
      </c>
      <c r="L264">
        <v>2017</v>
      </c>
      <c r="M264" t="s">
        <v>38</v>
      </c>
      <c r="N264" t="s">
        <v>32</v>
      </c>
    </row>
    <row r="265" spans="1:14" x14ac:dyDescent="0.2">
      <c r="A265">
        <v>356558346</v>
      </c>
      <c r="B265" t="s">
        <v>483</v>
      </c>
      <c r="C265" t="s">
        <v>196</v>
      </c>
      <c r="D265" t="s">
        <v>557</v>
      </c>
      <c r="E265" s="8">
        <v>0.152</v>
      </c>
      <c r="F265" t="s">
        <v>487</v>
      </c>
      <c r="G265">
        <v>211</v>
      </c>
      <c r="H265" t="s">
        <v>35</v>
      </c>
      <c r="I265" t="s">
        <v>36</v>
      </c>
      <c r="J265" t="s">
        <v>37</v>
      </c>
      <c r="K265" t="s">
        <v>28</v>
      </c>
      <c r="L265">
        <v>2017</v>
      </c>
      <c r="M265" t="s">
        <v>38</v>
      </c>
      <c r="N265" t="s">
        <v>32</v>
      </c>
    </row>
    <row r="266" spans="1:14" x14ac:dyDescent="0.2">
      <c r="A266">
        <v>356558346</v>
      </c>
      <c r="B266" t="s">
        <v>483</v>
      </c>
      <c r="C266" t="s">
        <v>197</v>
      </c>
      <c r="D266" t="s">
        <v>556</v>
      </c>
      <c r="E266" s="8">
        <v>0.22666666666666666</v>
      </c>
      <c r="F266" t="s">
        <v>487</v>
      </c>
      <c r="G266">
        <v>211</v>
      </c>
      <c r="H266" t="s">
        <v>35</v>
      </c>
      <c r="I266" t="s">
        <v>36</v>
      </c>
      <c r="J266" t="s">
        <v>37</v>
      </c>
      <c r="K266" t="s">
        <v>28</v>
      </c>
      <c r="L266">
        <v>2017</v>
      </c>
      <c r="M266" t="s">
        <v>38</v>
      </c>
      <c r="N266" t="s">
        <v>32</v>
      </c>
    </row>
    <row r="267" spans="1:14" x14ac:dyDescent="0.2">
      <c r="A267">
        <v>356558346</v>
      </c>
      <c r="B267" t="s">
        <v>484</v>
      </c>
      <c r="C267" t="s">
        <v>497</v>
      </c>
      <c r="D267" t="s">
        <v>558</v>
      </c>
      <c r="E267" s="8">
        <v>0.3</v>
      </c>
      <c r="F267" t="s">
        <v>487</v>
      </c>
      <c r="G267">
        <v>211</v>
      </c>
      <c r="H267" t="s">
        <v>35</v>
      </c>
      <c r="I267" t="s">
        <v>36</v>
      </c>
      <c r="J267" t="s">
        <v>37</v>
      </c>
      <c r="K267" t="s">
        <v>28</v>
      </c>
      <c r="L267">
        <v>2017</v>
      </c>
      <c r="M267" t="s">
        <v>38</v>
      </c>
      <c r="N267" t="s">
        <v>32</v>
      </c>
    </row>
    <row r="268" spans="1:14" x14ac:dyDescent="0.2">
      <c r="A268">
        <v>356558346</v>
      </c>
      <c r="B268" t="s">
        <v>484</v>
      </c>
      <c r="C268" t="s">
        <v>500</v>
      </c>
      <c r="D268" t="s">
        <v>558</v>
      </c>
      <c r="E268" s="8">
        <v>0.4375</v>
      </c>
      <c r="F268" t="s">
        <v>487</v>
      </c>
      <c r="G268">
        <v>211</v>
      </c>
      <c r="H268" t="s">
        <v>35</v>
      </c>
      <c r="I268" t="s">
        <v>36</v>
      </c>
      <c r="J268" t="s">
        <v>37</v>
      </c>
      <c r="K268" t="s">
        <v>28</v>
      </c>
      <c r="L268">
        <v>2017</v>
      </c>
      <c r="M268" t="s">
        <v>38</v>
      </c>
      <c r="N268" t="s">
        <v>32</v>
      </c>
    </row>
    <row r="269" spans="1:14" x14ac:dyDescent="0.2">
      <c r="A269">
        <v>356558346</v>
      </c>
      <c r="B269" t="s">
        <v>484</v>
      </c>
      <c r="C269" t="s">
        <v>501</v>
      </c>
      <c r="D269" t="s">
        <v>558</v>
      </c>
      <c r="E269" s="8">
        <v>0.36249999999999999</v>
      </c>
      <c r="F269" t="s">
        <v>487</v>
      </c>
      <c r="G269">
        <v>211</v>
      </c>
      <c r="H269" t="s">
        <v>35</v>
      </c>
      <c r="I269" t="s">
        <v>36</v>
      </c>
      <c r="J269" t="s">
        <v>37</v>
      </c>
      <c r="K269" t="s">
        <v>28</v>
      </c>
      <c r="L269">
        <v>2017</v>
      </c>
      <c r="M269" t="s">
        <v>38</v>
      </c>
      <c r="N269" t="s">
        <v>32</v>
      </c>
    </row>
    <row r="270" spans="1:14" x14ac:dyDescent="0.2">
      <c r="A270">
        <v>356558346</v>
      </c>
      <c r="B270" t="s">
        <v>485</v>
      </c>
      <c r="C270" t="s">
        <v>346</v>
      </c>
      <c r="D270" t="s">
        <v>559</v>
      </c>
      <c r="E270" s="8">
        <v>0.04</v>
      </c>
      <c r="F270" t="s">
        <v>487</v>
      </c>
      <c r="G270">
        <v>211</v>
      </c>
      <c r="H270" t="s">
        <v>35</v>
      </c>
      <c r="I270" t="s">
        <v>36</v>
      </c>
      <c r="J270" t="s">
        <v>37</v>
      </c>
      <c r="K270" t="s">
        <v>28</v>
      </c>
      <c r="L270">
        <v>2017</v>
      </c>
      <c r="M270" t="s">
        <v>38</v>
      </c>
      <c r="N270" t="s">
        <v>32</v>
      </c>
    </row>
    <row r="271" spans="1:14" x14ac:dyDescent="0.2">
      <c r="A271">
        <v>356558346</v>
      </c>
      <c r="B271" t="s">
        <v>485</v>
      </c>
      <c r="C271" t="s">
        <v>342</v>
      </c>
      <c r="D271" t="s">
        <v>559</v>
      </c>
      <c r="E271" s="8">
        <v>0.22625000000000001</v>
      </c>
      <c r="F271" t="s">
        <v>487</v>
      </c>
      <c r="G271">
        <v>211</v>
      </c>
      <c r="H271" t="s">
        <v>35</v>
      </c>
      <c r="I271" t="s">
        <v>36</v>
      </c>
      <c r="J271" t="s">
        <v>37</v>
      </c>
      <c r="K271" t="s">
        <v>28</v>
      </c>
      <c r="L271">
        <v>2017</v>
      </c>
      <c r="M271" t="s">
        <v>38</v>
      </c>
      <c r="N271" t="s">
        <v>32</v>
      </c>
    </row>
    <row r="272" spans="1:14" x14ac:dyDescent="0.2">
      <c r="A272">
        <v>357061292</v>
      </c>
      <c r="B272" t="s">
        <v>478</v>
      </c>
      <c r="C272" t="s">
        <v>276</v>
      </c>
      <c r="D272" t="s">
        <v>546</v>
      </c>
      <c r="E272" s="8">
        <v>0.31666666666666665</v>
      </c>
      <c r="F272" t="s">
        <v>487</v>
      </c>
      <c r="G272">
        <v>211</v>
      </c>
      <c r="H272" t="s">
        <v>35</v>
      </c>
      <c r="I272" t="s">
        <v>36</v>
      </c>
      <c r="J272" t="s">
        <v>37</v>
      </c>
      <c r="K272" t="s">
        <v>28</v>
      </c>
      <c r="L272">
        <v>2017</v>
      </c>
      <c r="M272" t="s">
        <v>38</v>
      </c>
      <c r="N272" t="s">
        <v>32</v>
      </c>
    </row>
    <row r="273" spans="1:14" x14ac:dyDescent="0.2">
      <c r="A273">
        <v>357061292</v>
      </c>
      <c r="B273" t="s">
        <v>478</v>
      </c>
      <c r="C273" t="s">
        <v>247</v>
      </c>
      <c r="D273" t="s">
        <v>546</v>
      </c>
      <c r="E273" s="8">
        <v>0.27399999999999997</v>
      </c>
      <c r="F273" t="s">
        <v>487</v>
      </c>
      <c r="G273">
        <v>211</v>
      </c>
      <c r="H273" t="s">
        <v>35</v>
      </c>
      <c r="I273" t="s">
        <v>36</v>
      </c>
      <c r="J273" t="s">
        <v>37</v>
      </c>
      <c r="K273" t="s">
        <v>28</v>
      </c>
      <c r="L273">
        <v>2017</v>
      </c>
      <c r="M273" t="s">
        <v>38</v>
      </c>
      <c r="N273" t="s">
        <v>32</v>
      </c>
    </row>
    <row r="274" spans="1:14" x14ac:dyDescent="0.2">
      <c r="A274">
        <v>357061292</v>
      </c>
      <c r="B274" t="s">
        <v>40</v>
      </c>
      <c r="C274" t="s">
        <v>435</v>
      </c>
      <c r="D274" t="s">
        <v>560</v>
      </c>
      <c r="E274" s="8">
        <v>0.1</v>
      </c>
      <c r="F274" t="s">
        <v>487</v>
      </c>
      <c r="G274">
        <v>211</v>
      </c>
      <c r="H274" t="s">
        <v>35</v>
      </c>
      <c r="I274" t="s">
        <v>36</v>
      </c>
      <c r="J274" t="s">
        <v>37</v>
      </c>
      <c r="K274" t="s">
        <v>28</v>
      </c>
      <c r="L274">
        <v>2017</v>
      </c>
      <c r="M274" t="s">
        <v>38</v>
      </c>
      <c r="N274" t="s">
        <v>32</v>
      </c>
    </row>
    <row r="275" spans="1:14" x14ac:dyDescent="0.2">
      <c r="A275">
        <v>357061292</v>
      </c>
      <c r="B275" t="s">
        <v>40</v>
      </c>
      <c r="C275" t="s">
        <v>393</v>
      </c>
      <c r="D275" t="s">
        <v>560</v>
      </c>
      <c r="E275" s="8">
        <v>0.48666666666666664</v>
      </c>
      <c r="F275" t="s">
        <v>487</v>
      </c>
      <c r="G275">
        <v>211</v>
      </c>
      <c r="H275" t="s">
        <v>35</v>
      </c>
      <c r="I275" t="s">
        <v>36</v>
      </c>
      <c r="J275" t="s">
        <v>37</v>
      </c>
      <c r="K275" t="s">
        <v>28</v>
      </c>
      <c r="L275">
        <v>2017</v>
      </c>
      <c r="M275" t="s">
        <v>38</v>
      </c>
      <c r="N275" t="s">
        <v>32</v>
      </c>
    </row>
    <row r="276" spans="1:14" x14ac:dyDescent="0.2">
      <c r="A276">
        <v>357061292</v>
      </c>
      <c r="B276" t="s">
        <v>41</v>
      </c>
      <c r="C276" t="s">
        <v>212</v>
      </c>
      <c r="D276" t="s">
        <v>562</v>
      </c>
      <c r="E276" s="8">
        <v>0.2</v>
      </c>
      <c r="F276" t="s">
        <v>487</v>
      </c>
      <c r="G276">
        <v>211</v>
      </c>
      <c r="H276" t="s">
        <v>35</v>
      </c>
      <c r="I276" t="s">
        <v>36</v>
      </c>
      <c r="J276" t="s">
        <v>37</v>
      </c>
      <c r="K276" t="s">
        <v>28</v>
      </c>
      <c r="L276">
        <v>2017</v>
      </c>
      <c r="M276" t="s">
        <v>38</v>
      </c>
      <c r="N276" t="s">
        <v>32</v>
      </c>
    </row>
    <row r="277" spans="1:14" x14ac:dyDescent="0.2">
      <c r="A277">
        <v>357061292</v>
      </c>
      <c r="B277" t="s">
        <v>41</v>
      </c>
      <c r="C277" t="s">
        <v>207</v>
      </c>
      <c r="D277" t="s">
        <v>562</v>
      </c>
      <c r="E277" s="8">
        <v>0.42666666666666669</v>
      </c>
      <c r="F277" t="s">
        <v>487</v>
      </c>
      <c r="G277">
        <v>211</v>
      </c>
      <c r="H277" t="s">
        <v>35</v>
      </c>
      <c r="I277" t="s">
        <v>36</v>
      </c>
      <c r="J277" t="s">
        <v>37</v>
      </c>
      <c r="K277" t="s">
        <v>28</v>
      </c>
      <c r="L277">
        <v>2017</v>
      </c>
      <c r="M277" t="s">
        <v>38</v>
      </c>
      <c r="N277" t="s">
        <v>32</v>
      </c>
    </row>
    <row r="278" spans="1:14" x14ac:dyDescent="0.2">
      <c r="A278">
        <v>357061292</v>
      </c>
      <c r="B278" t="s">
        <v>41</v>
      </c>
      <c r="C278" t="s">
        <v>221</v>
      </c>
      <c r="D278" t="s">
        <v>563</v>
      </c>
      <c r="E278" s="8">
        <v>0.66666666666666663</v>
      </c>
      <c r="F278" t="s">
        <v>487</v>
      </c>
      <c r="G278">
        <v>211</v>
      </c>
      <c r="H278" t="s">
        <v>35</v>
      </c>
      <c r="I278" t="s">
        <v>36</v>
      </c>
      <c r="J278" t="s">
        <v>37</v>
      </c>
      <c r="K278" t="s">
        <v>28</v>
      </c>
      <c r="L278">
        <v>2017</v>
      </c>
      <c r="M278" t="s">
        <v>38</v>
      </c>
      <c r="N278" t="s">
        <v>32</v>
      </c>
    </row>
    <row r="279" spans="1:14" x14ac:dyDescent="0.2">
      <c r="A279">
        <v>357061292</v>
      </c>
      <c r="B279" t="s">
        <v>42</v>
      </c>
      <c r="C279" t="s">
        <v>159</v>
      </c>
      <c r="D279" t="s">
        <v>564</v>
      </c>
      <c r="E279" s="8">
        <v>0.5</v>
      </c>
      <c r="F279" t="s">
        <v>487</v>
      </c>
      <c r="G279">
        <v>211</v>
      </c>
      <c r="H279" t="s">
        <v>35</v>
      </c>
      <c r="I279" t="s">
        <v>36</v>
      </c>
      <c r="J279" t="s">
        <v>37</v>
      </c>
      <c r="K279" t="s">
        <v>28</v>
      </c>
      <c r="L279">
        <v>2017</v>
      </c>
      <c r="M279" t="s">
        <v>38</v>
      </c>
      <c r="N279" t="s">
        <v>32</v>
      </c>
    </row>
    <row r="280" spans="1:14" x14ac:dyDescent="0.2">
      <c r="A280">
        <v>357061292</v>
      </c>
      <c r="B280" t="s">
        <v>42</v>
      </c>
      <c r="C280" t="s">
        <v>135</v>
      </c>
      <c r="D280" t="s">
        <v>565</v>
      </c>
      <c r="E280" s="8">
        <v>0.1</v>
      </c>
      <c r="F280" t="s">
        <v>487</v>
      </c>
      <c r="G280">
        <v>211</v>
      </c>
      <c r="H280" t="s">
        <v>35</v>
      </c>
      <c r="I280" t="s">
        <v>36</v>
      </c>
      <c r="J280" t="s">
        <v>37</v>
      </c>
      <c r="K280" t="s">
        <v>28</v>
      </c>
      <c r="L280">
        <v>2017</v>
      </c>
      <c r="M280" t="s">
        <v>38</v>
      </c>
      <c r="N280" t="s">
        <v>32</v>
      </c>
    </row>
    <row r="281" spans="1:14" x14ac:dyDescent="0.2">
      <c r="A281">
        <v>357061292</v>
      </c>
      <c r="B281" t="s">
        <v>42</v>
      </c>
      <c r="C281" t="s">
        <v>56</v>
      </c>
      <c r="D281" t="s">
        <v>565</v>
      </c>
      <c r="E281" s="8">
        <v>0.1</v>
      </c>
      <c r="F281" t="s">
        <v>487</v>
      </c>
      <c r="G281">
        <v>211</v>
      </c>
      <c r="H281" t="s">
        <v>35</v>
      </c>
      <c r="I281" t="s">
        <v>36</v>
      </c>
      <c r="J281" t="s">
        <v>37</v>
      </c>
      <c r="K281" t="s">
        <v>28</v>
      </c>
      <c r="L281">
        <v>2017</v>
      </c>
      <c r="M281" t="s">
        <v>38</v>
      </c>
      <c r="N281" t="s">
        <v>32</v>
      </c>
    </row>
    <row r="282" spans="1:14" x14ac:dyDescent="0.2">
      <c r="A282">
        <v>357061292</v>
      </c>
      <c r="B282" t="s">
        <v>42</v>
      </c>
      <c r="C282" t="s">
        <v>155</v>
      </c>
      <c r="D282" t="s">
        <v>564</v>
      </c>
      <c r="E282" s="8">
        <v>0.5</v>
      </c>
      <c r="F282" t="s">
        <v>487</v>
      </c>
      <c r="G282">
        <v>211</v>
      </c>
      <c r="H282" t="s">
        <v>35</v>
      </c>
      <c r="I282" t="s">
        <v>36</v>
      </c>
      <c r="J282" t="s">
        <v>37</v>
      </c>
      <c r="K282" t="s">
        <v>28</v>
      </c>
      <c r="L282">
        <v>2017</v>
      </c>
      <c r="M282" t="s">
        <v>38</v>
      </c>
      <c r="N282" t="s">
        <v>32</v>
      </c>
    </row>
    <row r="283" spans="1:14" x14ac:dyDescent="0.2">
      <c r="A283">
        <v>357061292</v>
      </c>
      <c r="B283" t="s">
        <v>479</v>
      </c>
      <c r="C283" t="s">
        <v>57</v>
      </c>
      <c r="D283" t="s">
        <v>566</v>
      </c>
      <c r="E283" s="8">
        <v>0.42611111111111111</v>
      </c>
      <c r="F283" t="s">
        <v>487</v>
      </c>
      <c r="G283">
        <v>211</v>
      </c>
      <c r="H283" t="s">
        <v>35</v>
      </c>
      <c r="I283" t="s">
        <v>36</v>
      </c>
      <c r="J283" t="s">
        <v>37</v>
      </c>
      <c r="K283" t="s">
        <v>28</v>
      </c>
      <c r="L283">
        <v>2017</v>
      </c>
      <c r="M283" t="s">
        <v>38</v>
      </c>
      <c r="N283" t="s">
        <v>32</v>
      </c>
    </row>
    <row r="284" spans="1:14" x14ac:dyDescent="0.2">
      <c r="A284">
        <v>357061292</v>
      </c>
      <c r="B284" t="s">
        <v>479</v>
      </c>
      <c r="C284" t="s">
        <v>58</v>
      </c>
      <c r="D284" t="s">
        <v>567</v>
      </c>
      <c r="E284" s="8">
        <v>0.5</v>
      </c>
      <c r="F284" t="s">
        <v>487</v>
      </c>
      <c r="G284">
        <v>211</v>
      </c>
      <c r="H284" t="s">
        <v>35</v>
      </c>
      <c r="I284" t="s">
        <v>36</v>
      </c>
      <c r="J284" t="s">
        <v>37</v>
      </c>
      <c r="K284" t="s">
        <v>28</v>
      </c>
      <c r="L284">
        <v>2017</v>
      </c>
      <c r="M284" t="s">
        <v>38</v>
      </c>
      <c r="N284" t="s">
        <v>32</v>
      </c>
    </row>
    <row r="285" spans="1:14" x14ac:dyDescent="0.2">
      <c r="A285">
        <v>357061292</v>
      </c>
      <c r="B285" t="s">
        <v>480</v>
      </c>
      <c r="C285" t="s">
        <v>456</v>
      </c>
      <c r="D285" t="s">
        <v>568</v>
      </c>
      <c r="E285" s="8">
        <v>0.23333333333333334</v>
      </c>
      <c r="F285" t="s">
        <v>487</v>
      </c>
      <c r="G285">
        <v>211</v>
      </c>
      <c r="H285" t="s">
        <v>35</v>
      </c>
      <c r="I285" t="s">
        <v>36</v>
      </c>
      <c r="J285" t="s">
        <v>37</v>
      </c>
      <c r="K285" t="s">
        <v>28</v>
      </c>
      <c r="L285">
        <v>2017</v>
      </c>
      <c r="M285" t="s">
        <v>38</v>
      </c>
      <c r="N285" t="s">
        <v>32</v>
      </c>
    </row>
    <row r="286" spans="1:14" x14ac:dyDescent="0.2">
      <c r="A286">
        <v>357061292</v>
      </c>
      <c r="B286" t="s">
        <v>480</v>
      </c>
      <c r="C286" t="s">
        <v>452</v>
      </c>
      <c r="D286" t="s">
        <v>568</v>
      </c>
      <c r="E286" s="8">
        <v>0.23333333333333334</v>
      </c>
      <c r="F286" t="s">
        <v>487</v>
      </c>
      <c r="G286">
        <v>211</v>
      </c>
      <c r="H286" t="s">
        <v>35</v>
      </c>
      <c r="I286" t="s">
        <v>36</v>
      </c>
      <c r="J286" t="s">
        <v>37</v>
      </c>
      <c r="K286" t="s">
        <v>28</v>
      </c>
      <c r="L286">
        <v>2017</v>
      </c>
      <c r="M286" t="s">
        <v>38</v>
      </c>
      <c r="N286" t="s">
        <v>32</v>
      </c>
    </row>
    <row r="287" spans="1:14" x14ac:dyDescent="0.2">
      <c r="A287">
        <v>357061292</v>
      </c>
      <c r="B287" t="s">
        <v>481</v>
      </c>
      <c r="C287" t="s">
        <v>533</v>
      </c>
      <c r="D287" t="s">
        <v>569</v>
      </c>
      <c r="E287" s="8">
        <v>0.5</v>
      </c>
      <c r="F287" t="s">
        <v>487</v>
      </c>
      <c r="G287">
        <v>211</v>
      </c>
      <c r="H287" t="s">
        <v>35</v>
      </c>
      <c r="I287" t="s">
        <v>36</v>
      </c>
      <c r="J287" t="s">
        <v>37</v>
      </c>
      <c r="K287" t="s">
        <v>28</v>
      </c>
      <c r="L287">
        <v>2017</v>
      </c>
      <c r="M287" t="s">
        <v>38</v>
      </c>
      <c r="N287" t="s">
        <v>32</v>
      </c>
    </row>
    <row r="288" spans="1:14" x14ac:dyDescent="0.2">
      <c r="A288">
        <v>357061292</v>
      </c>
      <c r="B288" t="s">
        <v>481</v>
      </c>
      <c r="C288" t="s">
        <v>106</v>
      </c>
      <c r="D288" t="s">
        <v>569</v>
      </c>
      <c r="E288" s="8">
        <v>0.5</v>
      </c>
      <c r="F288" t="s">
        <v>487</v>
      </c>
      <c r="G288">
        <v>211</v>
      </c>
      <c r="H288" t="s">
        <v>35</v>
      </c>
      <c r="I288" t="s">
        <v>36</v>
      </c>
      <c r="J288" t="s">
        <v>37</v>
      </c>
      <c r="K288" t="s">
        <v>28</v>
      </c>
      <c r="L288">
        <v>2017</v>
      </c>
      <c r="M288" t="s">
        <v>38</v>
      </c>
      <c r="N288" t="s">
        <v>32</v>
      </c>
    </row>
    <row r="289" spans="1:14" x14ac:dyDescent="0.2">
      <c r="A289">
        <v>357061292</v>
      </c>
      <c r="B289" t="s">
        <v>43</v>
      </c>
      <c r="C289" t="s">
        <v>59</v>
      </c>
      <c r="D289" t="s">
        <v>570</v>
      </c>
      <c r="E289" s="8">
        <v>0.34</v>
      </c>
      <c r="F289" t="s">
        <v>487</v>
      </c>
      <c r="G289">
        <v>211</v>
      </c>
      <c r="H289" t="s">
        <v>35</v>
      </c>
      <c r="I289" t="s">
        <v>36</v>
      </c>
      <c r="J289" t="s">
        <v>37</v>
      </c>
      <c r="K289" t="s">
        <v>28</v>
      </c>
      <c r="L289">
        <v>2017</v>
      </c>
      <c r="M289" t="s">
        <v>38</v>
      </c>
      <c r="N289" t="s">
        <v>32</v>
      </c>
    </row>
    <row r="290" spans="1:14" x14ac:dyDescent="0.2">
      <c r="A290">
        <v>357061292</v>
      </c>
      <c r="B290" t="s">
        <v>482</v>
      </c>
      <c r="C290" t="s">
        <v>436</v>
      </c>
      <c r="D290" t="s">
        <v>561</v>
      </c>
      <c r="E290" s="8">
        <v>0.23499999999999999</v>
      </c>
      <c r="F290" t="s">
        <v>487</v>
      </c>
      <c r="G290">
        <v>211</v>
      </c>
      <c r="H290" t="s">
        <v>35</v>
      </c>
      <c r="I290" t="s">
        <v>36</v>
      </c>
      <c r="J290" t="s">
        <v>37</v>
      </c>
      <c r="K290" t="s">
        <v>28</v>
      </c>
      <c r="L290">
        <v>2017</v>
      </c>
      <c r="M290" t="s">
        <v>38</v>
      </c>
      <c r="N290" t="s">
        <v>32</v>
      </c>
    </row>
    <row r="291" spans="1:14" x14ac:dyDescent="0.2">
      <c r="A291">
        <v>357061292</v>
      </c>
      <c r="B291" t="s">
        <v>482</v>
      </c>
      <c r="C291" t="s">
        <v>436</v>
      </c>
      <c r="D291" t="s">
        <v>561</v>
      </c>
      <c r="E291" s="8">
        <v>0.18</v>
      </c>
      <c r="F291" t="s">
        <v>487</v>
      </c>
      <c r="G291">
        <v>211</v>
      </c>
      <c r="H291" t="s">
        <v>35</v>
      </c>
      <c r="I291" t="s">
        <v>36</v>
      </c>
      <c r="J291" t="s">
        <v>37</v>
      </c>
      <c r="K291" t="s">
        <v>28</v>
      </c>
      <c r="L291">
        <v>2017</v>
      </c>
      <c r="M291" t="s">
        <v>38</v>
      </c>
      <c r="N291" t="s">
        <v>32</v>
      </c>
    </row>
    <row r="292" spans="1:14" x14ac:dyDescent="0.2">
      <c r="A292">
        <v>357061292</v>
      </c>
      <c r="B292" t="s">
        <v>483</v>
      </c>
      <c r="C292" t="s">
        <v>197</v>
      </c>
      <c r="D292" t="s">
        <v>556</v>
      </c>
      <c r="E292" s="8">
        <v>0.1</v>
      </c>
      <c r="F292" t="s">
        <v>487</v>
      </c>
      <c r="G292">
        <v>211</v>
      </c>
      <c r="H292" t="s">
        <v>35</v>
      </c>
      <c r="I292" t="s">
        <v>36</v>
      </c>
      <c r="J292" t="s">
        <v>37</v>
      </c>
      <c r="K292" t="s">
        <v>28</v>
      </c>
      <c r="L292">
        <v>2017</v>
      </c>
      <c r="M292" t="s">
        <v>38</v>
      </c>
      <c r="N292" t="s">
        <v>32</v>
      </c>
    </row>
    <row r="293" spans="1:14" x14ac:dyDescent="0.2">
      <c r="A293">
        <v>357061292</v>
      </c>
      <c r="B293" t="s">
        <v>483</v>
      </c>
      <c r="C293" t="s">
        <v>196</v>
      </c>
      <c r="D293" t="s">
        <v>557</v>
      </c>
      <c r="E293" s="8">
        <v>0.5</v>
      </c>
      <c r="F293" t="s">
        <v>487</v>
      </c>
      <c r="G293">
        <v>211</v>
      </c>
      <c r="H293" t="s">
        <v>35</v>
      </c>
      <c r="I293" t="s">
        <v>36</v>
      </c>
      <c r="J293" t="s">
        <v>37</v>
      </c>
      <c r="K293" t="s">
        <v>28</v>
      </c>
      <c r="L293">
        <v>2017</v>
      </c>
      <c r="M293" t="s">
        <v>38</v>
      </c>
      <c r="N293" t="s">
        <v>32</v>
      </c>
    </row>
    <row r="294" spans="1:14" x14ac:dyDescent="0.2">
      <c r="A294">
        <v>357061292</v>
      </c>
      <c r="B294" t="s">
        <v>483</v>
      </c>
      <c r="C294" t="s">
        <v>197</v>
      </c>
      <c r="D294" t="s">
        <v>556</v>
      </c>
      <c r="E294" s="8">
        <v>0.23333333333333334</v>
      </c>
      <c r="F294" t="s">
        <v>487</v>
      </c>
      <c r="G294">
        <v>211</v>
      </c>
      <c r="H294" t="s">
        <v>35</v>
      </c>
      <c r="I294" t="s">
        <v>36</v>
      </c>
      <c r="J294" t="s">
        <v>37</v>
      </c>
      <c r="K294" t="s">
        <v>28</v>
      </c>
      <c r="L294">
        <v>2017</v>
      </c>
      <c r="M294" t="s">
        <v>38</v>
      </c>
      <c r="N294" t="s">
        <v>32</v>
      </c>
    </row>
    <row r="295" spans="1:14" x14ac:dyDescent="0.2">
      <c r="A295">
        <v>357061292</v>
      </c>
      <c r="B295" t="s">
        <v>483</v>
      </c>
      <c r="C295" t="s">
        <v>196</v>
      </c>
      <c r="D295" t="s">
        <v>557</v>
      </c>
      <c r="E295" s="8">
        <v>0.6</v>
      </c>
      <c r="F295" t="s">
        <v>487</v>
      </c>
      <c r="G295">
        <v>211</v>
      </c>
      <c r="H295" t="s">
        <v>35</v>
      </c>
      <c r="I295" t="s">
        <v>36</v>
      </c>
      <c r="J295" t="s">
        <v>37</v>
      </c>
      <c r="K295" t="s">
        <v>28</v>
      </c>
      <c r="L295">
        <v>2017</v>
      </c>
      <c r="M295" t="s">
        <v>38</v>
      </c>
      <c r="N295" t="s">
        <v>32</v>
      </c>
    </row>
    <row r="296" spans="1:14" x14ac:dyDescent="0.2">
      <c r="A296">
        <v>357061292</v>
      </c>
      <c r="B296" t="s">
        <v>483</v>
      </c>
      <c r="C296" t="s">
        <v>197</v>
      </c>
      <c r="D296" t="s">
        <v>556</v>
      </c>
      <c r="E296" s="8">
        <v>0.66666666666666663</v>
      </c>
      <c r="F296" t="s">
        <v>487</v>
      </c>
      <c r="G296">
        <v>211</v>
      </c>
      <c r="H296" t="s">
        <v>35</v>
      </c>
      <c r="I296" t="s">
        <v>36</v>
      </c>
      <c r="J296" t="s">
        <v>37</v>
      </c>
      <c r="K296" t="s">
        <v>28</v>
      </c>
      <c r="L296">
        <v>2017</v>
      </c>
      <c r="M296" t="s">
        <v>38</v>
      </c>
      <c r="N296" t="s">
        <v>32</v>
      </c>
    </row>
    <row r="297" spans="1:14" x14ac:dyDescent="0.2">
      <c r="A297">
        <v>357061292</v>
      </c>
      <c r="B297" t="s">
        <v>484</v>
      </c>
      <c r="C297" t="s">
        <v>497</v>
      </c>
      <c r="D297" t="s">
        <v>558</v>
      </c>
      <c r="E297" s="8">
        <v>0.23333333333333334</v>
      </c>
      <c r="F297" t="s">
        <v>487</v>
      </c>
      <c r="G297">
        <v>211</v>
      </c>
      <c r="H297" t="s">
        <v>35</v>
      </c>
      <c r="I297" t="s">
        <v>36</v>
      </c>
      <c r="J297" t="s">
        <v>37</v>
      </c>
      <c r="K297" t="s">
        <v>28</v>
      </c>
      <c r="L297">
        <v>2017</v>
      </c>
      <c r="M297" t="s">
        <v>38</v>
      </c>
      <c r="N297" t="s">
        <v>32</v>
      </c>
    </row>
    <row r="298" spans="1:14" x14ac:dyDescent="0.2">
      <c r="A298">
        <v>357061292</v>
      </c>
      <c r="B298" t="s">
        <v>484</v>
      </c>
      <c r="C298" t="s">
        <v>500</v>
      </c>
      <c r="D298" t="s">
        <v>558</v>
      </c>
      <c r="E298" s="8">
        <v>0.28999999999999998</v>
      </c>
      <c r="F298" t="s">
        <v>487</v>
      </c>
      <c r="G298">
        <v>211</v>
      </c>
      <c r="H298" t="s">
        <v>35</v>
      </c>
      <c r="I298" t="s">
        <v>36</v>
      </c>
      <c r="J298" t="s">
        <v>37</v>
      </c>
      <c r="K298" t="s">
        <v>28</v>
      </c>
      <c r="L298">
        <v>2017</v>
      </c>
      <c r="M298" t="s">
        <v>38</v>
      </c>
      <c r="N298" t="s">
        <v>32</v>
      </c>
    </row>
    <row r="299" spans="1:14" x14ac:dyDescent="0.2">
      <c r="A299">
        <v>357061292</v>
      </c>
      <c r="B299" t="s">
        <v>484</v>
      </c>
      <c r="C299" t="s">
        <v>501</v>
      </c>
      <c r="D299" t="s">
        <v>558</v>
      </c>
      <c r="E299" s="8">
        <v>0.30874999999999997</v>
      </c>
      <c r="F299" t="s">
        <v>487</v>
      </c>
      <c r="G299">
        <v>211</v>
      </c>
      <c r="H299" t="s">
        <v>35</v>
      </c>
      <c r="I299" t="s">
        <v>36</v>
      </c>
      <c r="J299" t="s">
        <v>37</v>
      </c>
      <c r="K299" t="s">
        <v>28</v>
      </c>
      <c r="L299">
        <v>2017</v>
      </c>
      <c r="M299" t="s">
        <v>38</v>
      </c>
      <c r="N299" t="s">
        <v>32</v>
      </c>
    </row>
    <row r="300" spans="1:14" x14ac:dyDescent="0.2">
      <c r="A300">
        <v>357061292</v>
      </c>
      <c r="B300" t="s">
        <v>485</v>
      </c>
      <c r="C300" t="s">
        <v>346</v>
      </c>
      <c r="D300" t="s">
        <v>559</v>
      </c>
      <c r="E300" s="8">
        <v>0.5</v>
      </c>
      <c r="F300" t="s">
        <v>487</v>
      </c>
      <c r="G300">
        <v>211</v>
      </c>
      <c r="H300" t="s">
        <v>35</v>
      </c>
      <c r="I300" t="s">
        <v>36</v>
      </c>
      <c r="J300" t="s">
        <v>37</v>
      </c>
      <c r="K300" t="s">
        <v>28</v>
      </c>
      <c r="L300">
        <v>2017</v>
      </c>
      <c r="M300" t="s">
        <v>38</v>
      </c>
      <c r="N300" t="s">
        <v>32</v>
      </c>
    </row>
    <row r="301" spans="1:14" x14ac:dyDescent="0.2">
      <c r="A301">
        <v>357061292</v>
      </c>
      <c r="B301" t="s">
        <v>485</v>
      </c>
      <c r="C301" t="s">
        <v>342</v>
      </c>
      <c r="D301" t="s">
        <v>559</v>
      </c>
      <c r="E301" s="8">
        <v>0.54374999999999996</v>
      </c>
      <c r="F301" t="s">
        <v>487</v>
      </c>
      <c r="G301">
        <v>211</v>
      </c>
      <c r="H301" t="s">
        <v>35</v>
      </c>
      <c r="I301" t="s">
        <v>36</v>
      </c>
      <c r="J301" t="s">
        <v>37</v>
      </c>
      <c r="K301" t="s">
        <v>28</v>
      </c>
      <c r="L301">
        <v>2017</v>
      </c>
      <c r="M301" t="s">
        <v>38</v>
      </c>
      <c r="N301" t="s">
        <v>32</v>
      </c>
    </row>
    <row r="302" spans="1:14" x14ac:dyDescent="0.2">
      <c r="A302">
        <v>363436152</v>
      </c>
      <c r="B302" t="s">
        <v>478</v>
      </c>
      <c r="C302" t="s">
        <v>276</v>
      </c>
      <c r="D302" t="s">
        <v>546</v>
      </c>
      <c r="E302" s="8">
        <v>0.32333333333333331</v>
      </c>
      <c r="F302" t="s">
        <v>487</v>
      </c>
      <c r="G302">
        <v>211</v>
      </c>
      <c r="H302" t="s">
        <v>35</v>
      </c>
      <c r="I302" t="s">
        <v>36</v>
      </c>
      <c r="J302" t="s">
        <v>37</v>
      </c>
      <c r="K302" t="s">
        <v>28</v>
      </c>
      <c r="L302">
        <v>2017</v>
      </c>
      <c r="M302" t="s">
        <v>38</v>
      </c>
      <c r="N302" t="s">
        <v>32</v>
      </c>
    </row>
    <row r="303" spans="1:14" x14ac:dyDescent="0.2">
      <c r="A303">
        <v>363436152</v>
      </c>
      <c r="B303" t="s">
        <v>478</v>
      </c>
      <c r="C303" t="s">
        <v>247</v>
      </c>
      <c r="D303" t="s">
        <v>546</v>
      </c>
      <c r="E303" s="8">
        <v>0.23800000000000002</v>
      </c>
      <c r="F303" t="s">
        <v>487</v>
      </c>
      <c r="G303">
        <v>211</v>
      </c>
      <c r="H303" t="s">
        <v>35</v>
      </c>
      <c r="I303" t="s">
        <v>36</v>
      </c>
      <c r="J303" t="s">
        <v>37</v>
      </c>
      <c r="K303" t="s">
        <v>28</v>
      </c>
      <c r="L303">
        <v>2017</v>
      </c>
      <c r="M303" t="s">
        <v>38</v>
      </c>
      <c r="N303" t="s">
        <v>32</v>
      </c>
    </row>
    <row r="304" spans="1:14" x14ac:dyDescent="0.2">
      <c r="A304">
        <v>363436152</v>
      </c>
      <c r="B304" t="s">
        <v>40</v>
      </c>
      <c r="C304" t="s">
        <v>435</v>
      </c>
      <c r="D304" t="s">
        <v>560</v>
      </c>
      <c r="E304" s="8">
        <v>0.21000000000000002</v>
      </c>
      <c r="F304" t="s">
        <v>487</v>
      </c>
      <c r="G304">
        <v>211</v>
      </c>
      <c r="H304" t="s">
        <v>35</v>
      </c>
      <c r="I304" t="s">
        <v>36</v>
      </c>
      <c r="J304" t="s">
        <v>37</v>
      </c>
      <c r="K304" t="s">
        <v>28</v>
      </c>
      <c r="L304">
        <v>2017</v>
      </c>
      <c r="M304" t="s">
        <v>38</v>
      </c>
      <c r="N304" t="s">
        <v>32</v>
      </c>
    </row>
    <row r="305" spans="1:14" x14ac:dyDescent="0.2">
      <c r="A305">
        <v>363436152</v>
      </c>
      <c r="B305" t="s">
        <v>40</v>
      </c>
      <c r="C305" t="s">
        <v>393</v>
      </c>
      <c r="D305" t="s">
        <v>560</v>
      </c>
      <c r="E305" s="8">
        <v>0.52</v>
      </c>
      <c r="F305" t="s">
        <v>487</v>
      </c>
      <c r="G305">
        <v>211</v>
      </c>
      <c r="H305" t="s">
        <v>35</v>
      </c>
      <c r="I305" t="s">
        <v>36</v>
      </c>
      <c r="J305" t="s">
        <v>37</v>
      </c>
      <c r="K305" t="s">
        <v>28</v>
      </c>
      <c r="L305">
        <v>2017</v>
      </c>
      <c r="M305" t="s">
        <v>38</v>
      </c>
      <c r="N305" t="s">
        <v>32</v>
      </c>
    </row>
    <row r="306" spans="1:14" x14ac:dyDescent="0.2">
      <c r="A306">
        <v>363436152</v>
      </c>
      <c r="B306" t="s">
        <v>41</v>
      </c>
      <c r="C306" t="s">
        <v>212</v>
      </c>
      <c r="D306" t="s">
        <v>562</v>
      </c>
      <c r="E306" s="8">
        <v>0.27250000000000008</v>
      </c>
      <c r="F306" t="s">
        <v>487</v>
      </c>
      <c r="G306">
        <v>211</v>
      </c>
      <c r="H306" t="s">
        <v>35</v>
      </c>
      <c r="I306" t="s">
        <v>36</v>
      </c>
      <c r="J306" t="s">
        <v>37</v>
      </c>
      <c r="K306" t="s">
        <v>28</v>
      </c>
      <c r="L306">
        <v>2017</v>
      </c>
      <c r="M306" t="s">
        <v>38</v>
      </c>
      <c r="N306" t="s">
        <v>32</v>
      </c>
    </row>
    <row r="307" spans="1:14" x14ac:dyDescent="0.2">
      <c r="A307">
        <v>363436152</v>
      </c>
      <c r="B307" t="s">
        <v>41</v>
      </c>
      <c r="C307" t="s">
        <v>207</v>
      </c>
      <c r="D307" t="s">
        <v>562</v>
      </c>
      <c r="E307" s="8">
        <v>0.44833333333333336</v>
      </c>
      <c r="F307" t="s">
        <v>487</v>
      </c>
      <c r="G307">
        <v>211</v>
      </c>
      <c r="H307" t="s">
        <v>35</v>
      </c>
      <c r="I307" t="s">
        <v>36</v>
      </c>
      <c r="J307" t="s">
        <v>37</v>
      </c>
      <c r="K307" t="s">
        <v>28</v>
      </c>
      <c r="L307">
        <v>2017</v>
      </c>
      <c r="M307" t="s">
        <v>38</v>
      </c>
      <c r="N307" t="s">
        <v>32</v>
      </c>
    </row>
    <row r="308" spans="1:14" x14ac:dyDescent="0.2">
      <c r="A308">
        <v>363436152</v>
      </c>
      <c r="B308" t="s">
        <v>41</v>
      </c>
      <c r="C308" t="s">
        <v>221</v>
      </c>
      <c r="D308" t="s">
        <v>563</v>
      </c>
      <c r="E308" s="8">
        <v>0.44000000000000006</v>
      </c>
      <c r="F308" t="s">
        <v>487</v>
      </c>
      <c r="G308">
        <v>211</v>
      </c>
      <c r="H308" t="s">
        <v>35</v>
      </c>
      <c r="I308" t="s">
        <v>36</v>
      </c>
      <c r="J308" t="s">
        <v>37</v>
      </c>
      <c r="K308" t="s">
        <v>28</v>
      </c>
      <c r="L308">
        <v>2017</v>
      </c>
      <c r="M308" t="s">
        <v>38</v>
      </c>
      <c r="N308" t="s">
        <v>32</v>
      </c>
    </row>
    <row r="309" spans="1:14" x14ac:dyDescent="0.2">
      <c r="A309">
        <v>363436152</v>
      </c>
      <c r="B309" t="s">
        <v>42</v>
      </c>
      <c r="C309" t="s">
        <v>159</v>
      </c>
      <c r="D309" t="s">
        <v>564</v>
      </c>
      <c r="E309" s="8">
        <v>0.46000000000000008</v>
      </c>
      <c r="F309" t="s">
        <v>487</v>
      </c>
      <c r="G309">
        <v>211</v>
      </c>
      <c r="H309" t="s">
        <v>35</v>
      </c>
      <c r="I309" t="s">
        <v>36</v>
      </c>
      <c r="J309" t="s">
        <v>37</v>
      </c>
      <c r="K309" t="s">
        <v>28</v>
      </c>
      <c r="L309">
        <v>2017</v>
      </c>
      <c r="M309" t="s">
        <v>38</v>
      </c>
      <c r="N309" t="s">
        <v>32</v>
      </c>
    </row>
    <row r="310" spans="1:14" x14ac:dyDescent="0.2">
      <c r="A310">
        <v>363436152</v>
      </c>
      <c r="B310" t="s">
        <v>42</v>
      </c>
      <c r="C310" t="s">
        <v>135</v>
      </c>
      <c r="D310" t="s">
        <v>565</v>
      </c>
      <c r="E310" s="8">
        <v>0.21000000000000002</v>
      </c>
      <c r="F310" t="s">
        <v>487</v>
      </c>
      <c r="G310">
        <v>211</v>
      </c>
      <c r="H310" t="s">
        <v>35</v>
      </c>
      <c r="I310" t="s">
        <v>36</v>
      </c>
      <c r="J310" t="s">
        <v>37</v>
      </c>
      <c r="K310" t="s">
        <v>28</v>
      </c>
      <c r="L310">
        <v>2017</v>
      </c>
      <c r="M310" t="s">
        <v>38</v>
      </c>
      <c r="N310" t="s">
        <v>32</v>
      </c>
    </row>
    <row r="311" spans="1:14" x14ac:dyDescent="0.2">
      <c r="A311">
        <v>363436152</v>
      </c>
      <c r="B311" t="s">
        <v>42</v>
      </c>
      <c r="C311" t="s">
        <v>56</v>
      </c>
      <c r="D311" t="s">
        <v>565</v>
      </c>
      <c r="E311" s="8">
        <v>0.21000000000000002</v>
      </c>
      <c r="F311" t="s">
        <v>487</v>
      </c>
      <c r="G311">
        <v>211</v>
      </c>
      <c r="H311" t="s">
        <v>35</v>
      </c>
      <c r="I311" t="s">
        <v>36</v>
      </c>
      <c r="J311" t="s">
        <v>37</v>
      </c>
      <c r="K311" t="s">
        <v>28</v>
      </c>
      <c r="L311">
        <v>2017</v>
      </c>
      <c r="M311" t="s">
        <v>38</v>
      </c>
      <c r="N311" t="s">
        <v>32</v>
      </c>
    </row>
    <row r="312" spans="1:14" x14ac:dyDescent="0.2">
      <c r="A312">
        <v>363436152</v>
      </c>
      <c r="B312" t="s">
        <v>42</v>
      </c>
      <c r="C312" t="s">
        <v>155</v>
      </c>
      <c r="D312" t="s">
        <v>564</v>
      </c>
      <c r="E312" s="8">
        <v>0.46000000000000008</v>
      </c>
      <c r="F312" t="s">
        <v>487</v>
      </c>
      <c r="G312">
        <v>211</v>
      </c>
      <c r="H312" t="s">
        <v>35</v>
      </c>
      <c r="I312" t="s">
        <v>36</v>
      </c>
      <c r="J312" t="s">
        <v>37</v>
      </c>
      <c r="K312" t="s">
        <v>28</v>
      </c>
      <c r="L312">
        <v>2017</v>
      </c>
      <c r="M312" t="s">
        <v>38</v>
      </c>
      <c r="N312" t="s">
        <v>32</v>
      </c>
    </row>
    <row r="313" spans="1:14" x14ac:dyDescent="0.2">
      <c r="A313">
        <v>363436152</v>
      </c>
      <c r="B313" t="s">
        <v>479</v>
      </c>
      <c r="C313" t="s">
        <v>57</v>
      </c>
      <c r="D313" t="s">
        <v>566</v>
      </c>
      <c r="E313" s="8">
        <v>0.41944444444444445</v>
      </c>
      <c r="F313" t="s">
        <v>487</v>
      </c>
      <c r="G313">
        <v>211</v>
      </c>
      <c r="H313" t="s">
        <v>35</v>
      </c>
      <c r="I313" t="s">
        <v>36</v>
      </c>
      <c r="J313" t="s">
        <v>37</v>
      </c>
      <c r="K313" t="s">
        <v>28</v>
      </c>
      <c r="L313">
        <v>2017</v>
      </c>
      <c r="M313" t="s">
        <v>38</v>
      </c>
      <c r="N313" t="s">
        <v>32</v>
      </c>
    </row>
    <row r="314" spans="1:14" x14ac:dyDescent="0.2">
      <c r="A314">
        <v>363436152</v>
      </c>
      <c r="B314" t="s">
        <v>479</v>
      </c>
      <c r="C314" t="s">
        <v>58</v>
      </c>
      <c r="D314" t="s">
        <v>567</v>
      </c>
      <c r="E314" s="8">
        <v>0.46000000000000008</v>
      </c>
      <c r="F314" t="s">
        <v>487</v>
      </c>
      <c r="G314">
        <v>211</v>
      </c>
      <c r="H314" t="s">
        <v>35</v>
      </c>
      <c r="I314" t="s">
        <v>36</v>
      </c>
      <c r="J314" t="s">
        <v>37</v>
      </c>
      <c r="K314" t="s">
        <v>28</v>
      </c>
      <c r="L314">
        <v>2017</v>
      </c>
      <c r="M314" t="s">
        <v>38</v>
      </c>
      <c r="N314" t="s">
        <v>32</v>
      </c>
    </row>
    <row r="315" spans="1:14" x14ac:dyDescent="0.2">
      <c r="A315">
        <v>363436152</v>
      </c>
      <c r="B315" t="s">
        <v>480</v>
      </c>
      <c r="C315" t="s">
        <v>456</v>
      </c>
      <c r="D315" t="s">
        <v>568</v>
      </c>
      <c r="E315" s="8">
        <v>0.29333333333333333</v>
      </c>
      <c r="F315" t="s">
        <v>487</v>
      </c>
      <c r="G315">
        <v>211</v>
      </c>
      <c r="H315" t="s">
        <v>35</v>
      </c>
      <c r="I315" t="s">
        <v>36</v>
      </c>
      <c r="J315" t="s">
        <v>37</v>
      </c>
      <c r="K315" t="s">
        <v>28</v>
      </c>
      <c r="L315">
        <v>2017</v>
      </c>
      <c r="M315" t="s">
        <v>38</v>
      </c>
      <c r="N315" t="s">
        <v>32</v>
      </c>
    </row>
    <row r="316" spans="1:14" x14ac:dyDescent="0.2">
      <c r="A316">
        <v>363436152</v>
      </c>
      <c r="B316" t="s">
        <v>480</v>
      </c>
      <c r="C316" t="s">
        <v>452</v>
      </c>
      <c r="D316" t="s">
        <v>568</v>
      </c>
      <c r="E316" s="8">
        <v>0.29333333333333333</v>
      </c>
      <c r="F316" t="s">
        <v>487</v>
      </c>
      <c r="G316">
        <v>211</v>
      </c>
      <c r="H316" t="s">
        <v>35</v>
      </c>
      <c r="I316" t="s">
        <v>36</v>
      </c>
      <c r="J316" t="s">
        <v>37</v>
      </c>
      <c r="K316" t="s">
        <v>28</v>
      </c>
      <c r="L316">
        <v>2017</v>
      </c>
      <c r="M316" t="s">
        <v>38</v>
      </c>
      <c r="N316" t="s">
        <v>32</v>
      </c>
    </row>
    <row r="317" spans="1:14" x14ac:dyDescent="0.2">
      <c r="A317">
        <v>363436152</v>
      </c>
      <c r="B317" t="s">
        <v>481</v>
      </c>
      <c r="C317" t="s">
        <v>533</v>
      </c>
      <c r="D317" t="s">
        <v>569</v>
      </c>
      <c r="E317" s="8">
        <v>0.46000000000000008</v>
      </c>
      <c r="F317" t="s">
        <v>487</v>
      </c>
      <c r="G317">
        <v>211</v>
      </c>
      <c r="H317" t="s">
        <v>35</v>
      </c>
      <c r="I317" t="s">
        <v>36</v>
      </c>
      <c r="J317" t="s">
        <v>37</v>
      </c>
      <c r="K317" t="s">
        <v>28</v>
      </c>
      <c r="L317">
        <v>2017</v>
      </c>
      <c r="M317" t="s">
        <v>38</v>
      </c>
      <c r="N317" t="s">
        <v>32</v>
      </c>
    </row>
    <row r="318" spans="1:14" x14ac:dyDescent="0.2">
      <c r="A318">
        <v>363436152</v>
      </c>
      <c r="B318" t="s">
        <v>481</v>
      </c>
      <c r="C318" t="s">
        <v>106</v>
      </c>
      <c r="D318" t="s">
        <v>569</v>
      </c>
      <c r="E318" s="8">
        <v>0.46000000000000008</v>
      </c>
      <c r="F318" t="s">
        <v>487</v>
      </c>
      <c r="G318">
        <v>211</v>
      </c>
      <c r="H318" t="s">
        <v>35</v>
      </c>
      <c r="I318" t="s">
        <v>36</v>
      </c>
      <c r="J318" t="s">
        <v>37</v>
      </c>
      <c r="K318" t="s">
        <v>28</v>
      </c>
      <c r="L318">
        <v>2017</v>
      </c>
      <c r="M318" t="s">
        <v>38</v>
      </c>
      <c r="N318" t="s">
        <v>32</v>
      </c>
    </row>
    <row r="319" spans="1:14" x14ac:dyDescent="0.2">
      <c r="A319">
        <v>363436152</v>
      </c>
      <c r="B319" t="s">
        <v>43</v>
      </c>
      <c r="C319" t="s">
        <v>59</v>
      </c>
      <c r="D319" t="s">
        <v>570</v>
      </c>
      <c r="E319" s="8">
        <v>0.36</v>
      </c>
      <c r="F319" t="s">
        <v>487</v>
      </c>
      <c r="G319">
        <v>211</v>
      </c>
      <c r="H319" t="s">
        <v>35</v>
      </c>
      <c r="I319" t="s">
        <v>36</v>
      </c>
      <c r="J319" t="s">
        <v>37</v>
      </c>
      <c r="K319" t="s">
        <v>28</v>
      </c>
      <c r="L319">
        <v>2017</v>
      </c>
      <c r="M319" t="s">
        <v>38</v>
      </c>
      <c r="N319" t="s">
        <v>32</v>
      </c>
    </row>
    <row r="320" spans="1:14" x14ac:dyDescent="0.2">
      <c r="A320">
        <v>363436152</v>
      </c>
      <c r="B320" t="s">
        <v>482</v>
      </c>
      <c r="C320" t="s">
        <v>436</v>
      </c>
      <c r="D320" t="s">
        <v>561</v>
      </c>
      <c r="E320" s="8">
        <v>0.26785714285714285</v>
      </c>
      <c r="F320" t="s">
        <v>487</v>
      </c>
      <c r="G320">
        <v>211</v>
      </c>
      <c r="H320" t="s">
        <v>35</v>
      </c>
      <c r="I320" t="s">
        <v>36</v>
      </c>
      <c r="J320" t="s">
        <v>37</v>
      </c>
      <c r="K320" t="s">
        <v>28</v>
      </c>
      <c r="L320">
        <v>2017</v>
      </c>
      <c r="M320" t="s">
        <v>38</v>
      </c>
      <c r="N320" t="s">
        <v>32</v>
      </c>
    </row>
    <row r="321" spans="1:14" x14ac:dyDescent="0.2">
      <c r="A321">
        <v>363436152</v>
      </c>
      <c r="B321" t="s">
        <v>482</v>
      </c>
      <c r="C321" t="s">
        <v>436</v>
      </c>
      <c r="D321" t="s">
        <v>561</v>
      </c>
      <c r="E321" s="8">
        <v>0.308</v>
      </c>
      <c r="F321" t="s">
        <v>487</v>
      </c>
      <c r="G321">
        <v>211</v>
      </c>
      <c r="H321" t="s">
        <v>35</v>
      </c>
      <c r="I321" t="s">
        <v>36</v>
      </c>
      <c r="J321" t="s">
        <v>37</v>
      </c>
      <c r="K321" t="s">
        <v>28</v>
      </c>
      <c r="L321">
        <v>2017</v>
      </c>
      <c r="M321" t="s">
        <v>38</v>
      </c>
      <c r="N321" t="s">
        <v>32</v>
      </c>
    </row>
    <row r="322" spans="1:14" x14ac:dyDescent="0.2">
      <c r="A322">
        <v>363436152</v>
      </c>
      <c r="B322" t="s">
        <v>483</v>
      </c>
      <c r="C322" t="s">
        <v>197</v>
      </c>
      <c r="D322" t="s">
        <v>556</v>
      </c>
      <c r="E322" s="8">
        <v>0.21000000000000002</v>
      </c>
      <c r="F322" t="s">
        <v>487</v>
      </c>
      <c r="G322">
        <v>211</v>
      </c>
      <c r="H322" t="s">
        <v>35</v>
      </c>
      <c r="I322" t="s">
        <v>36</v>
      </c>
      <c r="J322" t="s">
        <v>37</v>
      </c>
      <c r="K322" t="s">
        <v>28</v>
      </c>
      <c r="L322">
        <v>2017</v>
      </c>
      <c r="M322" t="s">
        <v>38</v>
      </c>
      <c r="N322" t="s">
        <v>32</v>
      </c>
    </row>
    <row r="323" spans="1:14" x14ac:dyDescent="0.2">
      <c r="A323">
        <v>363436152</v>
      </c>
      <c r="B323" t="s">
        <v>483</v>
      </c>
      <c r="C323" t="s">
        <v>196</v>
      </c>
      <c r="D323" t="s">
        <v>557</v>
      </c>
      <c r="E323" s="8">
        <v>0.46000000000000008</v>
      </c>
      <c r="F323" t="s">
        <v>487</v>
      </c>
      <c r="G323">
        <v>211</v>
      </c>
      <c r="H323" t="s">
        <v>35</v>
      </c>
      <c r="I323" t="s">
        <v>36</v>
      </c>
      <c r="J323" t="s">
        <v>37</v>
      </c>
      <c r="K323" t="s">
        <v>28</v>
      </c>
      <c r="L323">
        <v>2017</v>
      </c>
      <c r="M323" t="s">
        <v>38</v>
      </c>
      <c r="N323" t="s">
        <v>32</v>
      </c>
    </row>
    <row r="324" spans="1:14" x14ac:dyDescent="0.2">
      <c r="A324">
        <v>363436152</v>
      </c>
      <c r="B324" t="s">
        <v>483</v>
      </c>
      <c r="C324" t="s">
        <v>197</v>
      </c>
      <c r="D324" t="s">
        <v>556</v>
      </c>
      <c r="E324" s="8">
        <v>0.29333333333333333</v>
      </c>
      <c r="F324" t="s">
        <v>487</v>
      </c>
      <c r="G324">
        <v>211</v>
      </c>
      <c r="H324" t="s">
        <v>35</v>
      </c>
      <c r="I324" t="s">
        <v>36</v>
      </c>
      <c r="J324" t="s">
        <v>37</v>
      </c>
      <c r="K324" t="s">
        <v>28</v>
      </c>
      <c r="L324">
        <v>2017</v>
      </c>
      <c r="M324" t="s">
        <v>38</v>
      </c>
      <c r="N324" t="s">
        <v>32</v>
      </c>
    </row>
    <row r="325" spans="1:14" x14ac:dyDescent="0.2">
      <c r="A325">
        <v>363436152</v>
      </c>
      <c r="B325" t="s">
        <v>483</v>
      </c>
      <c r="C325" t="s">
        <v>196</v>
      </c>
      <c r="D325" t="s">
        <v>557</v>
      </c>
      <c r="E325" s="8">
        <v>0.44800000000000006</v>
      </c>
      <c r="F325" t="s">
        <v>487</v>
      </c>
      <c r="G325">
        <v>211</v>
      </c>
      <c r="H325" t="s">
        <v>35</v>
      </c>
      <c r="I325" t="s">
        <v>36</v>
      </c>
      <c r="J325" t="s">
        <v>37</v>
      </c>
      <c r="K325" t="s">
        <v>28</v>
      </c>
      <c r="L325">
        <v>2017</v>
      </c>
      <c r="M325" t="s">
        <v>38</v>
      </c>
      <c r="N325" t="s">
        <v>32</v>
      </c>
    </row>
    <row r="326" spans="1:14" x14ac:dyDescent="0.2">
      <c r="A326">
        <v>363436152</v>
      </c>
      <c r="B326" t="s">
        <v>483</v>
      </c>
      <c r="C326" t="s">
        <v>197</v>
      </c>
      <c r="D326" t="s">
        <v>556</v>
      </c>
      <c r="E326" s="8">
        <v>0.44000000000000006</v>
      </c>
      <c r="F326" t="s">
        <v>487</v>
      </c>
      <c r="G326">
        <v>211</v>
      </c>
      <c r="H326" t="s">
        <v>35</v>
      </c>
      <c r="I326" t="s">
        <v>36</v>
      </c>
      <c r="J326" t="s">
        <v>37</v>
      </c>
      <c r="K326" t="s">
        <v>28</v>
      </c>
      <c r="L326">
        <v>2017</v>
      </c>
      <c r="M326" t="s">
        <v>38</v>
      </c>
      <c r="N326" t="s">
        <v>32</v>
      </c>
    </row>
    <row r="327" spans="1:14" x14ac:dyDescent="0.2">
      <c r="A327">
        <v>363436152</v>
      </c>
      <c r="B327" t="s">
        <v>484</v>
      </c>
      <c r="C327" t="s">
        <v>497</v>
      </c>
      <c r="D327" t="s">
        <v>558</v>
      </c>
      <c r="E327" s="8">
        <v>0.29333333333333333</v>
      </c>
      <c r="F327" t="s">
        <v>487</v>
      </c>
      <c r="G327">
        <v>211</v>
      </c>
      <c r="H327" t="s">
        <v>35</v>
      </c>
      <c r="I327" t="s">
        <v>36</v>
      </c>
      <c r="J327" t="s">
        <v>37</v>
      </c>
      <c r="K327" t="s">
        <v>28</v>
      </c>
      <c r="L327">
        <v>2017</v>
      </c>
      <c r="M327" t="s">
        <v>38</v>
      </c>
      <c r="N327" t="s">
        <v>32</v>
      </c>
    </row>
    <row r="328" spans="1:14" x14ac:dyDescent="0.2">
      <c r="A328">
        <v>363436152</v>
      </c>
      <c r="B328" t="s">
        <v>484</v>
      </c>
      <c r="C328" t="s">
        <v>500</v>
      </c>
      <c r="D328" t="s">
        <v>558</v>
      </c>
      <c r="E328" s="8">
        <v>0.32</v>
      </c>
      <c r="F328" t="s">
        <v>487</v>
      </c>
      <c r="G328">
        <v>211</v>
      </c>
      <c r="H328" t="s">
        <v>35</v>
      </c>
      <c r="I328" t="s">
        <v>36</v>
      </c>
      <c r="J328" t="s">
        <v>37</v>
      </c>
      <c r="K328" t="s">
        <v>28</v>
      </c>
      <c r="L328">
        <v>2017</v>
      </c>
      <c r="M328" t="s">
        <v>38</v>
      </c>
      <c r="N328" t="s">
        <v>32</v>
      </c>
    </row>
    <row r="329" spans="1:14" x14ac:dyDescent="0.2">
      <c r="A329">
        <v>363436152</v>
      </c>
      <c r="B329" t="s">
        <v>484</v>
      </c>
      <c r="C329" t="s">
        <v>501</v>
      </c>
      <c r="D329" t="s">
        <v>558</v>
      </c>
      <c r="E329" s="8">
        <v>0.29000000000000004</v>
      </c>
      <c r="F329" t="s">
        <v>487</v>
      </c>
      <c r="G329">
        <v>211</v>
      </c>
      <c r="H329" t="s">
        <v>35</v>
      </c>
      <c r="I329" t="s">
        <v>36</v>
      </c>
      <c r="J329" t="s">
        <v>37</v>
      </c>
      <c r="K329" t="s">
        <v>28</v>
      </c>
      <c r="L329">
        <v>2017</v>
      </c>
      <c r="M329" t="s">
        <v>38</v>
      </c>
      <c r="N329" t="s">
        <v>32</v>
      </c>
    </row>
    <row r="330" spans="1:14" x14ac:dyDescent="0.2">
      <c r="A330">
        <v>363436152</v>
      </c>
      <c r="B330" t="s">
        <v>485</v>
      </c>
      <c r="C330" t="s">
        <v>346</v>
      </c>
      <c r="D330" t="s">
        <v>559</v>
      </c>
      <c r="E330" s="8">
        <v>0.46000000000000008</v>
      </c>
      <c r="F330" t="s">
        <v>487</v>
      </c>
      <c r="G330">
        <v>211</v>
      </c>
      <c r="H330" t="s">
        <v>35</v>
      </c>
      <c r="I330" t="s">
        <v>36</v>
      </c>
      <c r="J330" t="s">
        <v>37</v>
      </c>
      <c r="K330" t="s">
        <v>28</v>
      </c>
      <c r="L330">
        <v>2017</v>
      </c>
      <c r="M330" t="s">
        <v>38</v>
      </c>
      <c r="N330" t="s">
        <v>32</v>
      </c>
    </row>
    <row r="331" spans="1:14" x14ac:dyDescent="0.2">
      <c r="A331">
        <v>363436152</v>
      </c>
      <c r="B331" t="s">
        <v>485</v>
      </c>
      <c r="C331" t="s">
        <v>342</v>
      </c>
      <c r="D331" t="s">
        <v>559</v>
      </c>
      <c r="E331" s="8">
        <v>0.44875000000000009</v>
      </c>
      <c r="F331" t="s">
        <v>487</v>
      </c>
      <c r="G331">
        <v>211</v>
      </c>
      <c r="H331" t="s">
        <v>35</v>
      </c>
      <c r="I331" t="s">
        <v>36</v>
      </c>
      <c r="J331" t="s">
        <v>37</v>
      </c>
      <c r="K331" t="s">
        <v>28</v>
      </c>
      <c r="L331">
        <v>2017</v>
      </c>
      <c r="M331" t="s">
        <v>38</v>
      </c>
      <c r="N331" t="s">
        <v>32</v>
      </c>
    </row>
    <row r="332" spans="1:14" x14ac:dyDescent="0.2">
      <c r="A332">
        <v>373048949</v>
      </c>
      <c r="B332" t="s">
        <v>478</v>
      </c>
      <c r="C332" t="s">
        <v>276</v>
      </c>
      <c r="D332" t="s">
        <v>546</v>
      </c>
      <c r="E332" s="8">
        <v>0.76666666666666672</v>
      </c>
      <c r="F332" t="s">
        <v>487</v>
      </c>
      <c r="G332">
        <v>211</v>
      </c>
      <c r="H332" t="s">
        <v>35</v>
      </c>
      <c r="I332" t="s">
        <v>36</v>
      </c>
      <c r="J332" t="s">
        <v>37</v>
      </c>
      <c r="K332" t="s">
        <v>28</v>
      </c>
      <c r="L332">
        <v>2017</v>
      </c>
      <c r="M332" t="s">
        <v>38</v>
      </c>
      <c r="N332" t="s">
        <v>32</v>
      </c>
    </row>
    <row r="333" spans="1:14" x14ac:dyDescent="0.2">
      <c r="A333">
        <v>373048949</v>
      </c>
      <c r="B333" t="s">
        <v>478</v>
      </c>
      <c r="C333" t="s">
        <v>247</v>
      </c>
      <c r="D333" t="s">
        <v>546</v>
      </c>
      <c r="E333" s="8">
        <v>0.65599999999999992</v>
      </c>
      <c r="F333" t="s">
        <v>487</v>
      </c>
      <c r="G333">
        <v>211</v>
      </c>
      <c r="H333" t="s">
        <v>35</v>
      </c>
      <c r="I333" t="s">
        <v>36</v>
      </c>
      <c r="J333" t="s">
        <v>37</v>
      </c>
      <c r="K333" t="s">
        <v>28</v>
      </c>
      <c r="L333">
        <v>2017</v>
      </c>
      <c r="M333" t="s">
        <v>38</v>
      </c>
      <c r="N333" t="s">
        <v>32</v>
      </c>
    </row>
    <row r="334" spans="1:14" x14ac:dyDescent="0.2">
      <c r="A334">
        <v>373048949</v>
      </c>
      <c r="B334" t="s">
        <v>40</v>
      </c>
      <c r="C334" t="s">
        <v>435</v>
      </c>
      <c r="D334" t="s">
        <v>560</v>
      </c>
      <c r="E334" s="8">
        <v>0.8</v>
      </c>
      <c r="F334" t="s">
        <v>487</v>
      </c>
      <c r="G334">
        <v>211</v>
      </c>
      <c r="H334" t="s">
        <v>35</v>
      </c>
      <c r="I334" t="s">
        <v>36</v>
      </c>
      <c r="J334" t="s">
        <v>37</v>
      </c>
      <c r="K334" t="s">
        <v>28</v>
      </c>
      <c r="L334">
        <v>2017</v>
      </c>
      <c r="M334" t="s">
        <v>38</v>
      </c>
      <c r="N334" t="s">
        <v>32</v>
      </c>
    </row>
    <row r="335" spans="1:14" x14ac:dyDescent="0.2">
      <c r="A335">
        <v>373048949</v>
      </c>
      <c r="B335" t="s">
        <v>40</v>
      </c>
      <c r="C335" t="s">
        <v>393</v>
      </c>
      <c r="D335" t="s">
        <v>560</v>
      </c>
      <c r="E335" s="8">
        <v>0.67666666666666664</v>
      </c>
      <c r="F335" t="s">
        <v>487</v>
      </c>
      <c r="G335">
        <v>211</v>
      </c>
      <c r="H335" t="s">
        <v>35</v>
      </c>
      <c r="I335" t="s">
        <v>36</v>
      </c>
      <c r="J335" t="s">
        <v>37</v>
      </c>
      <c r="K335" t="s">
        <v>28</v>
      </c>
      <c r="L335">
        <v>2017</v>
      </c>
      <c r="M335" t="s">
        <v>38</v>
      </c>
      <c r="N335" t="s">
        <v>32</v>
      </c>
    </row>
    <row r="336" spans="1:14" x14ac:dyDescent="0.2">
      <c r="A336">
        <v>373048949</v>
      </c>
      <c r="B336" t="s">
        <v>41</v>
      </c>
      <c r="C336" t="s">
        <v>212</v>
      </c>
      <c r="D336" t="s">
        <v>562</v>
      </c>
      <c r="E336" s="8">
        <v>0.67500000000000004</v>
      </c>
      <c r="F336" t="s">
        <v>487</v>
      </c>
      <c r="G336">
        <v>211</v>
      </c>
      <c r="H336" t="s">
        <v>35</v>
      </c>
      <c r="I336" t="s">
        <v>36</v>
      </c>
      <c r="J336" t="s">
        <v>37</v>
      </c>
      <c r="K336" t="s">
        <v>28</v>
      </c>
      <c r="L336">
        <v>2017</v>
      </c>
      <c r="M336" t="s">
        <v>38</v>
      </c>
      <c r="N336" t="s">
        <v>32</v>
      </c>
    </row>
    <row r="337" spans="1:14" x14ac:dyDescent="0.2">
      <c r="A337">
        <v>373048949</v>
      </c>
      <c r="B337" t="s">
        <v>41</v>
      </c>
      <c r="C337" t="s">
        <v>207</v>
      </c>
      <c r="D337" t="s">
        <v>562</v>
      </c>
      <c r="E337" s="8">
        <v>0.57166666666666666</v>
      </c>
      <c r="F337" t="s">
        <v>487</v>
      </c>
      <c r="G337">
        <v>211</v>
      </c>
      <c r="H337" t="s">
        <v>35</v>
      </c>
      <c r="I337" t="s">
        <v>36</v>
      </c>
      <c r="J337" t="s">
        <v>37</v>
      </c>
      <c r="K337" t="s">
        <v>28</v>
      </c>
      <c r="L337">
        <v>2017</v>
      </c>
      <c r="M337" t="s">
        <v>38</v>
      </c>
      <c r="N337" t="s">
        <v>32</v>
      </c>
    </row>
    <row r="338" spans="1:14" x14ac:dyDescent="0.2">
      <c r="A338">
        <v>373048949</v>
      </c>
      <c r="B338" t="s">
        <v>41</v>
      </c>
      <c r="C338" t="s">
        <v>221</v>
      </c>
      <c r="D338" t="s">
        <v>563</v>
      </c>
      <c r="E338" s="8">
        <v>0.33333333333333331</v>
      </c>
      <c r="F338" t="s">
        <v>487</v>
      </c>
      <c r="G338">
        <v>211</v>
      </c>
      <c r="H338" t="s">
        <v>35</v>
      </c>
      <c r="I338" t="s">
        <v>36</v>
      </c>
      <c r="J338" t="s">
        <v>37</v>
      </c>
      <c r="K338" t="s">
        <v>28</v>
      </c>
      <c r="L338">
        <v>2017</v>
      </c>
      <c r="M338" t="s">
        <v>38</v>
      </c>
      <c r="N338" t="s">
        <v>32</v>
      </c>
    </row>
    <row r="339" spans="1:14" x14ac:dyDescent="0.2">
      <c r="A339">
        <v>373048949</v>
      </c>
      <c r="B339" t="s">
        <v>42</v>
      </c>
      <c r="C339" t="s">
        <v>159</v>
      </c>
      <c r="D339" t="s">
        <v>564</v>
      </c>
      <c r="E339" s="8">
        <v>0.3</v>
      </c>
      <c r="F339" t="s">
        <v>487</v>
      </c>
      <c r="G339">
        <v>211</v>
      </c>
      <c r="H339" t="s">
        <v>35</v>
      </c>
      <c r="I339" t="s">
        <v>36</v>
      </c>
      <c r="J339" t="s">
        <v>37</v>
      </c>
      <c r="K339" t="s">
        <v>28</v>
      </c>
      <c r="L339">
        <v>2017</v>
      </c>
      <c r="M339" t="s">
        <v>38</v>
      </c>
      <c r="N339" t="s">
        <v>32</v>
      </c>
    </row>
    <row r="340" spans="1:14" x14ac:dyDescent="0.2">
      <c r="A340">
        <v>373048949</v>
      </c>
      <c r="B340" t="s">
        <v>42</v>
      </c>
      <c r="C340" t="s">
        <v>135</v>
      </c>
      <c r="D340" t="s">
        <v>565</v>
      </c>
      <c r="E340" s="8">
        <v>0.8</v>
      </c>
      <c r="F340" t="s">
        <v>487</v>
      </c>
      <c r="G340">
        <v>211</v>
      </c>
      <c r="H340" t="s">
        <v>35</v>
      </c>
      <c r="I340" t="s">
        <v>36</v>
      </c>
      <c r="J340" t="s">
        <v>37</v>
      </c>
      <c r="K340" t="s">
        <v>28</v>
      </c>
      <c r="L340">
        <v>2017</v>
      </c>
      <c r="M340" t="s">
        <v>38</v>
      </c>
      <c r="N340" t="s">
        <v>32</v>
      </c>
    </row>
    <row r="341" spans="1:14" x14ac:dyDescent="0.2">
      <c r="A341">
        <v>373048949</v>
      </c>
      <c r="B341" t="s">
        <v>42</v>
      </c>
      <c r="C341" t="s">
        <v>56</v>
      </c>
      <c r="D341" t="s">
        <v>565</v>
      </c>
      <c r="E341" s="8">
        <v>0.8</v>
      </c>
      <c r="F341" t="s">
        <v>487</v>
      </c>
      <c r="G341">
        <v>211</v>
      </c>
      <c r="H341" t="s">
        <v>35</v>
      </c>
      <c r="I341" t="s">
        <v>36</v>
      </c>
      <c r="J341" t="s">
        <v>37</v>
      </c>
      <c r="K341" t="s">
        <v>28</v>
      </c>
      <c r="L341">
        <v>2017</v>
      </c>
      <c r="M341" t="s">
        <v>38</v>
      </c>
      <c r="N341" t="s">
        <v>32</v>
      </c>
    </row>
    <row r="342" spans="1:14" x14ac:dyDescent="0.2">
      <c r="A342">
        <v>373048949</v>
      </c>
      <c r="B342" t="s">
        <v>42</v>
      </c>
      <c r="C342" t="s">
        <v>155</v>
      </c>
      <c r="D342" t="s">
        <v>564</v>
      </c>
      <c r="E342" s="8">
        <v>0.3</v>
      </c>
      <c r="F342" t="s">
        <v>487</v>
      </c>
      <c r="G342">
        <v>211</v>
      </c>
      <c r="H342" t="s">
        <v>35</v>
      </c>
      <c r="I342" t="s">
        <v>36</v>
      </c>
      <c r="J342" t="s">
        <v>37</v>
      </c>
      <c r="K342" t="s">
        <v>28</v>
      </c>
      <c r="L342">
        <v>2017</v>
      </c>
      <c r="M342" t="s">
        <v>38</v>
      </c>
      <c r="N342" t="s">
        <v>32</v>
      </c>
    </row>
    <row r="343" spans="1:14" x14ac:dyDescent="0.2">
      <c r="A343">
        <v>373048949</v>
      </c>
      <c r="B343" t="s">
        <v>479</v>
      </c>
      <c r="C343" t="s">
        <v>57</v>
      </c>
      <c r="D343" t="s">
        <v>566</v>
      </c>
      <c r="E343" s="8">
        <v>0.59777777777777774</v>
      </c>
      <c r="F343" t="s">
        <v>487</v>
      </c>
      <c r="G343">
        <v>211</v>
      </c>
      <c r="H343" t="s">
        <v>35</v>
      </c>
      <c r="I343" t="s">
        <v>36</v>
      </c>
      <c r="J343" t="s">
        <v>37</v>
      </c>
      <c r="K343" t="s">
        <v>28</v>
      </c>
      <c r="L343">
        <v>2017</v>
      </c>
      <c r="M343" t="s">
        <v>38</v>
      </c>
      <c r="N343" t="s">
        <v>32</v>
      </c>
    </row>
    <row r="344" spans="1:14" x14ac:dyDescent="0.2">
      <c r="A344">
        <v>373048949</v>
      </c>
      <c r="B344" t="s">
        <v>479</v>
      </c>
      <c r="C344" t="s">
        <v>58</v>
      </c>
      <c r="D344" t="s">
        <v>567</v>
      </c>
      <c r="E344" s="8">
        <v>0.3</v>
      </c>
      <c r="F344" t="s">
        <v>487</v>
      </c>
      <c r="G344">
        <v>211</v>
      </c>
      <c r="H344" t="s">
        <v>35</v>
      </c>
      <c r="I344" t="s">
        <v>36</v>
      </c>
      <c r="J344" t="s">
        <v>37</v>
      </c>
      <c r="K344" t="s">
        <v>28</v>
      </c>
      <c r="L344">
        <v>2017</v>
      </c>
      <c r="M344" t="s">
        <v>38</v>
      </c>
      <c r="N344" t="s">
        <v>32</v>
      </c>
    </row>
    <row r="345" spans="1:14" x14ac:dyDescent="0.2">
      <c r="A345">
        <v>373048949</v>
      </c>
      <c r="B345" t="s">
        <v>480</v>
      </c>
      <c r="C345" t="s">
        <v>456</v>
      </c>
      <c r="D345" t="s">
        <v>568</v>
      </c>
      <c r="E345" s="8">
        <v>0.6333333333333333</v>
      </c>
      <c r="F345" t="s">
        <v>487</v>
      </c>
      <c r="G345">
        <v>211</v>
      </c>
      <c r="H345" t="s">
        <v>35</v>
      </c>
      <c r="I345" t="s">
        <v>36</v>
      </c>
      <c r="J345" t="s">
        <v>37</v>
      </c>
      <c r="K345" t="s">
        <v>28</v>
      </c>
      <c r="L345">
        <v>2017</v>
      </c>
      <c r="M345" t="s">
        <v>38</v>
      </c>
      <c r="N345" t="s">
        <v>32</v>
      </c>
    </row>
    <row r="346" spans="1:14" x14ac:dyDescent="0.2">
      <c r="A346">
        <v>373048949</v>
      </c>
      <c r="B346" t="s">
        <v>480</v>
      </c>
      <c r="C346" t="s">
        <v>452</v>
      </c>
      <c r="D346" t="s">
        <v>568</v>
      </c>
      <c r="E346" s="8">
        <v>0.6333333333333333</v>
      </c>
      <c r="F346" t="s">
        <v>487</v>
      </c>
      <c r="G346">
        <v>211</v>
      </c>
      <c r="H346" t="s">
        <v>35</v>
      </c>
      <c r="I346" t="s">
        <v>36</v>
      </c>
      <c r="J346" t="s">
        <v>37</v>
      </c>
      <c r="K346" t="s">
        <v>28</v>
      </c>
      <c r="L346">
        <v>2017</v>
      </c>
      <c r="M346" t="s">
        <v>38</v>
      </c>
      <c r="N346" t="s">
        <v>32</v>
      </c>
    </row>
    <row r="347" spans="1:14" x14ac:dyDescent="0.2">
      <c r="A347">
        <v>373048949</v>
      </c>
      <c r="B347" t="s">
        <v>481</v>
      </c>
      <c r="C347" t="s">
        <v>533</v>
      </c>
      <c r="D347" t="s">
        <v>569</v>
      </c>
      <c r="E347" s="8">
        <v>0.3</v>
      </c>
      <c r="F347" t="s">
        <v>487</v>
      </c>
      <c r="G347">
        <v>211</v>
      </c>
      <c r="H347" t="s">
        <v>35</v>
      </c>
      <c r="I347" t="s">
        <v>36</v>
      </c>
      <c r="J347" t="s">
        <v>37</v>
      </c>
      <c r="K347" t="s">
        <v>28</v>
      </c>
      <c r="L347">
        <v>2017</v>
      </c>
      <c r="M347" t="s">
        <v>38</v>
      </c>
      <c r="N347" t="s">
        <v>32</v>
      </c>
    </row>
    <row r="348" spans="1:14" x14ac:dyDescent="0.2">
      <c r="A348">
        <v>373048949</v>
      </c>
      <c r="B348" t="s">
        <v>481</v>
      </c>
      <c r="C348" t="s">
        <v>106</v>
      </c>
      <c r="D348" t="s">
        <v>569</v>
      </c>
      <c r="E348" s="8">
        <v>0.3</v>
      </c>
      <c r="F348" t="s">
        <v>487</v>
      </c>
      <c r="G348">
        <v>211</v>
      </c>
      <c r="H348" t="s">
        <v>35</v>
      </c>
      <c r="I348" t="s">
        <v>36</v>
      </c>
      <c r="J348" t="s">
        <v>37</v>
      </c>
      <c r="K348" t="s">
        <v>28</v>
      </c>
      <c r="L348">
        <v>2017</v>
      </c>
      <c r="M348" t="s">
        <v>38</v>
      </c>
      <c r="N348" t="s">
        <v>32</v>
      </c>
    </row>
    <row r="349" spans="1:14" x14ac:dyDescent="0.2">
      <c r="A349">
        <v>373048949</v>
      </c>
      <c r="B349" t="s">
        <v>43</v>
      </c>
      <c r="C349" t="s">
        <v>59</v>
      </c>
      <c r="D349" t="s">
        <v>570</v>
      </c>
      <c r="E349" s="8">
        <v>0.5</v>
      </c>
      <c r="F349" t="s">
        <v>487</v>
      </c>
      <c r="G349">
        <v>211</v>
      </c>
      <c r="H349" t="s">
        <v>35</v>
      </c>
      <c r="I349" t="s">
        <v>36</v>
      </c>
      <c r="J349" t="s">
        <v>37</v>
      </c>
      <c r="K349" t="s">
        <v>28</v>
      </c>
      <c r="L349">
        <v>2017</v>
      </c>
      <c r="M349" t="s">
        <v>38</v>
      </c>
      <c r="N349" t="s">
        <v>32</v>
      </c>
    </row>
    <row r="350" spans="1:14" x14ac:dyDescent="0.2">
      <c r="A350">
        <v>373048949</v>
      </c>
      <c r="B350" t="s">
        <v>482</v>
      </c>
      <c r="C350" t="s">
        <v>436</v>
      </c>
      <c r="D350" t="s">
        <v>561</v>
      </c>
      <c r="E350" s="8">
        <v>0.69</v>
      </c>
      <c r="F350" t="s">
        <v>487</v>
      </c>
      <c r="G350">
        <v>211</v>
      </c>
      <c r="H350" t="s">
        <v>35</v>
      </c>
      <c r="I350" t="s">
        <v>36</v>
      </c>
      <c r="J350" t="s">
        <v>37</v>
      </c>
      <c r="K350" t="s">
        <v>28</v>
      </c>
      <c r="L350">
        <v>2017</v>
      </c>
      <c r="M350" t="s">
        <v>38</v>
      </c>
      <c r="N350" t="s">
        <v>32</v>
      </c>
    </row>
    <row r="351" spans="1:14" x14ac:dyDescent="0.2">
      <c r="A351">
        <v>373048949</v>
      </c>
      <c r="B351" t="s">
        <v>482</v>
      </c>
      <c r="C351" t="s">
        <v>436</v>
      </c>
      <c r="D351" t="s">
        <v>561</v>
      </c>
      <c r="E351" s="8">
        <v>0.84</v>
      </c>
      <c r="F351" t="s">
        <v>487</v>
      </c>
      <c r="G351">
        <v>211</v>
      </c>
      <c r="H351" t="s">
        <v>35</v>
      </c>
      <c r="I351" t="s">
        <v>36</v>
      </c>
      <c r="J351" t="s">
        <v>37</v>
      </c>
      <c r="K351" t="s">
        <v>28</v>
      </c>
      <c r="L351">
        <v>2017</v>
      </c>
      <c r="M351" t="s">
        <v>38</v>
      </c>
      <c r="N351" t="s">
        <v>32</v>
      </c>
    </row>
    <row r="352" spans="1:14" x14ac:dyDescent="0.2">
      <c r="A352">
        <v>373048949</v>
      </c>
      <c r="B352" t="s">
        <v>483</v>
      </c>
      <c r="C352" t="s">
        <v>197</v>
      </c>
      <c r="D352" t="s">
        <v>556</v>
      </c>
      <c r="E352" s="8">
        <v>0.8</v>
      </c>
      <c r="F352" t="s">
        <v>487</v>
      </c>
      <c r="G352">
        <v>211</v>
      </c>
      <c r="H352" t="s">
        <v>35</v>
      </c>
      <c r="I352" t="s">
        <v>36</v>
      </c>
      <c r="J352" t="s">
        <v>37</v>
      </c>
      <c r="K352" t="s">
        <v>28</v>
      </c>
      <c r="L352">
        <v>2017</v>
      </c>
      <c r="M352" t="s">
        <v>38</v>
      </c>
      <c r="N352" t="s">
        <v>32</v>
      </c>
    </row>
    <row r="353" spans="1:14" x14ac:dyDescent="0.2">
      <c r="A353">
        <v>373048949</v>
      </c>
      <c r="B353" t="s">
        <v>483</v>
      </c>
      <c r="C353" t="s">
        <v>196</v>
      </c>
      <c r="D353" t="s">
        <v>557</v>
      </c>
      <c r="E353" s="8">
        <v>0.3</v>
      </c>
      <c r="F353" t="s">
        <v>487</v>
      </c>
      <c r="G353">
        <v>211</v>
      </c>
      <c r="H353" t="s">
        <v>35</v>
      </c>
      <c r="I353" t="s">
        <v>36</v>
      </c>
      <c r="J353" t="s">
        <v>37</v>
      </c>
      <c r="K353" t="s">
        <v>28</v>
      </c>
      <c r="L353">
        <v>2017</v>
      </c>
      <c r="M353" t="s">
        <v>38</v>
      </c>
      <c r="N353" t="s">
        <v>32</v>
      </c>
    </row>
    <row r="354" spans="1:14" x14ac:dyDescent="0.2">
      <c r="A354">
        <v>373048949</v>
      </c>
      <c r="B354" t="s">
        <v>483</v>
      </c>
      <c r="C354" t="s">
        <v>197</v>
      </c>
      <c r="D354" t="s">
        <v>556</v>
      </c>
      <c r="E354" s="8">
        <v>0.6333333333333333</v>
      </c>
      <c r="F354" t="s">
        <v>487</v>
      </c>
      <c r="G354">
        <v>211</v>
      </c>
      <c r="H354" t="s">
        <v>35</v>
      </c>
      <c r="I354" t="s">
        <v>36</v>
      </c>
      <c r="J354" t="s">
        <v>37</v>
      </c>
      <c r="K354" t="s">
        <v>28</v>
      </c>
      <c r="L354">
        <v>2017</v>
      </c>
      <c r="M354" t="s">
        <v>38</v>
      </c>
      <c r="N354" t="s">
        <v>32</v>
      </c>
    </row>
    <row r="355" spans="1:14" x14ac:dyDescent="0.2">
      <c r="A355">
        <v>373048949</v>
      </c>
      <c r="B355" t="s">
        <v>483</v>
      </c>
      <c r="C355" t="s">
        <v>196</v>
      </c>
      <c r="D355" t="s">
        <v>557</v>
      </c>
      <c r="E355" s="8">
        <v>0.32</v>
      </c>
      <c r="F355" t="s">
        <v>487</v>
      </c>
      <c r="G355">
        <v>211</v>
      </c>
      <c r="H355" t="s">
        <v>35</v>
      </c>
      <c r="I355" t="s">
        <v>36</v>
      </c>
      <c r="J355" t="s">
        <v>37</v>
      </c>
      <c r="K355" t="s">
        <v>28</v>
      </c>
      <c r="L355">
        <v>2017</v>
      </c>
      <c r="M355" t="s">
        <v>38</v>
      </c>
      <c r="N355" t="s">
        <v>32</v>
      </c>
    </row>
    <row r="356" spans="1:14" x14ac:dyDescent="0.2">
      <c r="A356">
        <v>373048949</v>
      </c>
      <c r="B356" t="s">
        <v>483</v>
      </c>
      <c r="C356" t="s">
        <v>197</v>
      </c>
      <c r="D356" t="s">
        <v>556</v>
      </c>
      <c r="E356" s="8">
        <v>0.33333333333333331</v>
      </c>
      <c r="F356" t="s">
        <v>487</v>
      </c>
      <c r="G356">
        <v>211</v>
      </c>
      <c r="H356" t="s">
        <v>35</v>
      </c>
      <c r="I356" t="s">
        <v>36</v>
      </c>
      <c r="J356" t="s">
        <v>37</v>
      </c>
      <c r="K356" t="s">
        <v>28</v>
      </c>
      <c r="L356">
        <v>2017</v>
      </c>
      <c r="M356" t="s">
        <v>38</v>
      </c>
      <c r="N356" t="s">
        <v>32</v>
      </c>
    </row>
    <row r="357" spans="1:14" x14ac:dyDescent="0.2">
      <c r="A357">
        <v>373048949</v>
      </c>
      <c r="B357" t="s">
        <v>484</v>
      </c>
      <c r="C357" t="s">
        <v>497</v>
      </c>
      <c r="D357" t="s">
        <v>558</v>
      </c>
      <c r="E357" s="8">
        <v>0.6333333333333333</v>
      </c>
      <c r="F357" t="s">
        <v>487</v>
      </c>
      <c r="G357">
        <v>211</v>
      </c>
      <c r="H357" t="s">
        <v>35</v>
      </c>
      <c r="I357" t="s">
        <v>36</v>
      </c>
      <c r="J357" t="s">
        <v>37</v>
      </c>
      <c r="K357" t="s">
        <v>28</v>
      </c>
      <c r="L357">
        <v>2017</v>
      </c>
      <c r="M357" t="s">
        <v>38</v>
      </c>
      <c r="N357" t="s">
        <v>32</v>
      </c>
    </row>
    <row r="358" spans="1:14" x14ac:dyDescent="0.2">
      <c r="A358">
        <v>373048949</v>
      </c>
      <c r="B358" t="s">
        <v>484</v>
      </c>
      <c r="C358" t="s">
        <v>500</v>
      </c>
      <c r="D358" t="s">
        <v>558</v>
      </c>
      <c r="E358" s="8">
        <v>0.65749999999999997</v>
      </c>
      <c r="F358" t="s">
        <v>487</v>
      </c>
      <c r="G358">
        <v>211</v>
      </c>
      <c r="H358" t="s">
        <v>35</v>
      </c>
      <c r="I358" t="s">
        <v>36</v>
      </c>
      <c r="J358" t="s">
        <v>37</v>
      </c>
      <c r="K358" t="s">
        <v>28</v>
      </c>
      <c r="L358">
        <v>2017</v>
      </c>
      <c r="M358" t="s">
        <v>38</v>
      </c>
      <c r="N358" t="s">
        <v>32</v>
      </c>
    </row>
    <row r="359" spans="1:14" x14ac:dyDescent="0.2">
      <c r="A359">
        <v>373048949</v>
      </c>
      <c r="B359" t="s">
        <v>484</v>
      </c>
      <c r="C359" t="s">
        <v>501</v>
      </c>
      <c r="D359" t="s">
        <v>558</v>
      </c>
      <c r="E359" s="8">
        <v>0.58499999999999996</v>
      </c>
      <c r="F359" t="s">
        <v>487</v>
      </c>
      <c r="G359">
        <v>211</v>
      </c>
      <c r="H359" t="s">
        <v>35</v>
      </c>
      <c r="I359" t="s">
        <v>36</v>
      </c>
      <c r="J359" t="s">
        <v>37</v>
      </c>
      <c r="K359" t="s">
        <v>28</v>
      </c>
      <c r="L359">
        <v>2017</v>
      </c>
      <c r="M359" t="s">
        <v>38</v>
      </c>
      <c r="N359" t="s">
        <v>32</v>
      </c>
    </row>
    <row r="360" spans="1:14" x14ac:dyDescent="0.2">
      <c r="A360">
        <v>373048949</v>
      </c>
      <c r="B360" t="s">
        <v>485</v>
      </c>
      <c r="C360" t="s">
        <v>346</v>
      </c>
      <c r="D360" t="s">
        <v>559</v>
      </c>
      <c r="E360" s="8">
        <v>0.3</v>
      </c>
      <c r="F360" t="s">
        <v>487</v>
      </c>
      <c r="G360">
        <v>211</v>
      </c>
      <c r="H360" t="s">
        <v>35</v>
      </c>
      <c r="I360" t="s">
        <v>36</v>
      </c>
      <c r="J360" t="s">
        <v>37</v>
      </c>
      <c r="K360" t="s">
        <v>28</v>
      </c>
      <c r="L360">
        <v>2017</v>
      </c>
      <c r="M360" t="s">
        <v>38</v>
      </c>
      <c r="N360" t="s">
        <v>32</v>
      </c>
    </row>
    <row r="361" spans="1:14" x14ac:dyDescent="0.2">
      <c r="A361">
        <v>373048949</v>
      </c>
      <c r="B361" t="s">
        <v>485</v>
      </c>
      <c r="C361" t="s">
        <v>342</v>
      </c>
      <c r="D361" t="s">
        <v>559</v>
      </c>
      <c r="E361" s="8">
        <v>0.4375</v>
      </c>
      <c r="F361" t="s">
        <v>487</v>
      </c>
      <c r="G361">
        <v>211</v>
      </c>
      <c r="H361" t="s">
        <v>35</v>
      </c>
      <c r="I361" t="s">
        <v>36</v>
      </c>
      <c r="J361" t="s">
        <v>37</v>
      </c>
      <c r="K361" t="s">
        <v>28</v>
      </c>
      <c r="L361">
        <v>2017</v>
      </c>
      <c r="M361" t="s">
        <v>38</v>
      </c>
      <c r="N361" t="s">
        <v>32</v>
      </c>
    </row>
    <row r="362" spans="1:14" x14ac:dyDescent="0.2">
      <c r="A362">
        <v>393495083</v>
      </c>
      <c r="B362" t="s">
        <v>478</v>
      </c>
      <c r="C362" t="s">
        <v>276</v>
      </c>
      <c r="D362" t="s">
        <v>546</v>
      </c>
      <c r="E362" s="8">
        <v>0.74</v>
      </c>
      <c r="F362" t="s">
        <v>487</v>
      </c>
      <c r="G362">
        <v>211</v>
      </c>
      <c r="H362" t="s">
        <v>35</v>
      </c>
      <c r="I362" t="s">
        <v>36</v>
      </c>
      <c r="J362" t="s">
        <v>37</v>
      </c>
      <c r="K362" t="s">
        <v>28</v>
      </c>
      <c r="L362">
        <v>2017</v>
      </c>
      <c r="M362" t="s">
        <v>38</v>
      </c>
      <c r="N362" t="s">
        <v>32</v>
      </c>
    </row>
    <row r="363" spans="1:14" x14ac:dyDescent="0.2">
      <c r="A363">
        <v>393495083</v>
      </c>
      <c r="B363" t="s">
        <v>478</v>
      </c>
      <c r="C363" t="s">
        <v>247</v>
      </c>
      <c r="D363" t="s">
        <v>546</v>
      </c>
      <c r="E363" s="8">
        <v>0.72400000000000009</v>
      </c>
      <c r="F363" t="s">
        <v>487</v>
      </c>
      <c r="G363">
        <v>211</v>
      </c>
      <c r="H363" t="s">
        <v>35</v>
      </c>
      <c r="I363" t="s">
        <v>36</v>
      </c>
      <c r="J363" t="s">
        <v>37</v>
      </c>
      <c r="K363" t="s">
        <v>28</v>
      </c>
      <c r="L363">
        <v>2017</v>
      </c>
      <c r="M363" t="s">
        <v>38</v>
      </c>
      <c r="N363" t="s">
        <v>32</v>
      </c>
    </row>
    <row r="364" spans="1:14" x14ac:dyDescent="0.2">
      <c r="A364">
        <v>393495083</v>
      </c>
      <c r="B364" t="s">
        <v>40</v>
      </c>
      <c r="C364" t="s">
        <v>435</v>
      </c>
      <c r="D364" t="s">
        <v>560</v>
      </c>
      <c r="E364" s="8">
        <v>0.90999999999999992</v>
      </c>
      <c r="F364" t="s">
        <v>487</v>
      </c>
      <c r="G364">
        <v>211</v>
      </c>
      <c r="H364" t="s">
        <v>35</v>
      </c>
      <c r="I364" t="s">
        <v>36</v>
      </c>
      <c r="J364" t="s">
        <v>37</v>
      </c>
      <c r="K364" t="s">
        <v>28</v>
      </c>
      <c r="L364">
        <v>2017</v>
      </c>
      <c r="M364" t="s">
        <v>38</v>
      </c>
      <c r="N364" t="s">
        <v>32</v>
      </c>
    </row>
    <row r="365" spans="1:14" x14ac:dyDescent="0.2">
      <c r="A365">
        <v>393495083</v>
      </c>
      <c r="B365" t="s">
        <v>40</v>
      </c>
      <c r="C365" t="s">
        <v>393</v>
      </c>
      <c r="D365" t="s">
        <v>560</v>
      </c>
      <c r="E365" s="8">
        <v>0.6166666666666667</v>
      </c>
      <c r="F365" t="s">
        <v>487</v>
      </c>
      <c r="G365">
        <v>211</v>
      </c>
      <c r="H365" t="s">
        <v>35</v>
      </c>
      <c r="I365" t="s">
        <v>36</v>
      </c>
      <c r="J365" t="s">
        <v>37</v>
      </c>
      <c r="K365" t="s">
        <v>28</v>
      </c>
      <c r="L365">
        <v>2017</v>
      </c>
      <c r="M365" t="s">
        <v>38</v>
      </c>
      <c r="N365" t="s">
        <v>32</v>
      </c>
    </row>
    <row r="366" spans="1:14" x14ac:dyDescent="0.2">
      <c r="A366">
        <v>393495083</v>
      </c>
      <c r="B366" t="s">
        <v>41</v>
      </c>
      <c r="C366" t="s">
        <v>212</v>
      </c>
      <c r="D366" t="s">
        <v>562</v>
      </c>
      <c r="E366" s="8">
        <v>0.72750000000000004</v>
      </c>
      <c r="F366" t="s">
        <v>487</v>
      </c>
      <c r="G366">
        <v>211</v>
      </c>
      <c r="H366" t="s">
        <v>35</v>
      </c>
      <c r="I366" t="s">
        <v>36</v>
      </c>
      <c r="J366" t="s">
        <v>37</v>
      </c>
      <c r="K366" t="s">
        <v>28</v>
      </c>
      <c r="L366">
        <v>2017</v>
      </c>
      <c r="M366" t="s">
        <v>38</v>
      </c>
      <c r="N366" t="s">
        <v>32</v>
      </c>
    </row>
    <row r="367" spans="1:14" x14ac:dyDescent="0.2">
      <c r="A367">
        <v>393495083</v>
      </c>
      <c r="B367" t="s">
        <v>41</v>
      </c>
      <c r="C367" t="s">
        <v>207</v>
      </c>
      <c r="D367" t="s">
        <v>562</v>
      </c>
      <c r="E367" s="8">
        <v>0.52</v>
      </c>
      <c r="F367" t="s">
        <v>487</v>
      </c>
      <c r="G367">
        <v>211</v>
      </c>
      <c r="H367" t="s">
        <v>35</v>
      </c>
      <c r="I367" t="s">
        <v>36</v>
      </c>
      <c r="J367" t="s">
        <v>37</v>
      </c>
      <c r="K367" t="s">
        <v>28</v>
      </c>
      <c r="L367">
        <v>2017</v>
      </c>
      <c r="M367" t="s">
        <v>38</v>
      </c>
      <c r="N367" t="s">
        <v>32</v>
      </c>
    </row>
    <row r="368" spans="1:14" x14ac:dyDescent="0.2">
      <c r="A368">
        <v>393495083</v>
      </c>
      <c r="B368" t="s">
        <v>41</v>
      </c>
      <c r="C368" t="s">
        <v>221</v>
      </c>
      <c r="D368" t="s">
        <v>563</v>
      </c>
      <c r="E368" s="8">
        <v>0.18666666666666665</v>
      </c>
      <c r="F368" t="s">
        <v>487</v>
      </c>
      <c r="G368">
        <v>211</v>
      </c>
      <c r="H368" t="s">
        <v>35</v>
      </c>
      <c r="I368" t="s">
        <v>36</v>
      </c>
      <c r="J368" t="s">
        <v>37</v>
      </c>
      <c r="K368" t="s">
        <v>28</v>
      </c>
      <c r="L368">
        <v>2017</v>
      </c>
      <c r="M368" t="s">
        <v>38</v>
      </c>
      <c r="N368" t="s">
        <v>32</v>
      </c>
    </row>
    <row r="369" spans="1:14" x14ac:dyDescent="0.2">
      <c r="A369">
        <v>393495083</v>
      </c>
      <c r="B369" t="s">
        <v>42</v>
      </c>
      <c r="C369" t="s">
        <v>159</v>
      </c>
      <c r="D369" t="s">
        <v>564</v>
      </c>
      <c r="E369" s="8">
        <v>0.18</v>
      </c>
      <c r="F369" t="s">
        <v>487</v>
      </c>
      <c r="G369">
        <v>211</v>
      </c>
      <c r="H369" t="s">
        <v>35</v>
      </c>
      <c r="I369" t="s">
        <v>36</v>
      </c>
      <c r="J369" t="s">
        <v>37</v>
      </c>
      <c r="K369" t="s">
        <v>28</v>
      </c>
      <c r="L369">
        <v>2017</v>
      </c>
      <c r="M369" t="s">
        <v>38</v>
      </c>
      <c r="N369" t="s">
        <v>32</v>
      </c>
    </row>
    <row r="370" spans="1:14" x14ac:dyDescent="0.2">
      <c r="A370">
        <v>393495083</v>
      </c>
      <c r="B370" t="s">
        <v>42</v>
      </c>
      <c r="C370" t="s">
        <v>135</v>
      </c>
      <c r="D370" t="s">
        <v>565</v>
      </c>
      <c r="E370" s="8">
        <v>0.90999999999999992</v>
      </c>
      <c r="F370" t="s">
        <v>487</v>
      </c>
      <c r="G370">
        <v>211</v>
      </c>
      <c r="H370" t="s">
        <v>35</v>
      </c>
      <c r="I370" t="s">
        <v>36</v>
      </c>
      <c r="J370" t="s">
        <v>37</v>
      </c>
      <c r="K370" t="s">
        <v>28</v>
      </c>
      <c r="L370">
        <v>2017</v>
      </c>
      <c r="M370" t="s">
        <v>38</v>
      </c>
      <c r="N370" t="s">
        <v>32</v>
      </c>
    </row>
    <row r="371" spans="1:14" x14ac:dyDescent="0.2">
      <c r="A371">
        <v>393495083</v>
      </c>
      <c r="B371" t="s">
        <v>42</v>
      </c>
      <c r="C371" t="s">
        <v>56</v>
      </c>
      <c r="D371" t="s">
        <v>565</v>
      </c>
      <c r="E371" s="8">
        <v>0.90999999999999992</v>
      </c>
      <c r="F371" t="s">
        <v>487</v>
      </c>
      <c r="G371">
        <v>211</v>
      </c>
      <c r="H371" t="s">
        <v>35</v>
      </c>
      <c r="I371" t="s">
        <v>36</v>
      </c>
      <c r="J371" t="s">
        <v>37</v>
      </c>
      <c r="K371" t="s">
        <v>28</v>
      </c>
      <c r="L371">
        <v>2017</v>
      </c>
      <c r="M371" t="s">
        <v>38</v>
      </c>
      <c r="N371" t="s">
        <v>32</v>
      </c>
    </row>
    <row r="372" spans="1:14" x14ac:dyDescent="0.2">
      <c r="A372">
        <v>393495083</v>
      </c>
      <c r="B372" t="s">
        <v>42</v>
      </c>
      <c r="C372" t="s">
        <v>155</v>
      </c>
      <c r="D372" t="s">
        <v>564</v>
      </c>
      <c r="E372" s="8">
        <v>0.18</v>
      </c>
      <c r="F372" t="s">
        <v>487</v>
      </c>
      <c r="G372">
        <v>211</v>
      </c>
      <c r="H372" t="s">
        <v>35</v>
      </c>
      <c r="I372" t="s">
        <v>36</v>
      </c>
      <c r="J372" t="s">
        <v>37</v>
      </c>
      <c r="K372" t="s">
        <v>28</v>
      </c>
      <c r="L372">
        <v>2017</v>
      </c>
      <c r="M372" t="s">
        <v>38</v>
      </c>
      <c r="N372" t="s">
        <v>32</v>
      </c>
    </row>
    <row r="373" spans="1:14" x14ac:dyDescent="0.2">
      <c r="A373">
        <v>393495083</v>
      </c>
      <c r="B373" t="s">
        <v>479</v>
      </c>
      <c r="C373" t="s">
        <v>57</v>
      </c>
      <c r="D373" t="s">
        <v>566</v>
      </c>
      <c r="E373" s="8">
        <v>0.47277777777777785</v>
      </c>
      <c r="F373" t="s">
        <v>487</v>
      </c>
      <c r="G373">
        <v>211</v>
      </c>
      <c r="H373" t="s">
        <v>35</v>
      </c>
      <c r="I373" t="s">
        <v>36</v>
      </c>
      <c r="J373" t="s">
        <v>37</v>
      </c>
      <c r="K373" t="s">
        <v>28</v>
      </c>
      <c r="L373">
        <v>2017</v>
      </c>
      <c r="M373" t="s">
        <v>38</v>
      </c>
      <c r="N373" t="s">
        <v>32</v>
      </c>
    </row>
    <row r="374" spans="1:14" x14ac:dyDescent="0.2">
      <c r="A374">
        <v>393495083</v>
      </c>
      <c r="B374" t="s">
        <v>479</v>
      </c>
      <c r="C374" t="s">
        <v>58</v>
      </c>
      <c r="D374" t="s">
        <v>567</v>
      </c>
      <c r="E374" s="8">
        <v>0.18</v>
      </c>
      <c r="F374" t="s">
        <v>487</v>
      </c>
      <c r="G374">
        <v>211</v>
      </c>
      <c r="H374" t="s">
        <v>35</v>
      </c>
      <c r="I374" t="s">
        <v>36</v>
      </c>
      <c r="J374" t="s">
        <v>37</v>
      </c>
      <c r="K374" t="s">
        <v>28</v>
      </c>
      <c r="L374">
        <v>2017</v>
      </c>
      <c r="M374" t="s">
        <v>38</v>
      </c>
      <c r="N374" t="s">
        <v>32</v>
      </c>
    </row>
    <row r="375" spans="1:14" x14ac:dyDescent="0.2">
      <c r="A375">
        <v>393495083</v>
      </c>
      <c r="B375" t="s">
        <v>480</v>
      </c>
      <c r="C375" t="s">
        <v>456</v>
      </c>
      <c r="D375" t="s">
        <v>568</v>
      </c>
      <c r="E375" s="8">
        <v>0.66666666666666663</v>
      </c>
      <c r="F375" t="s">
        <v>487</v>
      </c>
      <c r="G375">
        <v>211</v>
      </c>
      <c r="H375" t="s">
        <v>35</v>
      </c>
      <c r="I375" t="s">
        <v>36</v>
      </c>
      <c r="J375" t="s">
        <v>37</v>
      </c>
      <c r="K375" t="s">
        <v>28</v>
      </c>
      <c r="L375">
        <v>2017</v>
      </c>
      <c r="M375" t="s">
        <v>38</v>
      </c>
      <c r="N375" t="s">
        <v>32</v>
      </c>
    </row>
    <row r="376" spans="1:14" x14ac:dyDescent="0.2">
      <c r="A376">
        <v>393495083</v>
      </c>
      <c r="B376" t="s">
        <v>480</v>
      </c>
      <c r="C376" t="s">
        <v>452</v>
      </c>
      <c r="D376" t="s">
        <v>568</v>
      </c>
      <c r="E376" s="8">
        <v>0.66666666666666663</v>
      </c>
      <c r="F376" t="s">
        <v>487</v>
      </c>
      <c r="G376">
        <v>211</v>
      </c>
      <c r="H376" t="s">
        <v>35</v>
      </c>
      <c r="I376" t="s">
        <v>36</v>
      </c>
      <c r="J376" t="s">
        <v>37</v>
      </c>
      <c r="K376" t="s">
        <v>28</v>
      </c>
      <c r="L376">
        <v>2017</v>
      </c>
      <c r="M376" t="s">
        <v>38</v>
      </c>
      <c r="N376" t="s">
        <v>32</v>
      </c>
    </row>
    <row r="377" spans="1:14" x14ac:dyDescent="0.2">
      <c r="A377">
        <v>393495083</v>
      </c>
      <c r="B377" t="s">
        <v>481</v>
      </c>
      <c r="C377" t="s">
        <v>533</v>
      </c>
      <c r="D377" t="s">
        <v>569</v>
      </c>
      <c r="E377" s="8">
        <v>0.18</v>
      </c>
      <c r="F377" t="s">
        <v>487</v>
      </c>
      <c r="G377">
        <v>211</v>
      </c>
      <c r="H377" t="s">
        <v>35</v>
      </c>
      <c r="I377" t="s">
        <v>36</v>
      </c>
      <c r="J377" t="s">
        <v>37</v>
      </c>
      <c r="K377" t="s">
        <v>28</v>
      </c>
      <c r="L377">
        <v>2017</v>
      </c>
      <c r="M377" t="s">
        <v>38</v>
      </c>
      <c r="N377" t="s">
        <v>32</v>
      </c>
    </row>
    <row r="378" spans="1:14" x14ac:dyDescent="0.2">
      <c r="A378">
        <v>393495083</v>
      </c>
      <c r="B378" t="s">
        <v>481</v>
      </c>
      <c r="C378" t="s">
        <v>106</v>
      </c>
      <c r="D378" t="s">
        <v>569</v>
      </c>
      <c r="E378" s="8">
        <v>0.18</v>
      </c>
      <c r="F378" t="s">
        <v>487</v>
      </c>
      <c r="G378">
        <v>211</v>
      </c>
      <c r="H378" t="s">
        <v>35</v>
      </c>
      <c r="I378" t="s">
        <v>36</v>
      </c>
      <c r="J378" t="s">
        <v>37</v>
      </c>
      <c r="K378" t="s">
        <v>28</v>
      </c>
      <c r="L378">
        <v>2017</v>
      </c>
      <c r="M378" t="s">
        <v>38</v>
      </c>
      <c r="N378" t="s">
        <v>32</v>
      </c>
    </row>
    <row r="379" spans="1:14" x14ac:dyDescent="0.2">
      <c r="A379">
        <v>393495083</v>
      </c>
      <c r="B379" t="s">
        <v>43</v>
      </c>
      <c r="C379" t="s">
        <v>59</v>
      </c>
      <c r="D379" t="s">
        <v>570</v>
      </c>
      <c r="E379" s="8">
        <v>0.47200000000000003</v>
      </c>
      <c r="F379" t="s">
        <v>487</v>
      </c>
      <c r="G379">
        <v>211</v>
      </c>
      <c r="H379" t="s">
        <v>35</v>
      </c>
      <c r="I379" t="s">
        <v>36</v>
      </c>
      <c r="J379" t="s">
        <v>37</v>
      </c>
      <c r="K379" t="s">
        <v>28</v>
      </c>
      <c r="L379">
        <v>2017</v>
      </c>
      <c r="M379" t="s">
        <v>38</v>
      </c>
      <c r="N379" t="s">
        <v>32</v>
      </c>
    </row>
    <row r="380" spans="1:14" x14ac:dyDescent="0.2">
      <c r="A380">
        <v>393495083</v>
      </c>
      <c r="B380" t="s">
        <v>482</v>
      </c>
      <c r="C380" t="s">
        <v>436</v>
      </c>
      <c r="D380" t="s">
        <v>561</v>
      </c>
      <c r="E380" s="8">
        <v>0.65071428571428569</v>
      </c>
      <c r="F380" t="s">
        <v>487</v>
      </c>
      <c r="G380">
        <v>211</v>
      </c>
      <c r="H380" t="s">
        <v>35</v>
      </c>
      <c r="I380" t="s">
        <v>36</v>
      </c>
      <c r="J380" t="s">
        <v>37</v>
      </c>
      <c r="K380" t="s">
        <v>28</v>
      </c>
      <c r="L380">
        <v>2017</v>
      </c>
      <c r="M380" t="s">
        <v>38</v>
      </c>
      <c r="N380" t="s">
        <v>32</v>
      </c>
    </row>
    <row r="381" spans="1:14" x14ac:dyDescent="0.2">
      <c r="A381">
        <v>393495083</v>
      </c>
      <c r="B381" t="s">
        <v>482</v>
      </c>
      <c r="C381" t="s">
        <v>436</v>
      </c>
      <c r="D381" t="s">
        <v>561</v>
      </c>
      <c r="E381" s="8">
        <v>0.84799999999999998</v>
      </c>
      <c r="F381" t="s">
        <v>487</v>
      </c>
      <c r="G381">
        <v>211</v>
      </c>
      <c r="H381" t="s">
        <v>35</v>
      </c>
      <c r="I381" t="s">
        <v>36</v>
      </c>
      <c r="J381" t="s">
        <v>37</v>
      </c>
      <c r="K381" t="s">
        <v>28</v>
      </c>
      <c r="L381">
        <v>2017</v>
      </c>
      <c r="M381" t="s">
        <v>38</v>
      </c>
      <c r="N381" t="s">
        <v>32</v>
      </c>
    </row>
    <row r="382" spans="1:14" x14ac:dyDescent="0.2">
      <c r="A382">
        <v>393495083</v>
      </c>
      <c r="B382" t="s">
        <v>483</v>
      </c>
      <c r="C382" t="s">
        <v>197</v>
      </c>
      <c r="D382" t="s">
        <v>556</v>
      </c>
      <c r="E382" s="8">
        <v>0.90999999999999992</v>
      </c>
      <c r="F382" t="s">
        <v>487</v>
      </c>
      <c r="G382">
        <v>211</v>
      </c>
      <c r="H382" t="s">
        <v>35</v>
      </c>
      <c r="I382" t="s">
        <v>36</v>
      </c>
      <c r="J382" t="s">
        <v>37</v>
      </c>
      <c r="K382" t="s">
        <v>28</v>
      </c>
      <c r="L382">
        <v>2017</v>
      </c>
      <c r="M382" t="s">
        <v>38</v>
      </c>
      <c r="N382" t="s">
        <v>32</v>
      </c>
    </row>
    <row r="383" spans="1:14" x14ac:dyDescent="0.2">
      <c r="A383">
        <v>393495083</v>
      </c>
      <c r="B383" t="s">
        <v>483</v>
      </c>
      <c r="C383" t="s">
        <v>196</v>
      </c>
      <c r="D383" t="s">
        <v>557</v>
      </c>
      <c r="E383" s="8">
        <v>0.18</v>
      </c>
      <c r="F383" t="s">
        <v>487</v>
      </c>
      <c r="G383">
        <v>211</v>
      </c>
      <c r="H383" t="s">
        <v>35</v>
      </c>
      <c r="I383" t="s">
        <v>36</v>
      </c>
      <c r="J383" t="s">
        <v>37</v>
      </c>
      <c r="K383" t="s">
        <v>28</v>
      </c>
      <c r="L383">
        <v>2017</v>
      </c>
      <c r="M383" t="s">
        <v>38</v>
      </c>
      <c r="N383" t="s">
        <v>32</v>
      </c>
    </row>
    <row r="384" spans="1:14" x14ac:dyDescent="0.2">
      <c r="A384">
        <v>393495083</v>
      </c>
      <c r="B384" t="s">
        <v>483</v>
      </c>
      <c r="C384" t="s">
        <v>197</v>
      </c>
      <c r="D384" t="s">
        <v>556</v>
      </c>
      <c r="E384" s="8">
        <v>0.66666666666666663</v>
      </c>
      <c r="F384" t="s">
        <v>487</v>
      </c>
      <c r="G384">
        <v>211</v>
      </c>
      <c r="H384" t="s">
        <v>35</v>
      </c>
      <c r="I384" t="s">
        <v>36</v>
      </c>
      <c r="J384" t="s">
        <v>37</v>
      </c>
      <c r="K384" t="s">
        <v>28</v>
      </c>
      <c r="L384">
        <v>2017</v>
      </c>
      <c r="M384" t="s">
        <v>38</v>
      </c>
      <c r="N384" t="s">
        <v>32</v>
      </c>
    </row>
    <row r="385" spans="1:14" x14ac:dyDescent="0.2">
      <c r="A385">
        <v>393495083</v>
      </c>
      <c r="B385" t="s">
        <v>483</v>
      </c>
      <c r="C385" t="s">
        <v>196</v>
      </c>
      <c r="D385" t="s">
        <v>557</v>
      </c>
      <c r="E385" s="8">
        <v>0.184</v>
      </c>
      <c r="F385" t="s">
        <v>487</v>
      </c>
      <c r="G385">
        <v>211</v>
      </c>
      <c r="H385" t="s">
        <v>35</v>
      </c>
      <c r="I385" t="s">
        <v>36</v>
      </c>
      <c r="J385" t="s">
        <v>37</v>
      </c>
      <c r="K385" t="s">
        <v>28</v>
      </c>
      <c r="L385">
        <v>2017</v>
      </c>
      <c r="M385" t="s">
        <v>38</v>
      </c>
      <c r="N385" t="s">
        <v>32</v>
      </c>
    </row>
    <row r="386" spans="1:14" x14ac:dyDescent="0.2">
      <c r="A386">
        <v>393495083</v>
      </c>
      <c r="B386" t="s">
        <v>483</v>
      </c>
      <c r="C386" t="s">
        <v>197</v>
      </c>
      <c r="D386" t="s">
        <v>556</v>
      </c>
      <c r="E386" s="8">
        <v>0.18666666666666665</v>
      </c>
      <c r="F386" t="s">
        <v>487</v>
      </c>
      <c r="G386">
        <v>211</v>
      </c>
      <c r="H386" t="s">
        <v>35</v>
      </c>
      <c r="I386" t="s">
        <v>36</v>
      </c>
      <c r="J386" t="s">
        <v>37</v>
      </c>
      <c r="K386" t="s">
        <v>28</v>
      </c>
      <c r="L386">
        <v>2017</v>
      </c>
      <c r="M386" t="s">
        <v>38</v>
      </c>
      <c r="N386" t="s">
        <v>32</v>
      </c>
    </row>
    <row r="387" spans="1:14" x14ac:dyDescent="0.2">
      <c r="A387">
        <v>393495083</v>
      </c>
      <c r="B387" t="s">
        <v>484</v>
      </c>
      <c r="C387" t="s">
        <v>497</v>
      </c>
      <c r="D387" t="s">
        <v>558</v>
      </c>
      <c r="E387" s="8">
        <v>0.66666666666666663</v>
      </c>
      <c r="F387" t="s">
        <v>487</v>
      </c>
      <c r="G387">
        <v>211</v>
      </c>
      <c r="H387" t="s">
        <v>35</v>
      </c>
      <c r="I387" t="s">
        <v>36</v>
      </c>
      <c r="J387" t="s">
        <v>37</v>
      </c>
      <c r="K387" t="s">
        <v>28</v>
      </c>
      <c r="L387">
        <v>2017</v>
      </c>
      <c r="M387" t="s">
        <v>38</v>
      </c>
      <c r="N387" t="s">
        <v>32</v>
      </c>
    </row>
    <row r="388" spans="1:14" x14ac:dyDescent="0.2">
      <c r="A388">
        <v>393495083</v>
      </c>
      <c r="B388" t="s">
        <v>484</v>
      </c>
      <c r="C388" t="s">
        <v>500</v>
      </c>
      <c r="D388" t="s">
        <v>558</v>
      </c>
      <c r="E388" s="8">
        <v>0.76749999999999996</v>
      </c>
      <c r="F388" t="s">
        <v>487</v>
      </c>
      <c r="G388">
        <v>211</v>
      </c>
      <c r="H388" t="s">
        <v>35</v>
      </c>
      <c r="I388" t="s">
        <v>36</v>
      </c>
      <c r="J388" t="s">
        <v>37</v>
      </c>
      <c r="K388" t="s">
        <v>28</v>
      </c>
      <c r="L388">
        <v>2017</v>
      </c>
      <c r="M388" t="s">
        <v>38</v>
      </c>
      <c r="N388" t="s">
        <v>32</v>
      </c>
    </row>
    <row r="389" spans="1:14" x14ac:dyDescent="0.2">
      <c r="A389">
        <v>393495083</v>
      </c>
      <c r="B389" t="s">
        <v>484</v>
      </c>
      <c r="C389" t="s">
        <v>501</v>
      </c>
      <c r="D389" t="s">
        <v>558</v>
      </c>
      <c r="E389" s="8">
        <v>0.61124999999999996</v>
      </c>
      <c r="F389" t="s">
        <v>487</v>
      </c>
      <c r="G389">
        <v>211</v>
      </c>
      <c r="H389" t="s">
        <v>35</v>
      </c>
      <c r="I389" t="s">
        <v>36</v>
      </c>
      <c r="J389" t="s">
        <v>37</v>
      </c>
      <c r="K389" t="s">
        <v>28</v>
      </c>
      <c r="L389">
        <v>2017</v>
      </c>
      <c r="M389" t="s">
        <v>38</v>
      </c>
      <c r="N389" t="s">
        <v>32</v>
      </c>
    </row>
    <row r="390" spans="1:14" x14ac:dyDescent="0.2">
      <c r="A390">
        <v>393495083</v>
      </c>
      <c r="B390" t="s">
        <v>485</v>
      </c>
      <c r="C390" t="s">
        <v>346</v>
      </c>
      <c r="D390" t="s">
        <v>559</v>
      </c>
      <c r="E390" s="8">
        <v>0.18</v>
      </c>
      <c r="F390" t="s">
        <v>487</v>
      </c>
      <c r="G390">
        <v>211</v>
      </c>
      <c r="H390" t="s">
        <v>35</v>
      </c>
      <c r="I390" t="s">
        <v>36</v>
      </c>
      <c r="J390" t="s">
        <v>37</v>
      </c>
      <c r="K390" t="s">
        <v>28</v>
      </c>
      <c r="L390">
        <v>2017</v>
      </c>
      <c r="M390" t="s">
        <v>38</v>
      </c>
      <c r="N390" t="s">
        <v>32</v>
      </c>
    </row>
    <row r="391" spans="1:14" x14ac:dyDescent="0.2">
      <c r="A391">
        <v>393495083</v>
      </c>
      <c r="B391" t="s">
        <v>485</v>
      </c>
      <c r="C391" t="s">
        <v>342</v>
      </c>
      <c r="D391" t="s">
        <v>559</v>
      </c>
      <c r="E391" s="8">
        <v>0.14624999999999999</v>
      </c>
      <c r="F391" t="s">
        <v>487</v>
      </c>
      <c r="G391">
        <v>211</v>
      </c>
      <c r="H391" t="s">
        <v>35</v>
      </c>
      <c r="I391" t="s">
        <v>36</v>
      </c>
      <c r="J391" t="s">
        <v>37</v>
      </c>
      <c r="K391" t="s">
        <v>28</v>
      </c>
      <c r="L391">
        <v>2017</v>
      </c>
      <c r="M391" t="s">
        <v>38</v>
      </c>
      <c r="N391" t="s">
        <v>32</v>
      </c>
    </row>
    <row r="392" spans="1:14" x14ac:dyDescent="0.2">
      <c r="A392">
        <v>414520736</v>
      </c>
      <c r="B392" t="s">
        <v>478</v>
      </c>
      <c r="C392" t="s">
        <v>276</v>
      </c>
      <c r="D392" t="s">
        <v>546</v>
      </c>
      <c r="E392" s="8">
        <v>0.74</v>
      </c>
      <c r="F392" t="s">
        <v>487</v>
      </c>
      <c r="G392">
        <v>211</v>
      </c>
      <c r="H392" t="s">
        <v>35</v>
      </c>
      <c r="I392" t="s">
        <v>36</v>
      </c>
      <c r="J392" t="s">
        <v>37</v>
      </c>
      <c r="K392" t="s">
        <v>28</v>
      </c>
      <c r="L392">
        <v>2017</v>
      </c>
      <c r="M392" t="s">
        <v>38</v>
      </c>
      <c r="N392" t="s">
        <v>32</v>
      </c>
    </row>
    <row r="393" spans="1:14" x14ac:dyDescent="0.2">
      <c r="A393">
        <v>414520736</v>
      </c>
      <c r="B393" t="s">
        <v>478</v>
      </c>
      <c r="C393" t="s">
        <v>247</v>
      </c>
      <c r="D393" t="s">
        <v>546</v>
      </c>
      <c r="E393" s="8">
        <v>0.54799999999999993</v>
      </c>
      <c r="F393" t="s">
        <v>487</v>
      </c>
      <c r="G393">
        <v>211</v>
      </c>
      <c r="H393" t="s">
        <v>35</v>
      </c>
      <c r="I393" t="s">
        <v>36</v>
      </c>
      <c r="J393" t="s">
        <v>37</v>
      </c>
      <c r="K393" t="s">
        <v>28</v>
      </c>
      <c r="L393">
        <v>2017</v>
      </c>
      <c r="M393" t="s">
        <v>38</v>
      </c>
      <c r="N393" t="s">
        <v>32</v>
      </c>
    </row>
    <row r="394" spans="1:14" x14ac:dyDescent="0.2">
      <c r="A394">
        <v>414520736</v>
      </c>
      <c r="B394" t="s">
        <v>40</v>
      </c>
      <c r="C394" t="s">
        <v>435</v>
      </c>
      <c r="D394" t="s">
        <v>560</v>
      </c>
      <c r="E394" s="8">
        <v>0.80999999999999994</v>
      </c>
      <c r="F394" t="s">
        <v>487</v>
      </c>
      <c r="G394">
        <v>211</v>
      </c>
      <c r="H394" t="s">
        <v>35</v>
      </c>
      <c r="I394" t="s">
        <v>36</v>
      </c>
      <c r="J394" t="s">
        <v>37</v>
      </c>
      <c r="K394" t="s">
        <v>28</v>
      </c>
      <c r="L394">
        <v>2017</v>
      </c>
      <c r="M394" t="s">
        <v>38</v>
      </c>
      <c r="N394" t="s">
        <v>32</v>
      </c>
    </row>
    <row r="395" spans="1:14" x14ac:dyDescent="0.2">
      <c r="A395">
        <v>414520736</v>
      </c>
      <c r="B395" t="s">
        <v>40</v>
      </c>
      <c r="C395" t="s">
        <v>393</v>
      </c>
      <c r="D395" t="s">
        <v>560</v>
      </c>
      <c r="E395" s="8">
        <v>0.81666666666666665</v>
      </c>
      <c r="F395" t="s">
        <v>487</v>
      </c>
      <c r="G395">
        <v>211</v>
      </c>
      <c r="H395" t="s">
        <v>35</v>
      </c>
      <c r="I395" t="s">
        <v>36</v>
      </c>
      <c r="J395" t="s">
        <v>37</v>
      </c>
      <c r="K395" t="s">
        <v>28</v>
      </c>
      <c r="L395">
        <v>2017</v>
      </c>
      <c r="M395" t="s">
        <v>38</v>
      </c>
      <c r="N395" t="s">
        <v>32</v>
      </c>
    </row>
    <row r="396" spans="1:14" x14ac:dyDescent="0.2">
      <c r="A396">
        <v>414520736</v>
      </c>
      <c r="B396" t="s">
        <v>41</v>
      </c>
      <c r="C396" t="s">
        <v>212</v>
      </c>
      <c r="D396" t="s">
        <v>562</v>
      </c>
      <c r="E396" s="8">
        <v>0.64249999999999996</v>
      </c>
      <c r="F396" t="s">
        <v>487</v>
      </c>
      <c r="G396">
        <v>211</v>
      </c>
      <c r="H396" t="s">
        <v>35</v>
      </c>
      <c r="I396" t="s">
        <v>36</v>
      </c>
      <c r="J396" t="s">
        <v>37</v>
      </c>
      <c r="K396" t="s">
        <v>28</v>
      </c>
      <c r="L396">
        <v>2017</v>
      </c>
      <c r="M396" t="s">
        <v>38</v>
      </c>
      <c r="N396" t="s">
        <v>32</v>
      </c>
    </row>
    <row r="397" spans="1:14" x14ac:dyDescent="0.2">
      <c r="A397">
        <v>414520736</v>
      </c>
      <c r="B397" t="s">
        <v>41</v>
      </c>
      <c r="C397" t="s">
        <v>207</v>
      </c>
      <c r="D397" t="s">
        <v>562</v>
      </c>
      <c r="E397" s="8">
        <v>0.59000000000000008</v>
      </c>
      <c r="F397" t="s">
        <v>487</v>
      </c>
      <c r="G397">
        <v>211</v>
      </c>
      <c r="H397" t="s">
        <v>35</v>
      </c>
      <c r="I397" t="s">
        <v>36</v>
      </c>
      <c r="J397" t="s">
        <v>37</v>
      </c>
      <c r="K397" t="s">
        <v>28</v>
      </c>
      <c r="L397">
        <v>2017</v>
      </c>
      <c r="M397" t="s">
        <v>38</v>
      </c>
      <c r="N397" t="s">
        <v>32</v>
      </c>
    </row>
    <row r="398" spans="1:14" x14ac:dyDescent="0.2">
      <c r="A398">
        <v>414520736</v>
      </c>
      <c r="B398" t="s">
        <v>41</v>
      </c>
      <c r="C398" t="s">
        <v>221</v>
      </c>
      <c r="D398" t="s">
        <v>563</v>
      </c>
      <c r="E398" s="8">
        <v>0.16000000000000003</v>
      </c>
      <c r="F398" t="s">
        <v>487</v>
      </c>
      <c r="G398">
        <v>211</v>
      </c>
      <c r="H398" t="s">
        <v>35</v>
      </c>
      <c r="I398" t="s">
        <v>36</v>
      </c>
      <c r="J398" t="s">
        <v>37</v>
      </c>
      <c r="K398" t="s">
        <v>28</v>
      </c>
      <c r="L398">
        <v>2017</v>
      </c>
      <c r="M398" t="s">
        <v>38</v>
      </c>
      <c r="N398" t="s">
        <v>32</v>
      </c>
    </row>
    <row r="399" spans="1:14" x14ac:dyDescent="0.2">
      <c r="A399">
        <v>414520736</v>
      </c>
      <c r="B399" t="s">
        <v>42</v>
      </c>
      <c r="C399" t="s">
        <v>159</v>
      </c>
      <c r="D399" t="s">
        <v>564</v>
      </c>
      <c r="E399" s="8">
        <v>0.14000000000000001</v>
      </c>
      <c r="F399" t="s">
        <v>487</v>
      </c>
      <c r="G399">
        <v>211</v>
      </c>
      <c r="H399" t="s">
        <v>35</v>
      </c>
      <c r="I399" t="s">
        <v>36</v>
      </c>
      <c r="J399" t="s">
        <v>37</v>
      </c>
      <c r="K399" t="s">
        <v>28</v>
      </c>
      <c r="L399">
        <v>2017</v>
      </c>
      <c r="M399" t="s">
        <v>38</v>
      </c>
      <c r="N399" t="s">
        <v>32</v>
      </c>
    </row>
    <row r="400" spans="1:14" x14ac:dyDescent="0.2">
      <c r="A400">
        <v>414520736</v>
      </c>
      <c r="B400" t="s">
        <v>42</v>
      </c>
      <c r="C400" t="s">
        <v>135</v>
      </c>
      <c r="D400" t="s">
        <v>565</v>
      </c>
      <c r="E400" s="8">
        <v>0.80999999999999994</v>
      </c>
      <c r="F400" t="s">
        <v>487</v>
      </c>
      <c r="G400">
        <v>211</v>
      </c>
      <c r="H400" t="s">
        <v>35</v>
      </c>
      <c r="I400" t="s">
        <v>36</v>
      </c>
      <c r="J400" t="s">
        <v>37</v>
      </c>
      <c r="K400" t="s">
        <v>28</v>
      </c>
      <c r="L400">
        <v>2017</v>
      </c>
      <c r="M400" t="s">
        <v>38</v>
      </c>
      <c r="N400" t="s">
        <v>32</v>
      </c>
    </row>
    <row r="401" spans="1:14" x14ac:dyDescent="0.2">
      <c r="A401">
        <v>414520736</v>
      </c>
      <c r="B401" t="s">
        <v>42</v>
      </c>
      <c r="C401" t="s">
        <v>56</v>
      </c>
      <c r="D401" t="s">
        <v>565</v>
      </c>
      <c r="E401" s="8">
        <v>0.80999999999999994</v>
      </c>
      <c r="F401" t="s">
        <v>487</v>
      </c>
      <c r="G401">
        <v>211</v>
      </c>
      <c r="H401" t="s">
        <v>35</v>
      </c>
      <c r="I401" t="s">
        <v>36</v>
      </c>
      <c r="J401" t="s">
        <v>37</v>
      </c>
      <c r="K401" t="s">
        <v>28</v>
      </c>
      <c r="L401">
        <v>2017</v>
      </c>
      <c r="M401" t="s">
        <v>38</v>
      </c>
      <c r="N401" t="s">
        <v>32</v>
      </c>
    </row>
    <row r="402" spans="1:14" x14ac:dyDescent="0.2">
      <c r="A402">
        <v>414520736</v>
      </c>
      <c r="B402" t="s">
        <v>42</v>
      </c>
      <c r="C402" t="s">
        <v>155</v>
      </c>
      <c r="D402" t="s">
        <v>564</v>
      </c>
      <c r="E402" s="8">
        <v>0.14000000000000001</v>
      </c>
      <c r="F402" t="s">
        <v>487</v>
      </c>
      <c r="G402">
        <v>211</v>
      </c>
      <c r="H402" t="s">
        <v>35</v>
      </c>
      <c r="I402" t="s">
        <v>36</v>
      </c>
      <c r="J402" t="s">
        <v>37</v>
      </c>
      <c r="K402" t="s">
        <v>28</v>
      </c>
      <c r="L402">
        <v>2017</v>
      </c>
      <c r="M402" t="s">
        <v>38</v>
      </c>
      <c r="N402" t="s">
        <v>32</v>
      </c>
    </row>
    <row r="403" spans="1:14" x14ac:dyDescent="0.2">
      <c r="A403">
        <v>414520736</v>
      </c>
      <c r="B403" t="s">
        <v>479</v>
      </c>
      <c r="C403" t="s">
        <v>57</v>
      </c>
      <c r="D403" t="s">
        <v>566</v>
      </c>
      <c r="E403" s="8">
        <v>0.55277777777777781</v>
      </c>
      <c r="F403" t="s">
        <v>487</v>
      </c>
      <c r="G403">
        <v>211</v>
      </c>
      <c r="H403" t="s">
        <v>35</v>
      </c>
      <c r="I403" t="s">
        <v>36</v>
      </c>
      <c r="J403" t="s">
        <v>37</v>
      </c>
      <c r="K403" t="s">
        <v>28</v>
      </c>
      <c r="L403">
        <v>2017</v>
      </c>
      <c r="M403" t="s">
        <v>38</v>
      </c>
      <c r="N403" t="s">
        <v>32</v>
      </c>
    </row>
    <row r="404" spans="1:14" x14ac:dyDescent="0.2">
      <c r="A404">
        <v>414520736</v>
      </c>
      <c r="B404" t="s">
        <v>479</v>
      </c>
      <c r="C404" t="s">
        <v>58</v>
      </c>
      <c r="D404" t="s">
        <v>567</v>
      </c>
      <c r="E404" s="8">
        <v>0.14000000000000001</v>
      </c>
      <c r="F404" t="s">
        <v>487</v>
      </c>
      <c r="G404">
        <v>211</v>
      </c>
      <c r="H404" t="s">
        <v>35</v>
      </c>
      <c r="I404" t="s">
        <v>36</v>
      </c>
      <c r="J404" t="s">
        <v>37</v>
      </c>
      <c r="K404" t="s">
        <v>28</v>
      </c>
      <c r="L404">
        <v>2017</v>
      </c>
      <c r="M404" t="s">
        <v>38</v>
      </c>
      <c r="N404" t="s">
        <v>32</v>
      </c>
    </row>
    <row r="405" spans="1:14" x14ac:dyDescent="0.2">
      <c r="A405">
        <v>414520736</v>
      </c>
      <c r="B405" t="s">
        <v>480</v>
      </c>
      <c r="C405" t="s">
        <v>456</v>
      </c>
      <c r="D405" t="s">
        <v>568</v>
      </c>
      <c r="E405" s="8">
        <v>0.58666666666666656</v>
      </c>
      <c r="F405" t="s">
        <v>487</v>
      </c>
      <c r="G405">
        <v>211</v>
      </c>
      <c r="H405" t="s">
        <v>35</v>
      </c>
      <c r="I405" t="s">
        <v>36</v>
      </c>
      <c r="J405" t="s">
        <v>37</v>
      </c>
      <c r="K405" t="s">
        <v>28</v>
      </c>
      <c r="L405">
        <v>2017</v>
      </c>
      <c r="M405" t="s">
        <v>38</v>
      </c>
      <c r="N405" t="s">
        <v>32</v>
      </c>
    </row>
    <row r="406" spans="1:14" x14ac:dyDescent="0.2">
      <c r="A406">
        <v>414520736</v>
      </c>
      <c r="B406" t="s">
        <v>480</v>
      </c>
      <c r="C406" t="s">
        <v>452</v>
      </c>
      <c r="D406" t="s">
        <v>568</v>
      </c>
      <c r="E406" s="8">
        <v>0.58666666666666656</v>
      </c>
      <c r="F406" t="s">
        <v>487</v>
      </c>
      <c r="G406">
        <v>211</v>
      </c>
      <c r="H406" t="s">
        <v>35</v>
      </c>
      <c r="I406" t="s">
        <v>36</v>
      </c>
      <c r="J406" t="s">
        <v>37</v>
      </c>
      <c r="K406" t="s">
        <v>28</v>
      </c>
      <c r="L406">
        <v>2017</v>
      </c>
      <c r="M406" t="s">
        <v>38</v>
      </c>
      <c r="N406" t="s">
        <v>32</v>
      </c>
    </row>
    <row r="407" spans="1:14" x14ac:dyDescent="0.2">
      <c r="A407">
        <v>414520736</v>
      </c>
      <c r="B407" t="s">
        <v>481</v>
      </c>
      <c r="C407" t="s">
        <v>533</v>
      </c>
      <c r="D407" t="s">
        <v>569</v>
      </c>
      <c r="E407" s="8">
        <v>0.14000000000000001</v>
      </c>
      <c r="F407" t="s">
        <v>487</v>
      </c>
      <c r="G407">
        <v>211</v>
      </c>
      <c r="H407" t="s">
        <v>35</v>
      </c>
      <c r="I407" t="s">
        <v>36</v>
      </c>
      <c r="J407" t="s">
        <v>37</v>
      </c>
      <c r="K407" t="s">
        <v>28</v>
      </c>
      <c r="L407">
        <v>2017</v>
      </c>
      <c r="M407" t="s">
        <v>38</v>
      </c>
      <c r="N407" t="s">
        <v>32</v>
      </c>
    </row>
    <row r="408" spans="1:14" x14ac:dyDescent="0.2">
      <c r="A408">
        <v>414520736</v>
      </c>
      <c r="B408" t="s">
        <v>481</v>
      </c>
      <c r="C408" t="s">
        <v>106</v>
      </c>
      <c r="D408" t="s">
        <v>569</v>
      </c>
      <c r="E408" s="8">
        <v>0.14000000000000001</v>
      </c>
      <c r="F408" t="s">
        <v>487</v>
      </c>
      <c r="G408">
        <v>211</v>
      </c>
      <c r="H408" t="s">
        <v>35</v>
      </c>
      <c r="I408" t="s">
        <v>36</v>
      </c>
      <c r="J408" t="s">
        <v>37</v>
      </c>
      <c r="K408" t="s">
        <v>28</v>
      </c>
      <c r="L408">
        <v>2017</v>
      </c>
      <c r="M408" t="s">
        <v>38</v>
      </c>
      <c r="N408" t="s">
        <v>32</v>
      </c>
    </row>
    <row r="409" spans="1:14" x14ac:dyDescent="0.2">
      <c r="A409">
        <v>414520736</v>
      </c>
      <c r="B409" t="s">
        <v>43</v>
      </c>
      <c r="C409" t="s">
        <v>59</v>
      </c>
      <c r="D409" t="s">
        <v>570</v>
      </c>
      <c r="E409" s="8">
        <v>0.40799999999999997</v>
      </c>
      <c r="F409" t="s">
        <v>487</v>
      </c>
      <c r="G409">
        <v>211</v>
      </c>
      <c r="H409" t="s">
        <v>35</v>
      </c>
      <c r="I409" t="s">
        <v>36</v>
      </c>
      <c r="J409" t="s">
        <v>37</v>
      </c>
      <c r="K409" t="s">
        <v>28</v>
      </c>
      <c r="L409">
        <v>2017</v>
      </c>
      <c r="M409" t="s">
        <v>38</v>
      </c>
      <c r="N409" t="s">
        <v>32</v>
      </c>
    </row>
    <row r="410" spans="1:14" x14ac:dyDescent="0.2">
      <c r="A410">
        <v>414520736</v>
      </c>
      <c r="B410" t="s">
        <v>482</v>
      </c>
      <c r="C410" t="s">
        <v>436</v>
      </c>
      <c r="D410" t="s">
        <v>561</v>
      </c>
      <c r="E410" s="8">
        <v>0.56785714285714284</v>
      </c>
      <c r="F410" t="s">
        <v>487</v>
      </c>
      <c r="G410">
        <v>211</v>
      </c>
      <c r="H410" t="s">
        <v>35</v>
      </c>
      <c r="I410" t="s">
        <v>36</v>
      </c>
      <c r="J410" t="s">
        <v>37</v>
      </c>
      <c r="K410" t="s">
        <v>28</v>
      </c>
      <c r="L410">
        <v>2017</v>
      </c>
      <c r="M410" t="s">
        <v>38</v>
      </c>
      <c r="N410" t="s">
        <v>32</v>
      </c>
    </row>
    <row r="411" spans="1:14" x14ac:dyDescent="0.2">
      <c r="A411">
        <v>414520736</v>
      </c>
      <c r="B411" t="s">
        <v>482</v>
      </c>
      <c r="C411" t="s">
        <v>436</v>
      </c>
      <c r="D411" t="s">
        <v>561</v>
      </c>
      <c r="E411" s="8">
        <v>0.84799999999999998</v>
      </c>
      <c r="F411" t="s">
        <v>487</v>
      </c>
      <c r="G411">
        <v>211</v>
      </c>
      <c r="H411" t="s">
        <v>35</v>
      </c>
      <c r="I411" t="s">
        <v>36</v>
      </c>
      <c r="J411" t="s">
        <v>37</v>
      </c>
      <c r="K411" t="s">
        <v>28</v>
      </c>
      <c r="L411">
        <v>2017</v>
      </c>
      <c r="M411" t="s">
        <v>38</v>
      </c>
      <c r="N411" t="s">
        <v>32</v>
      </c>
    </row>
    <row r="412" spans="1:14" x14ac:dyDescent="0.2">
      <c r="A412">
        <v>414520736</v>
      </c>
      <c r="B412" t="s">
        <v>483</v>
      </c>
      <c r="C412" t="s">
        <v>197</v>
      </c>
      <c r="D412" t="s">
        <v>556</v>
      </c>
      <c r="E412" s="8">
        <v>0.80999999999999994</v>
      </c>
      <c r="F412" t="s">
        <v>487</v>
      </c>
      <c r="G412">
        <v>211</v>
      </c>
      <c r="H412" t="s">
        <v>35</v>
      </c>
      <c r="I412" t="s">
        <v>36</v>
      </c>
      <c r="J412" t="s">
        <v>37</v>
      </c>
      <c r="K412" t="s">
        <v>28</v>
      </c>
      <c r="L412">
        <v>2017</v>
      </c>
      <c r="M412" t="s">
        <v>38</v>
      </c>
      <c r="N412" t="s">
        <v>32</v>
      </c>
    </row>
    <row r="413" spans="1:14" x14ac:dyDescent="0.2">
      <c r="A413">
        <v>414520736</v>
      </c>
      <c r="B413" t="s">
        <v>483</v>
      </c>
      <c r="C413" t="s">
        <v>196</v>
      </c>
      <c r="D413" t="s">
        <v>557</v>
      </c>
      <c r="E413" s="8">
        <v>0.14000000000000001</v>
      </c>
      <c r="F413" t="s">
        <v>487</v>
      </c>
      <c r="G413">
        <v>211</v>
      </c>
      <c r="H413" t="s">
        <v>35</v>
      </c>
      <c r="I413" t="s">
        <v>36</v>
      </c>
      <c r="J413" t="s">
        <v>37</v>
      </c>
      <c r="K413" t="s">
        <v>28</v>
      </c>
      <c r="L413">
        <v>2017</v>
      </c>
      <c r="M413" t="s">
        <v>38</v>
      </c>
      <c r="N413" t="s">
        <v>32</v>
      </c>
    </row>
    <row r="414" spans="1:14" x14ac:dyDescent="0.2">
      <c r="A414">
        <v>414520736</v>
      </c>
      <c r="B414" t="s">
        <v>483</v>
      </c>
      <c r="C414" t="s">
        <v>197</v>
      </c>
      <c r="D414" t="s">
        <v>556</v>
      </c>
      <c r="E414" s="8">
        <v>0.58666666666666656</v>
      </c>
      <c r="F414" t="s">
        <v>487</v>
      </c>
      <c r="G414">
        <v>211</v>
      </c>
      <c r="H414" t="s">
        <v>35</v>
      </c>
      <c r="I414" t="s">
        <v>36</v>
      </c>
      <c r="J414" t="s">
        <v>37</v>
      </c>
      <c r="K414" t="s">
        <v>28</v>
      </c>
      <c r="L414">
        <v>2017</v>
      </c>
      <c r="M414" t="s">
        <v>38</v>
      </c>
      <c r="N414" t="s">
        <v>32</v>
      </c>
    </row>
    <row r="415" spans="1:14" x14ac:dyDescent="0.2">
      <c r="A415">
        <v>414520736</v>
      </c>
      <c r="B415" t="s">
        <v>483</v>
      </c>
      <c r="C415" t="s">
        <v>196</v>
      </c>
      <c r="D415" t="s">
        <v>557</v>
      </c>
      <c r="E415" s="8">
        <v>0.15200000000000002</v>
      </c>
      <c r="F415" t="s">
        <v>487</v>
      </c>
      <c r="G415">
        <v>211</v>
      </c>
      <c r="H415" t="s">
        <v>35</v>
      </c>
      <c r="I415" t="s">
        <v>36</v>
      </c>
      <c r="J415" t="s">
        <v>37</v>
      </c>
      <c r="K415" t="s">
        <v>28</v>
      </c>
      <c r="L415">
        <v>2017</v>
      </c>
      <c r="M415" t="s">
        <v>38</v>
      </c>
      <c r="N415" t="s">
        <v>32</v>
      </c>
    </row>
    <row r="416" spans="1:14" x14ac:dyDescent="0.2">
      <c r="A416">
        <v>414520736</v>
      </c>
      <c r="B416" t="s">
        <v>483</v>
      </c>
      <c r="C416" t="s">
        <v>197</v>
      </c>
      <c r="D416" t="s">
        <v>556</v>
      </c>
      <c r="E416" s="8">
        <v>0.16000000000000003</v>
      </c>
      <c r="F416" t="s">
        <v>487</v>
      </c>
      <c r="G416">
        <v>211</v>
      </c>
      <c r="H416" t="s">
        <v>35</v>
      </c>
      <c r="I416" t="s">
        <v>36</v>
      </c>
      <c r="J416" t="s">
        <v>37</v>
      </c>
      <c r="K416" t="s">
        <v>28</v>
      </c>
      <c r="L416">
        <v>2017</v>
      </c>
      <c r="M416" t="s">
        <v>38</v>
      </c>
      <c r="N416" t="s">
        <v>32</v>
      </c>
    </row>
    <row r="417" spans="1:14" x14ac:dyDescent="0.2">
      <c r="A417">
        <v>414520736</v>
      </c>
      <c r="B417" t="s">
        <v>484</v>
      </c>
      <c r="C417" t="s">
        <v>497</v>
      </c>
      <c r="D417" t="s">
        <v>558</v>
      </c>
      <c r="E417" s="8">
        <v>0.58666666666666656</v>
      </c>
      <c r="F417" t="s">
        <v>487</v>
      </c>
      <c r="G417">
        <v>211</v>
      </c>
      <c r="H417" t="s">
        <v>35</v>
      </c>
      <c r="I417" t="s">
        <v>36</v>
      </c>
      <c r="J417" t="s">
        <v>37</v>
      </c>
      <c r="K417" t="s">
        <v>28</v>
      </c>
      <c r="L417">
        <v>2017</v>
      </c>
      <c r="M417" t="s">
        <v>38</v>
      </c>
      <c r="N417" t="s">
        <v>32</v>
      </c>
    </row>
    <row r="418" spans="1:14" x14ac:dyDescent="0.2">
      <c r="A418">
        <v>414520736</v>
      </c>
      <c r="B418" t="s">
        <v>484</v>
      </c>
      <c r="C418" t="s">
        <v>500</v>
      </c>
      <c r="D418" t="s">
        <v>558</v>
      </c>
      <c r="E418" s="8">
        <v>0.76749999999999996</v>
      </c>
      <c r="F418" t="s">
        <v>487</v>
      </c>
      <c r="G418">
        <v>211</v>
      </c>
      <c r="H418" t="s">
        <v>35</v>
      </c>
      <c r="I418" t="s">
        <v>36</v>
      </c>
      <c r="J418" t="s">
        <v>37</v>
      </c>
      <c r="K418" t="s">
        <v>28</v>
      </c>
      <c r="L418">
        <v>2017</v>
      </c>
      <c r="M418" t="s">
        <v>38</v>
      </c>
      <c r="N418" t="s">
        <v>32</v>
      </c>
    </row>
    <row r="419" spans="1:14" x14ac:dyDescent="0.2">
      <c r="A419">
        <v>414520736</v>
      </c>
      <c r="B419" t="s">
        <v>484</v>
      </c>
      <c r="C419" t="s">
        <v>501</v>
      </c>
      <c r="D419" t="s">
        <v>558</v>
      </c>
      <c r="E419" s="8">
        <v>0.47874999999999995</v>
      </c>
      <c r="F419" t="s">
        <v>487</v>
      </c>
      <c r="G419">
        <v>211</v>
      </c>
      <c r="H419" t="s">
        <v>35</v>
      </c>
      <c r="I419" t="s">
        <v>36</v>
      </c>
      <c r="J419" t="s">
        <v>37</v>
      </c>
      <c r="K419" t="s">
        <v>28</v>
      </c>
      <c r="L419">
        <v>2017</v>
      </c>
      <c r="M419" t="s">
        <v>38</v>
      </c>
      <c r="N419" t="s">
        <v>32</v>
      </c>
    </row>
    <row r="420" spans="1:14" x14ac:dyDescent="0.2">
      <c r="A420">
        <v>414520736</v>
      </c>
      <c r="B420" t="s">
        <v>485</v>
      </c>
      <c r="C420" t="s">
        <v>346</v>
      </c>
      <c r="D420" t="s">
        <v>559</v>
      </c>
      <c r="E420" s="8">
        <v>0.14000000000000001</v>
      </c>
      <c r="F420" t="s">
        <v>487</v>
      </c>
      <c r="G420">
        <v>211</v>
      </c>
      <c r="H420" t="s">
        <v>35</v>
      </c>
      <c r="I420" t="s">
        <v>36</v>
      </c>
      <c r="J420" t="s">
        <v>37</v>
      </c>
      <c r="K420" t="s">
        <v>28</v>
      </c>
      <c r="L420">
        <v>2017</v>
      </c>
      <c r="M420" t="s">
        <v>38</v>
      </c>
      <c r="N420" t="s">
        <v>32</v>
      </c>
    </row>
    <row r="421" spans="1:14" x14ac:dyDescent="0.2">
      <c r="A421">
        <v>414520736</v>
      </c>
      <c r="B421" t="s">
        <v>485</v>
      </c>
      <c r="C421" t="s">
        <v>342</v>
      </c>
      <c r="D421" t="s">
        <v>559</v>
      </c>
      <c r="E421" s="8">
        <v>0.22625000000000001</v>
      </c>
      <c r="F421" t="s">
        <v>487</v>
      </c>
      <c r="G421">
        <v>211</v>
      </c>
      <c r="H421" t="s">
        <v>35</v>
      </c>
      <c r="I421" t="s">
        <v>36</v>
      </c>
      <c r="J421" t="s">
        <v>37</v>
      </c>
      <c r="K421" t="s">
        <v>28</v>
      </c>
      <c r="L421">
        <v>2017</v>
      </c>
      <c r="M421" t="s">
        <v>38</v>
      </c>
      <c r="N421" t="s">
        <v>32</v>
      </c>
    </row>
    <row r="422" spans="1:14" x14ac:dyDescent="0.2">
      <c r="A422">
        <v>444882790</v>
      </c>
      <c r="B422" t="s">
        <v>478</v>
      </c>
      <c r="C422" t="s">
        <v>276</v>
      </c>
      <c r="D422" t="s">
        <v>546</v>
      </c>
      <c r="E422" s="8">
        <v>0.31666666666666665</v>
      </c>
      <c r="F422" t="s">
        <v>487</v>
      </c>
      <c r="G422">
        <v>211</v>
      </c>
      <c r="H422" t="s">
        <v>35</v>
      </c>
      <c r="I422" t="s">
        <v>36</v>
      </c>
      <c r="J422" t="s">
        <v>37</v>
      </c>
      <c r="K422" t="s">
        <v>28</v>
      </c>
      <c r="L422">
        <v>2017</v>
      </c>
      <c r="M422" t="s">
        <v>38</v>
      </c>
      <c r="N422" t="s">
        <v>32</v>
      </c>
    </row>
    <row r="423" spans="1:14" x14ac:dyDescent="0.2">
      <c r="A423">
        <v>444882790</v>
      </c>
      <c r="B423" t="s">
        <v>478</v>
      </c>
      <c r="C423" t="s">
        <v>247</v>
      </c>
      <c r="D423" t="s">
        <v>546</v>
      </c>
      <c r="E423" s="8">
        <v>0.32400000000000001</v>
      </c>
      <c r="F423" t="s">
        <v>487</v>
      </c>
      <c r="G423">
        <v>211</v>
      </c>
      <c r="H423" t="s">
        <v>35</v>
      </c>
      <c r="I423" t="s">
        <v>36</v>
      </c>
      <c r="J423" t="s">
        <v>37</v>
      </c>
      <c r="K423" t="s">
        <v>28</v>
      </c>
      <c r="L423">
        <v>2017</v>
      </c>
      <c r="M423" t="s">
        <v>38</v>
      </c>
      <c r="N423" t="s">
        <v>32</v>
      </c>
    </row>
    <row r="424" spans="1:14" x14ac:dyDescent="0.2">
      <c r="A424">
        <v>444882790</v>
      </c>
      <c r="B424" t="s">
        <v>40</v>
      </c>
      <c r="C424" t="s">
        <v>435</v>
      </c>
      <c r="D424" t="s">
        <v>560</v>
      </c>
      <c r="E424" s="8">
        <v>0.05</v>
      </c>
      <c r="F424" t="s">
        <v>487</v>
      </c>
      <c r="G424">
        <v>211</v>
      </c>
      <c r="H424" t="s">
        <v>35</v>
      </c>
      <c r="I424" t="s">
        <v>36</v>
      </c>
      <c r="J424" t="s">
        <v>37</v>
      </c>
      <c r="K424" t="s">
        <v>28</v>
      </c>
      <c r="L424">
        <v>2017</v>
      </c>
      <c r="M424" t="s">
        <v>38</v>
      </c>
      <c r="N424" t="s">
        <v>32</v>
      </c>
    </row>
    <row r="425" spans="1:14" x14ac:dyDescent="0.2">
      <c r="A425">
        <v>444882790</v>
      </c>
      <c r="B425" t="s">
        <v>40</v>
      </c>
      <c r="C425" t="s">
        <v>393</v>
      </c>
      <c r="D425" t="s">
        <v>560</v>
      </c>
      <c r="E425" s="8">
        <v>0.38666666666666666</v>
      </c>
      <c r="F425" t="s">
        <v>487</v>
      </c>
      <c r="G425">
        <v>211</v>
      </c>
      <c r="H425" t="s">
        <v>35</v>
      </c>
      <c r="I425" t="s">
        <v>36</v>
      </c>
      <c r="J425" t="s">
        <v>37</v>
      </c>
      <c r="K425" t="s">
        <v>28</v>
      </c>
      <c r="L425">
        <v>2017</v>
      </c>
      <c r="M425" t="s">
        <v>38</v>
      </c>
      <c r="N425" t="s">
        <v>32</v>
      </c>
    </row>
    <row r="426" spans="1:14" x14ac:dyDescent="0.2">
      <c r="A426">
        <v>444882790</v>
      </c>
      <c r="B426" t="s">
        <v>41</v>
      </c>
      <c r="C426" t="s">
        <v>212</v>
      </c>
      <c r="D426" t="s">
        <v>562</v>
      </c>
      <c r="E426" s="8">
        <v>7.2500000000000009E-2</v>
      </c>
      <c r="F426" t="s">
        <v>487</v>
      </c>
      <c r="G426">
        <v>211</v>
      </c>
      <c r="H426" t="s">
        <v>35</v>
      </c>
      <c r="I426" t="s">
        <v>36</v>
      </c>
      <c r="J426" t="s">
        <v>37</v>
      </c>
      <c r="K426" t="s">
        <v>28</v>
      </c>
      <c r="L426">
        <v>2017</v>
      </c>
      <c r="M426" t="s">
        <v>38</v>
      </c>
      <c r="N426" t="s">
        <v>32</v>
      </c>
    </row>
    <row r="427" spans="1:14" x14ac:dyDescent="0.2">
      <c r="A427">
        <v>444882790</v>
      </c>
      <c r="B427" t="s">
        <v>41</v>
      </c>
      <c r="C427" t="s">
        <v>207</v>
      </c>
      <c r="D427" t="s">
        <v>562</v>
      </c>
      <c r="E427" s="8">
        <v>0.24833333333333335</v>
      </c>
      <c r="F427" t="s">
        <v>487</v>
      </c>
      <c r="G427">
        <v>211</v>
      </c>
      <c r="H427" t="s">
        <v>35</v>
      </c>
      <c r="I427" t="s">
        <v>36</v>
      </c>
      <c r="J427" t="s">
        <v>37</v>
      </c>
      <c r="K427" t="s">
        <v>28</v>
      </c>
      <c r="L427">
        <v>2017</v>
      </c>
      <c r="M427" t="s">
        <v>38</v>
      </c>
      <c r="N427" t="s">
        <v>32</v>
      </c>
    </row>
    <row r="428" spans="1:14" x14ac:dyDescent="0.2">
      <c r="A428">
        <v>444882790</v>
      </c>
      <c r="B428" t="s">
        <v>41</v>
      </c>
      <c r="C428" t="s">
        <v>221</v>
      </c>
      <c r="D428" t="s">
        <v>563</v>
      </c>
      <c r="E428" s="8">
        <v>0.36000000000000004</v>
      </c>
      <c r="F428" t="s">
        <v>487</v>
      </c>
      <c r="G428">
        <v>211</v>
      </c>
      <c r="H428" t="s">
        <v>35</v>
      </c>
      <c r="I428" t="s">
        <v>36</v>
      </c>
      <c r="J428" t="s">
        <v>37</v>
      </c>
      <c r="K428" t="s">
        <v>28</v>
      </c>
      <c r="L428">
        <v>2017</v>
      </c>
      <c r="M428" t="s">
        <v>38</v>
      </c>
      <c r="N428" t="s">
        <v>32</v>
      </c>
    </row>
    <row r="429" spans="1:14" x14ac:dyDescent="0.2">
      <c r="A429">
        <v>444882790</v>
      </c>
      <c r="B429" t="s">
        <v>42</v>
      </c>
      <c r="C429" t="s">
        <v>159</v>
      </c>
      <c r="D429" t="s">
        <v>564</v>
      </c>
      <c r="E429" s="8">
        <v>0.14000000000000001</v>
      </c>
      <c r="F429" t="s">
        <v>487</v>
      </c>
      <c r="G429">
        <v>211</v>
      </c>
      <c r="H429" t="s">
        <v>35</v>
      </c>
      <c r="I429" t="s">
        <v>36</v>
      </c>
      <c r="J429" t="s">
        <v>37</v>
      </c>
      <c r="K429" t="s">
        <v>28</v>
      </c>
      <c r="L429">
        <v>2017</v>
      </c>
      <c r="M429" t="s">
        <v>38</v>
      </c>
      <c r="N429" t="s">
        <v>32</v>
      </c>
    </row>
    <row r="430" spans="1:14" x14ac:dyDescent="0.2">
      <c r="A430">
        <v>444882790</v>
      </c>
      <c r="B430" t="s">
        <v>42</v>
      </c>
      <c r="C430" t="s">
        <v>135</v>
      </c>
      <c r="D430" t="s">
        <v>565</v>
      </c>
      <c r="E430" s="8">
        <v>0.05</v>
      </c>
      <c r="F430" t="s">
        <v>487</v>
      </c>
      <c r="G430">
        <v>211</v>
      </c>
      <c r="H430" t="s">
        <v>35</v>
      </c>
      <c r="I430" t="s">
        <v>36</v>
      </c>
      <c r="J430" t="s">
        <v>37</v>
      </c>
      <c r="K430" t="s">
        <v>28</v>
      </c>
      <c r="L430">
        <v>2017</v>
      </c>
      <c r="M430" t="s">
        <v>38</v>
      </c>
      <c r="N430" t="s">
        <v>32</v>
      </c>
    </row>
    <row r="431" spans="1:14" x14ac:dyDescent="0.2">
      <c r="A431">
        <v>444882790</v>
      </c>
      <c r="B431" t="s">
        <v>42</v>
      </c>
      <c r="C431" t="s">
        <v>56</v>
      </c>
      <c r="D431" t="s">
        <v>565</v>
      </c>
      <c r="E431" s="8">
        <v>0.05</v>
      </c>
      <c r="F431" t="s">
        <v>487</v>
      </c>
      <c r="G431">
        <v>211</v>
      </c>
      <c r="H431" t="s">
        <v>35</v>
      </c>
      <c r="I431" t="s">
        <v>36</v>
      </c>
      <c r="J431" t="s">
        <v>37</v>
      </c>
      <c r="K431" t="s">
        <v>28</v>
      </c>
      <c r="L431">
        <v>2017</v>
      </c>
      <c r="M431" t="s">
        <v>38</v>
      </c>
      <c r="N431" t="s">
        <v>32</v>
      </c>
    </row>
    <row r="432" spans="1:14" x14ac:dyDescent="0.2">
      <c r="A432">
        <v>444882790</v>
      </c>
      <c r="B432" t="s">
        <v>42</v>
      </c>
      <c r="C432" t="s">
        <v>155</v>
      </c>
      <c r="D432" t="s">
        <v>564</v>
      </c>
      <c r="E432" s="8">
        <v>0.14000000000000001</v>
      </c>
      <c r="F432" t="s">
        <v>487</v>
      </c>
      <c r="G432">
        <v>211</v>
      </c>
      <c r="H432" t="s">
        <v>35</v>
      </c>
      <c r="I432" t="s">
        <v>36</v>
      </c>
      <c r="J432" t="s">
        <v>37</v>
      </c>
      <c r="K432" t="s">
        <v>28</v>
      </c>
      <c r="L432">
        <v>2017</v>
      </c>
      <c r="M432" t="s">
        <v>38</v>
      </c>
      <c r="N432" t="s">
        <v>32</v>
      </c>
    </row>
    <row r="433" spans="1:14" x14ac:dyDescent="0.2">
      <c r="A433">
        <v>444882790</v>
      </c>
      <c r="B433" t="s">
        <v>479</v>
      </c>
      <c r="C433" t="s">
        <v>57</v>
      </c>
      <c r="D433" t="s">
        <v>566</v>
      </c>
      <c r="E433" s="8">
        <v>0.32666666666666672</v>
      </c>
      <c r="F433" t="s">
        <v>487</v>
      </c>
      <c r="G433">
        <v>211</v>
      </c>
      <c r="H433" t="s">
        <v>35</v>
      </c>
      <c r="I433" t="s">
        <v>36</v>
      </c>
      <c r="J433" t="s">
        <v>37</v>
      </c>
      <c r="K433" t="s">
        <v>28</v>
      </c>
      <c r="L433">
        <v>2017</v>
      </c>
      <c r="M433" t="s">
        <v>38</v>
      </c>
      <c r="N433" t="s">
        <v>32</v>
      </c>
    </row>
    <row r="434" spans="1:14" x14ac:dyDescent="0.2">
      <c r="A434">
        <v>444882790</v>
      </c>
      <c r="B434" t="s">
        <v>479</v>
      </c>
      <c r="C434" t="s">
        <v>58</v>
      </c>
      <c r="D434" t="s">
        <v>567</v>
      </c>
      <c r="E434" s="8">
        <v>0.14000000000000001</v>
      </c>
      <c r="F434" t="s">
        <v>487</v>
      </c>
      <c r="G434">
        <v>211</v>
      </c>
      <c r="H434" t="s">
        <v>35</v>
      </c>
      <c r="I434" t="s">
        <v>36</v>
      </c>
      <c r="J434" t="s">
        <v>37</v>
      </c>
      <c r="K434" t="s">
        <v>28</v>
      </c>
      <c r="L434">
        <v>2017</v>
      </c>
      <c r="M434" t="s">
        <v>38</v>
      </c>
      <c r="N434" t="s">
        <v>32</v>
      </c>
    </row>
    <row r="435" spans="1:14" x14ac:dyDescent="0.2">
      <c r="A435">
        <v>444882790</v>
      </c>
      <c r="B435" t="s">
        <v>480</v>
      </c>
      <c r="C435" t="s">
        <v>456</v>
      </c>
      <c r="D435" t="s">
        <v>568</v>
      </c>
      <c r="E435" s="8">
        <v>8.0000000000000016E-2</v>
      </c>
      <c r="F435" t="s">
        <v>487</v>
      </c>
      <c r="G435">
        <v>211</v>
      </c>
      <c r="H435" t="s">
        <v>35</v>
      </c>
      <c r="I435" t="s">
        <v>36</v>
      </c>
      <c r="J435" t="s">
        <v>37</v>
      </c>
      <c r="K435" t="s">
        <v>28</v>
      </c>
      <c r="L435">
        <v>2017</v>
      </c>
      <c r="M435" t="s">
        <v>38</v>
      </c>
      <c r="N435" t="s">
        <v>32</v>
      </c>
    </row>
    <row r="436" spans="1:14" x14ac:dyDescent="0.2">
      <c r="A436">
        <v>444882790</v>
      </c>
      <c r="B436" t="s">
        <v>480</v>
      </c>
      <c r="C436" t="s">
        <v>452</v>
      </c>
      <c r="D436" t="s">
        <v>568</v>
      </c>
      <c r="E436" s="8">
        <v>8.0000000000000016E-2</v>
      </c>
      <c r="F436" t="s">
        <v>487</v>
      </c>
      <c r="G436">
        <v>211</v>
      </c>
      <c r="H436" t="s">
        <v>35</v>
      </c>
      <c r="I436" t="s">
        <v>36</v>
      </c>
      <c r="J436" t="s">
        <v>37</v>
      </c>
      <c r="K436" t="s">
        <v>28</v>
      </c>
      <c r="L436">
        <v>2017</v>
      </c>
      <c r="M436" t="s">
        <v>38</v>
      </c>
      <c r="N436" t="s">
        <v>32</v>
      </c>
    </row>
    <row r="437" spans="1:14" x14ac:dyDescent="0.2">
      <c r="A437">
        <v>444882790</v>
      </c>
      <c r="B437" t="s">
        <v>481</v>
      </c>
      <c r="C437" t="s">
        <v>533</v>
      </c>
      <c r="D437" t="s">
        <v>569</v>
      </c>
      <c r="E437" s="8">
        <v>0.14000000000000001</v>
      </c>
      <c r="F437" t="s">
        <v>487</v>
      </c>
      <c r="G437">
        <v>211</v>
      </c>
      <c r="H437" t="s">
        <v>35</v>
      </c>
      <c r="I437" t="s">
        <v>36</v>
      </c>
      <c r="J437" t="s">
        <v>37</v>
      </c>
      <c r="K437" t="s">
        <v>28</v>
      </c>
      <c r="L437">
        <v>2017</v>
      </c>
      <c r="M437" t="s">
        <v>38</v>
      </c>
      <c r="N437" t="s">
        <v>32</v>
      </c>
    </row>
    <row r="438" spans="1:14" x14ac:dyDescent="0.2">
      <c r="A438">
        <v>444882790</v>
      </c>
      <c r="B438" t="s">
        <v>481</v>
      </c>
      <c r="C438" t="s">
        <v>106</v>
      </c>
      <c r="D438" t="s">
        <v>569</v>
      </c>
      <c r="E438" s="8">
        <v>0.14000000000000001</v>
      </c>
      <c r="F438" t="s">
        <v>487</v>
      </c>
      <c r="G438">
        <v>211</v>
      </c>
      <c r="H438" t="s">
        <v>35</v>
      </c>
      <c r="I438" t="s">
        <v>36</v>
      </c>
      <c r="J438" t="s">
        <v>37</v>
      </c>
      <c r="K438" t="s">
        <v>28</v>
      </c>
      <c r="L438">
        <v>2017</v>
      </c>
      <c r="M438" t="s">
        <v>38</v>
      </c>
      <c r="N438" t="s">
        <v>32</v>
      </c>
    </row>
    <row r="439" spans="1:14" x14ac:dyDescent="0.2">
      <c r="A439">
        <v>444882790</v>
      </c>
      <c r="B439" t="s">
        <v>43</v>
      </c>
      <c r="C439" t="s">
        <v>59</v>
      </c>
      <c r="D439" t="s">
        <v>570</v>
      </c>
      <c r="E439" s="8">
        <v>0.10400000000000001</v>
      </c>
      <c r="F439" t="s">
        <v>487</v>
      </c>
      <c r="G439">
        <v>211</v>
      </c>
      <c r="H439" t="s">
        <v>35</v>
      </c>
      <c r="I439" t="s">
        <v>36</v>
      </c>
      <c r="J439" t="s">
        <v>37</v>
      </c>
      <c r="K439" t="s">
        <v>28</v>
      </c>
      <c r="L439">
        <v>2017</v>
      </c>
      <c r="M439" t="s">
        <v>38</v>
      </c>
      <c r="N439" t="s">
        <v>32</v>
      </c>
    </row>
    <row r="440" spans="1:14" x14ac:dyDescent="0.2">
      <c r="A440">
        <v>444882790</v>
      </c>
      <c r="B440" t="s">
        <v>482</v>
      </c>
      <c r="C440" t="s">
        <v>436</v>
      </c>
      <c r="D440" t="s">
        <v>561</v>
      </c>
      <c r="E440" s="8">
        <v>0.32428571428571429</v>
      </c>
      <c r="F440" t="s">
        <v>487</v>
      </c>
      <c r="G440">
        <v>211</v>
      </c>
      <c r="H440" t="s">
        <v>35</v>
      </c>
      <c r="I440" t="s">
        <v>36</v>
      </c>
      <c r="J440" t="s">
        <v>37</v>
      </c>
      <c r="K440" t="s">
        <v>28</v>
      </c>
      <c r="L440">
        <v>2017</v>
      </c>
      <c r="M440" t="s">
        <v>38</v>
      </c>
      <c r="N440" t="s">
        <v>32</v>
      </c>
    </row>
    <row r="441" spans="1:14" x14ac:dyDescent="0.2">
      <c r="A441">
        <v>444882790</v>
      </c>
      <c r="B441" t="s">
        <v>482</v>
      </c>
      <c r="C441" t="s">
        <v>436</v>
      </c>
      <c r="D441" t="s">
        <v>561</v>
      </c>
      <c r="E441" s="8">
        <v>0.22</v>
      </c>
      <c r="F441" t="s">
        <v>487</v>
      </c>
      <c r="G441">
        <v>211</v>
      </c>
      <c r="H441" t="s">
        <v>35</v>
      </c>
      <c r="I441" t="s">
        <v>36</v>
      </c>
      <c r="J441" t="s">
        <v>37</v>
      </c>
      <c r="K441" t="s">
        <v>28</v>
      </c>
      <c r="L441">
        <v>2017</v>
      </c>
      <c r="M441" t="s">
        <v>38</v>
      </c>
      <c r="N441" t="s">
        <v>32</v>
      </c>
    </row>
    <row r="442" spans="1:14" x14ac:dyDescent="0.2">
      <c r="A442">
        <v>444882790</v>
      </c>
      <c r="B442" t="s">
        <v>483</v>
      </c>
      <c r="C442" t="s">
        <v>197</v>
      </c>
      <c r="D442" t="s">
        <v>556</v>
      </c>
      <c r="E442" s="8">
        <v>0.05</v>
      </c>
      <c r="F442" t="s">
        <v>487</v>
      </c>
      <c r="G442">
        <v>211</v>
      </c>
      <c r="H442" t="s">
        <v>35</v>
      </c>
      <c r="I442" t="s">
        <v>36</v>
      </c>
      <c r="J442" t="s">
        <v>37</v>
      </c>
      <c r="K442" t="s">
        <v>28</v>
      </c>
      <c r="L442">
        <v>2017</v>
      </c>
      <c r="M442" t="s">
        <v>38</v>
      </c>
      <c r="N442" t="s">
        <v>32</v>
      </c>
    </row>
    <row r="443" spans="1:14" x14ac:dyDescent="0.2">
      <c r="A443">
        <v>444882790</v>
      </c>
      <c r="B443" t="s">
        <v>483</v>
      </c>
      <c r="C443" t="s">
        <v>196</v>
      </c>
      <c r="D443" t="s">
        <v>557</v>
      </c>
      <c r="E443" s="8">
        <v>0.14000000000000001</v>
      </c>
      <c r="F443" t="s">
        <v>487</v>
      </c>
      <c r="G443">
        <v>211</v>
      </c>
      <c r="H443" t="s">
        <v>35</v>
      </c>
      <c r="I443" t="s">
        <v>36</v>
      </c>
      <c r="J443" t="s">
        <v>37</v>
      </c>
      <c r="K443" t="s">
        <v>28</v>
      </c>
      <c r="L443">
        <v>2017</v>
      </c>
      <c r="M443" t="s">
        <v>38</v>
      </c>
      <c r="N443" t="s">
        <v>32</v>
      </c>
    </row>
    <row r="444" spans="1:14" x14ac:dyDescent="0.2">
      <c r="A444">
        <v>444882790</v>
      </c>
      <c r="B444" t="s">
        <v>483</v>
      </c>
      <c r="C444" t="s">
        <v>197</v>
      </c>
      <c r="D444" t="s">
        <v>556</v>
      </c>
      <c r="E444" s="8">
        <v>8.0000000000000016E-2</v>
      </c>
      <c r="F444" t="s">
        <v>487</v>
      </c>
      <c r="G444">
        <v>211</v>
      </c>
      <c r="H444" t="s">
        <v>35</v>
      </c>
      <c r="I444" t="s">
        <v>36</v>
      </c>
      <c r="J444" t="s">
        <v>37</v>
      </c>
      <c r="K444" t="s">
        <v>28</v>
      </c>
      <c r="L444">
        <v>2017</v>
      </c>
      <c r="M444" t="s">
        <v>38</v>
      </c>
      <c r="N444" t="s">
        <v>32</v>
      </c>
    </row>
    <row r="445" spans="1:14" x14ac:dyDescent="0.2">
      <c r="A445">
        <v>444882790</v>
      </c>
      <c r="B445" t="s">
        <v>483</v>
      </c>
      <c r="C445" t="s">
        <v>196</v>
      </c>
      <c r="D445" t="s">
        <v>557</v>
      </c>
      <c r="E445" s="8">
        <v>0.27200000000000002</v>
      </c>
      <c r="F445" t="s">
        <v>487</v>
      </c>
      <c r="G445">
        <v>211</v>
      </c>
      <c r="H445" t="s">
        <v>35</v>
      </c>
      <c r="I445" t="s">
        <v>36</v>
      </c>
      <c r="J445" t="s">
        <v>37</v>
      </c>
      <c r="K445" t="s">
        <v>28</v>
      </c>
      <c r="L445">
        <v>2017</v>
      </c>
      <c r="M445" t="s">
        <v>38</v>
      </c>
      <c r="N445" t="s">
        <v>32</v>
      </c>
    </row>
    <row r="446" spans="1:14" x14ac:dyDescent="0.2">
      <c r="A446">
        <v>444882790</v>
      </c>
      <c r="B446" t="s">
        <v>483</v>
      </c>
      <c r="C446" t="s">
        <v>197</v>
      </c>
      <c r="D446" t="s">
        <v>556</v>
      </c>
      <c r="E446" s="8">
        <v>0.36000000000000004</v>
      </c>
      <c r="F446" t="s">
        <v>487</v>
      </c>
      <c r="G446">
        <v>211</v>
      </c>
      <c r="H446" t="s">
        <v>35</v>
      </c>
      <c r="I446" t="s">
        <v>36</v>
      </c>
      <c r="J446" t="s">
        <v>37</v>
      </c>
      <c r="K446" t="s">
        <v>28</v>
      </c>
      <c r="L446">
        <v>2017</v>
      </c>
      <c r="M446" t="s">
        <v>38</v>
      </c>
      <c r="N446" t="s">
        <v>32</v>
      </c>
    </row>
    <row r="447" spans="1:14" x14ac:dyDescent="0.2">
      <c r="A447">
        <v>444882790</v>
      </c>
      <c r="B447" t="s">
        <v>484</v>
      </c>
      <c r="C447" t="s">
        <v>497</v>
      </c>
      <c r="D447" t="s">
        <v>558</v>
      </c>
      <c r="E447" s="8">
        <v>8.0000000000000016E-2</v>
      </c>
      <c r="F447" t="s">
        <v>487</v>
      </c>
      <c r="G447">
        <v>211</v>
      </c>
      <c r="H447" t="s">
        <v>35</v>
      </c>
      <c r="I447" t="s">
        <v>36</v>
      </c>
      <c r="J447" t="s">
        <v>37</v>
      </c>
      <c r="K447" t="s">
        <v>28</v>
      </c>
      <c r="L447">
        <v>2017</v>
      </c>
      <c r="M447" t="s">
        <v>38</v>
      </c>
      <c r="N447" t="s">
        <v>32</v>
      </c>
    </row>
    <row r="448" spans="1:14" x14ac:dyDescent="0.2">
      <c r="A448">
        <v>444882790</v>
      </c>
      <c r="B448" t="s">
        <v>484</v>
      </c>
      <c r="C448" t="s">
        <v>500</v>
      </c>
      <c r="D448" t="s">
        <v>558</v>
      </c>
      <c r="E448" s="8">
        <v>0.09</v>
      </c>
      <c r="F448" t="s">
        <v>487</v>
      </c>
      <c r="G448">
        <v>211</v>
      </c>
      <c r="H448" t="s">
        <v>35</v>
      </c>
      <c r="I448" t="s">
        <v>36</v>
      </c>
      <c r="J448" t="s">
        <v>37</v>
      </c>
      <c r="K448" t="s">
        <v>28</v>
      </c>
      <c r="L448">
        <v>2017</v>
      </c>
      <c r="M448" t="s">
        <v>38</v>
      </c>
      <c r="N448" t="s">
        <v>32</v>
      </c>
    </row>
    <row r="449" spans="1:14" x14ac:dyDescent="0.2">
      <c r="A449">
        <v>444882790</v>
      </c>
      <c r="B449" t="s">
        <v>484</v>
      </c>
      <c r="C449" t="s">
        <v>501</v>
      </c>
      <c r="D449" t="s">
        <v>558</v>
      </c>
      <c r="E449" s="8">
        <v>0.24374999999999999</v>
      </c>
      <c r="F449" t="s">
        <v>487</v>
      </c>
      <c r="G449">
        <v>211</v>
      </c>
      <c r="H449" t="s">
        <v>35</v>
      </c>
      <c r="I449" t="s">
        <v>36</v>
      </c>
      <c r="J449" t="s">
        <v>37</v>
      </c>
      <c r="K449" t="s">
        <v>28</v>
      </c>
      <c r="L449">
        <v>2017</v>
      </c>
      <c r="M449" t="s">
        <v>38</v>
      </c>
      <c r="N449" t="s">
        <v>32</v>
      </c>
    </row>
    <row r="450" spans="1:14" x14ac:dyDescent="0.2">
      <c r="A450">
        <v>444882790</v>
      </c>
      <c r="B450" t="s">
        <v>485</v>
      </c>
      <c r="C450" t="s">
        <v>346</v>
      </c>
      <c r="D450" t="s">
        <v>559</v>
      </c>
      <c r="E450" s="8">
        <v>0.14000000000000001</v>
      </c>
      <c r="F450" t="s">
        <v>487</v>
      </c>
      <c r="G450">
        <v>211</v>
      </c>
      <c r="H450" t="s">
        <v>35</v>
      </c>
      <c r="I450" t="s">
        <v>36</v>
      </c>
      <c r="J450" t="s">
        <v>37</v>
      </c>
      <c r="K450" t="s">
        <v>28</v>
      </c>
      <c r="L450">
        <v>2017</v>
      </c>
      <c r="M450" t="s">
        <v>38</v>
      </c>
      <c r="N450" t="s">
        <v>32</v>
      </c>
    </row>
    <row r="451" spans="1:14" x14ac:dyDescent="0.2">
      <c r="A451">
        <v>444882790</v>
      </c>
      <c r="B451" t="s">
        <v>485</v>
      </c>
      <c r="C451" t="s">
        <v>342</v>
      </c>
      <c r="D451" t="s">
        <v>559</v>
      </c>
      <c r="E451" s="8">
        <v>0.42000000000000004</v>
      </c>
      <c r="F451" t="s">
        <v>487</v>
      </c>
      <c r="G451">
        <v>211</v>
      </c>
      <c r="H451" t="s">
        <v>35</v>
      </c>
      <c r="I451" t="s">
        <v>36</v>
      </c>
      <c r="J451" t="s">
        <v>37</v>
      </c>
      <c r="K451" t="s">
        <v>28</v>
      </c>
      <c r="L451">
        <v>2017</v>
      </c>
      <c r="M451" t="s">
        <v>38</v>
      </c>
      <c r="N451" t="s">
        <v>32</v>
      </c>
    </row>
    <row r="452" spans="1:14" x14ac:dyDescent="0.2">
      <c r="A452">
        <v>528297980</v>
      </c>
      <c r="B452" t="s">
        <v>478</v>
      </c>
      <c r="C452" t="s">
        <v>276</v>
      </c>
      <c r="D452" t="s">
        <v>546</v>
      </c>
      <c r="E452" s="8">
        <v>0.62</v>
      </c>
      <c r="F452" t="s">
        <v>487</v>
      </c>
      <c r="G452">
        <v>211</v>
      </c>
      <c r="H452" t="s">
        <v>35</v>
      </c>
      <c r="I452" t="s">
        <v>36</v>
      </c>
      <c r="J452" t="s">
        <v>37</v>
      </c>
      <c r="K452" t="s">
        <v>28</v>
      </c>
      <c r="L452">
        <v>2017</v>
      </c>
      <c r="M452" t="s">
        <v>38</v>
      </c>
      <c r="N452" t="s">
        <v>32</v>
      </c>
    </row>
    <row r="453" spans="1:14" x14ac:dyDescent="0.2">
      <c r="A453">
        <v>528297980</v>
      </c>
      <c r="B453" t="s">
        <v>478</v>
      </c>
      <c r="C453" t="s">
        <v>247</v>
      </c>
      <c r="D453" t="s">
        <v>546</v>
      </c>
      <c r="E453" s="8">
        <v>0.6160000000000001</v>
      </c>
      <c r="F453" t="s">
        <v>487</v>
      </c>
      <c r="G453">
        <v>211</v>
      </c>
      <c r="H453" t="s">
        <v>35</v>
      </c>
      <c r="I453" t="s">
        <v>36</v>
      </c>
      <c r="J453" t="s">
        <v>37</v>
      </c>
      <c r="K453" t="s">
        <v>28</v>
      </c>
      <c r="L453">
        <v>2017</v>
      </c>
      <c r="M453" t="s">
        <v>38</v>
      </c>
      <c r="N453" t="s">
        <v>32</v>
      </c>
    </row>
    <row r="454" spans="1:14" x14ac:dyDescent="0.2">
      <c r="A454">
        <v>528297980</v>
      </c>
      <c r="B454" t="s">
        <v>40</v>
      </c>
      <c r="C454" t="s">
        <v>435</v>
      </c>
      <c r="D454" t="s">
        <v>560</v>
      </c>
      <c r="E454" s="8">
        <v>0.58000000000000007</v>
      </c>
      <c r="F454" t="s">
        <v>487</v>
      </c>
      <c r="G454">
        <v>211</v>
      </c>
      <c r="H454" t="s">
        <v>35</v>
      </c>
      <c r="I454" t="s">
        <v>36</v>
      </c>
      <c r="J454" t="s">
        <v>37</v>
      </c>
      <c r="K454" t="s">
        <v>28</v>
      </c>
      <c r="L454">
        <v>2017</v>
      </c>
      <c r="M454" t="s">
        <v>38</v>
      </c>
      <c r="N454" t="s">
        <v>32</v>
      </c>
    </row>
    <row r="455" spans="1:14" x14ac:dyDescent="0.2">
      <c r="A455">
        <v>528297980</v>
      </c>
      <c r="B455" t="s">
        <v>40</v>
      </c>
      <c r="C455" t="s">
        <v>393</v>
      </c>
      <c r="D455" t="s">
        <v>560</v>
      </c>
      <c r="E455" s="8">
        <v>0.72000000000000008</v>
      </c>
      <c r="F455" t="s">
        <v>487</v>
      </c>
      <c r="G455">
        <v>211</v>
      </c>
      <c r="H455" t="s">
        <v>35</v>
      </c>
      <c r="I455" t="s">
        <v>36</v>
      </c>
      <c r="J455" t="s">
        <v>37</v>
      </c>
      <c r="K455" t="s">
        <v>28</v>
      </c>
      <c r="L455">
        <v>2017</v>
      </c>
      <c r="M455" t="s">
        <v>38</v>
      </c>
      <c r="N455" t="s">
        <v>32</v>
      </c>
    </row>
    <row r="456" spans="1:14" x14ac:dyDescent="0.2">
      <c r="A456">
        <v>528297980</v>
      </c>
      <c r="B456" t="s">
        <v>41</v>
      </c>
      <c r="C456" t="s">
        <v>212</v>
      </c>
      <c r="D456" t="s">
        <v>562</v>
      </c>
      <c r="E456" s="8">
        <v>0.59000000000000008</v>
      </c>
      <c r="F456" t="s">
        <v>487</v>
      </c>
      <c r="G456">
        <v>211</v>
      </c>
      <c r="H456" t="s">
        <v>35</v>
      </c>
      <c r="I456" t="s">
        <v>36</v>
      </c>
      <c r="J456" t="s">
        <v>37</v>
      </c>
      <c r="K456" t="s">
        <v>28</v>
      </c>
      <c r="L456">
        <v>2017</v>
      </c>
      <c r="M456" t="s">
        <v>38</v>
      </c>
      <c r="N456" t="s">
        <v>32</v>
      </c>
    </row>
    <row r="457" spans="1:14" x14ac:dyDescent="0.2">
      <c r="A457">
        <v>528297980</v>
      </c>
      <c r="B457" t="s">
        <v>41</v>
      </c>
      <c r="C457" t="s">
        <v>207</v>
      </c>
      <c r="D457" t="s">
        <v>562</v>
      </c>
      <c r="E457" s="8">
        <v>0.66333333333333344</v>
      </c>
      <c r="F457" t="s">
        <v>487</v>
      </c>
      <c r="G457">
        <v>211</v>
      </c>
      <c r="H457" t="s">
        <v>35</v>
      </c>
      <c r="I457" t="s">
        <v>36</v>
      </c>
      <c r="J457" t="s">
        <v>37</v>
      </c>
      <c r="K457" t="s">
        <v>28</v>
      </c>
      <c r="L457">
        <v>2017</v>
      </c>
      <c r="M457" t="s">
        <v>38</v>
      </c>
      <c r="N457" t="s">
        <v>32</v>
      </c>
    </row>
    <row r="458" spans="1:14" x14ac:dyDescent="0.2">
      <c r="A458">
        <v>528297980</v>
      </c>
      <c r="B458" t="s">
        <v>41</v>
      </c>
      <c r="C458" t="s">
        <v>221</v>
      </c>
      <c r="D458" t="s">
        <v>563</v>
      </c>
      <c r="E458" s="8">
        <v>0.61333333333333329</v>
      </c>
      <c r="F458" t="s">
        <v>487</v>
      </c>
      <c r="G458">
        <v>211</v>
      </c>
      <c r="H458" t="s">
        <v>35</v>
      </c>
      <c r="I458" t="s">
        <v>36</v>
      </c>
      <c r="J458" t="s">
        <v>37</v>
      </c>
      <c r="K458" t="s">
        <v>28</v>
      </c>
      <c r="L458">
        <v>2017</v>
      </c>
      <c r="M458" t="s">
        <v>38</v>
      </c>
      <c r="N458" t="s">
        <v>32</v>
      </c>
    </row>
    <row r="459" spans="1:14" x14ac:dyDescent="0.2">
      <c r="A459">
        <v>528297980</v>
      </c>
      <c r="B459" t="s">
        <v>42</v>
      </c>
      <c r="C459" t="s">
        <v>159</v>
      </c>
      <c r="D459" t="s">
        <v>564</v>
      </c>
      <c r="E459" s="8">
        <v>0.62</v>
      </c>
      <c r="F459" t="s">
        <v>487</v>
      </c>
      <c r="G459">
        <v>211</v>
      </c>
      <c r="H459" t="s">
        <v>35</v>
      </c>
      <c r="I459" t="s">
        <v>36</v>
      </c>
      <c r="J459" t="s">
        <v>37</v>
      </c>
      <c r="K459" t="s">
        <v>28</v>
      </c>
      <c r="L459">
        <v>2017</v>
      </c>
      <c r="M459" t="s">
        <v>38</v>
      </c>
      <c r="N459" t="s">
        <v>32</v>
      </c>
    </row>
    <row r="460" spans="1:14" x14ac:dyDescent="0.2">
      <c r="A460">
        <v>528297980</v>
      </c>
      <c r="B460" t="s">
        <v>42</v>
      </c>
      <c r="C460" t="s">
        <v>135</v>
      </c>
      <c r="D460" t="s">
        <v>565</v>
      </c>
      <c r="E460" s="8">
        <v>0.58000000000000007</v>
      </c>
      <c r="F460" t="s">
        <v>487</v>
      </c>
      <c r="G460">
        <v>211</v>
      </c>
      <c r="H460" t="s">
        <v>35</v>
      </c>
      <c r="I460" t="s">
        <v>36</v>
      </c>
      <c r="J460" t="s">
        <v>37</v>
      </c>
      <c r="K460" t="s">
        <v>28</v>
      </c>
      <c r="L460">
        <v>2017</v>
      </c>
      <c r="M460" t="s">
        <v>38</v>
      </c>
      <c r="N460" t="s">
        <v>32</v>
      </c>
    </row>
    <row r="461" spans="1:14" x14ac:dyDescent="0.2">
      <c r="A461">
        <v>528297980</v>
      </c>
      <c r="B461" t="s">
        <v>42</v>
      </c>
      <c r="C461" t="s">
        <v>56</v>
      </c>
      <c r="D461" t="s">
        <v>565</v>
      </c>
      <c r="E461" s="8">
        <v>0.58000000000000007</v>
      </c>
      <c r="F461" t="s">
        <v>487</v>
      </c>
      <c r="G461">
        <v>211</v>
      </c>
      <c r="H461" t="s">
        <v>35</v>
      </c>
      <c r="I461" t="s">
        <v>36</v>
      </c>
      <c r="J461" t="s">
        <v>37</v>
      </c>
      <c r="K461" t="s">
        <v>28</v>
      </c>
      <c r="L461">
        <v>2017</v>
      </c>
      <c r="M461" t="s">
        <v>38</v>
      </c>
      <c r="N461" t="s">
        <v>32</v>
      </c>
    </row>
    <row r="462" spans="1:14" x14ac:dyDescent="0.2">
      <c r="A462">
        <v>528297980</v>
      </c>
      <c r="B462" t="s">
        <v>42</v>
      </c>
      <c r="C462" t="s">
        <v>155</v>
      </c>
      <c r="D462" t="s">
        <v>564</v>
      </c>
      <c r="E462" s="8">
        <v>0.62</v>
      </c>
      <c r="F462" t="s">
        <v>487</v>
      </c>
      <c r="G462">
        <v>211</v>
      </c>
      <c r="H462" t="s">
        <v>35</v>
      </c>
      <c r="I462" t="s">
        <v>36</v>
      </c>
      <c r="J462" t="s">
        <v>37</v>
      </c>
      <c r="K462" t="s">
        <v>28</v>
      </c>
      <c r="L462">
        <v>2017</v>
      </c>
      <c r="M462" t="s">
        <v>38</v>
      </c>
      <c r="N462" t="s">
        <v>32</v>
      </c>
    </row>
    <row r="463" spans="1:14" x14ac:dyDescent="0.2">
      <c r="A463">
        <v>528297980</v>
      </c>
      <c r="B463" t="s">
        <v>479</v>
      </c>
      <c r="C463" t="s">
        <v>57</v>
      </c>
      <c r="D463" t="s">
        <v>566</v>
      </c>
      <c r="E463" s="8">
        <v>0.61222222222222222</v>
      </c>
      <c r="F463" t="s">
        <v>487</v>
      </c>
      <c r="G463">
        <v>211</v>
      </c>
      <c r="H463" t="s">
        <v>35</v>
      </c>
      <c r="I463" t="s">
        <v>36</v>
      </c>
      <c r="J463" t="s">
        <v>37</v>
      </c>
      <c r="K463" t="s">
        <v>28</v>
      </c>
      <c r="L463">
        <v>2017</v>
      </c>
      <c r="M463" t="s">
        <v>38</v>
      </c>
      <c r="N463" t="s">
        <v>32</v>
      </c>
    </row>
    <row r="464" spans="1:14" x14ac:dyDescent="0.2">
      <c r="A464">
        <v>528297980</v>
      </c>
      <c r="B464" t="s">
        <v>479</v>
      </c>
      <c r="C464" t="s">
        <v>58</v>
      </c>
      <c r="D464" t="s">
        <v>567</v>
      </c>
      <c r="E464" s="8">
        <v>0.62</v>
      </c>
      <c r="F464" t="s">
        <v>487</v>
      </c>
      <c r="G464">
        <v>211</v>
      </c>
      <c r="H464" t="s">
        <v>35</v>
      </c>
      <c r="I464" t="s">
        <v>36</v>
      </c>
      <c r="J464" t="s">
        <v>37</v>
      </c>
      <c r="K464" t="s">
        <v>28</v>
      </c>
      <c r="L464">
        <v>2017</v>
      </c>
      <c r="M464" t="s">
        <v>38</v>
      </c>
      <c r="N464" t="s">
        <v>32</v>
      </c>
    </row>
    <row r="465" spans="1:14" x14ac:dyDescent="0.2">
      <c r="A465">
        <v>528297980</v>
      </c>
      <c r="B465" t="s">
        <v>480</v>
      </c>
      <c r="C465" t="s">
        <v>456</v>
      </c>
      <c r="D465" t="s">
        <v>568</v>
      </c>
      <c r="E465" s="8">
        <v>0.59333333333333338</v>
      </c>
      <c r="F465" t="s">
        <v>487</v>
      </c>
      <c r="G465">
        <v>211</v>
      </c>
      <c r="H465" t="s">
        <v>35</v>
      </c>
      <c r="I465" t="s">
        <v>36</v>
      </c>
      <c r="J465" t="s">
        <v>37</v>
      </c>
      <c r="K465" t="s">
        <v>28</v>
      </c>
      <c r="L465">
        <v>2017</v>
      </c>
      <c r="M465" t="s">
        <v>38</v>
      </c>
      <c r="N465" t="s">
        <v>32</v>
      </c>
    </row>
    <row r="466" spans="1:14" x14ac:dyDescent="0.2">
      <c r="A466">
        <v>528297980</v>
      </c>
      <c r="B466" t="s">
        <v>480</v>
      </c>
      <c r="C466" t="s">
        <v>452</v>
      </c>
      <c r="D466" t="s">
        <v>568</v>
      </c>
      <c r="E466" s="8">
        <v>0.59333333333333338</v>
      </c>
      <c r="F466" t="s">
        <v>487</v>
      </c>
      <c r="G466">
        <v>211</v>
      </c>
      <c r="H466" t="s">
        <v>35</v>
      </c>
      <c r="I466" t="s">
        <v>36</v>
      </c>
      <c r="J466" t="s">
        <v>37</v>
      </c>
      <c r="K466" t="s">
        <v>28</v>
      </c>
      <c r="L466">
        <v>2017</v>
      </c>
      <c r="M466" t="s">
        <v>38</v>
      </c>
      <c r="N466" t="s">
        <v>32</v>
      </c>
    </row>
    <row r="467" spans="1:14" x14ac:dyDescent="0.2">
      <c r="A467">
        <v>528297980</v>
      </c>
      <c r="B467" t="s">
        <v>481</v>
      </c>
      <c r="C467" t="s">
        <v>533</v>
      </c>
      <c r="D467" t="s">
        <v>569</v>
      </c>
      <c r="E467" s="8">
        <v>0.62</v>
      </c>
      <c r="F467" t="s">
        <v>487</v>
      </c>
      <c r="G467">
        <v>211</v>
      </c>
      <c r="H467" t="s">
        <v>35</v>
      </c>
      <c r="I467" t="s">
        <v>36</v>
      </c>
      <c r="J467" t="s">
        <v>37</v>
      </c>
      <c r="K467" t="s">
        <v>28</v>
      </c>
      <c r="L467">
        <v>2017</v>
      </c>
      <c r="M467" t="s">
        <v>38</v>
      </c>
      <c r="N467" t="s">
        <v>32</v>
      </c>
    </row>
    <row r="468" spans="1:14" x14ac:dyDescent="0.2">
      <c r="A468">
        <v>528297980</v>
      </c>
      <c r="B468" t="s">
        <v>481</v>
      </c>
      <c r="C468" t="s">
        <v>106</v>
      </c>
      <c r="D468" t="s">
        <v>569</v>
      </c>
      <c r="E468" s="8">
        <v>0.62</v>
      </c>
      <c r="F468" t="s">
        <v>487</v>
      </c>
      <c r="G468">
        <v>211</v>
      </c>
      <c r="H468" t="s">
        <v>35</v>
      </c>
      <c r="I468" t="s">
        <v>36</v>
      </c>
      <c r="J468" t="s">
        <v>37</v>
      </c>
      <c r="K468" t="s">
        <v>28</v>
      </c>
      <c r="L468">
        <v>2017</v>
      </c>
      <c r="M468" t="s">
        <v>38</v>
      </c>
      <c r="N468" t="s">
        <v>32</v>
      </c>
    </row>
    <row r="469" spans="1:14" x14ac:dyDescent="0.2">
      <c r="A469">
        <v>528297980</v>
      </c>
      <c r="B469" t="s">
        <v>43</v>
      </c>
      <c r="C469" t="s">
        <v>59</v>
      </c>
      <c r="D469" t="s">
        <v>570</v>
      </c>
      <c r="E469" s="8">
        <v>0.60400000000000009</v>
      </c>
      <c r="F469" t="s">
        <v>487</v>
      </c>
      <c r="G469">
        <v>211</v>
      </c>
      <c r="H469" t="s">
        <v>35</v>
      </c>
      <c r="I469" t="s">
        <v>36</v>
      </c>
      <c r="J469" t="s">
        <v>37</v>
      </c>
      <c r="K469" t="s">
        <v>28</v>
      </c>
      <c r="L469">
        <v>2017</v>
      </c>
      <c r="M469" t="s">
        <v>38</v>
      </c>
      <c r="N469" t="s">
        <v>32</v>
      </c>
    </row>
    <row r="470" spans="1:14" x14ac:dyDescent="0.2">
      <c r="A470">
        <v>528297980</v>
      </c>
      <c r="B470" t="s">
        <v>482</v>
      </c>
      <c r="C470" t="s">
        <v>436</v>
      </c>
      <c r="D470" t="s">
        <v>561</v>
      </c>
      <c r="E470" s="8">
        <v>0.57285714285714284</v>
      </c>
      <c r="F470" t="s">
        <v>487</v>
      </c>
      <c r="G470">
        <v>211</v>
      </c>
      <c r="H470" t="s">
        <v>35</v>
      </c>
      <c r="I470" t="s">
        <v>36</v>
      </c>
      <c r="J470" t="s">
        <v>37</v>
      </c>
      <c r="K470" t="s">
        <v>28</v>
      </c>
      <c r="L470">
        <v>2017</v>
      </c>
      <c r="M470" t="s">
        <v>38</v>
      </c>
      <c r="N470" t="s">
        <v>32</v>
      </c>
    </row>
    <row r="471" spans="1:14" x14ac:dyDescent="0.2">
      <c r="A471">
        <v>528297980</v>
      </c>
      <c r="B471" t="s">
        <v>482</v>
      </c>
      <c r="C471" t="s">
        <v>436</v>
      </c>
      <c r="D471" t="s">
        <v>561</v>
      </c>
      <c r="E471" s="8">
        <v>0.62400000000000011</v>
      </c>
      <c r="F471" t="s">
        <v>487</v>
      </c>
      <c r="G471">
        <v>211</v>
      </c>
      <c r="H471" t="s">
        <v>35</v>
      </c>
      <c r="I471" t="s">
        <v>36</v>
      </c>
      <c r="J471" t="s">
        <v>37</v>
      </c>
      <c r="K471" t="s">
        <v>28</v>
      </c>
      <c r="L471">
        <v>2017</v>
      </c>
      <c r="M471" t="s">
        <v>38</v>
      </c>
      <c r="N471" t="s">
        <v>32</v>
      </c>
    </row>
    <row r="472" spans="1:14" x14ac:dyDescent="0.2">
      <c r="A472">
        <v>528297980</v>
      </c>
      <c r="B472" t="s">
        <v>483</v>
      </c>
      <c r="C472" t="s">
        <v>197</v>
      </c>
      <c r="D472" t="s">
        <v>556</v>
      </c>
      <c r="E472" s="8">
        <v>0.58000000000000007</v>
      </c>
      <c r="F472" t="s">
        <v>487</v>
      </c>
      <c r="G472">
        <v>211</v>
      </c>
      <c r="H472" t="s">
        <v>35</v>
      </c>
      <c r="I472" t="s">
        <v>36</v>
      </c>
      <c r="J472" t="s">
        <v>37</v>
      </c>
      <c r="K472" t="s">
        <v>28</v>
      </c>
      <c r="L472">
        <v>2017</v>
      </c>
      <c r="M472" t="s">
        <v>38</v>
      </c>
      <c r="N472" t="s">
        <v>32</v>
      </c>
    </row>
    <row r="473" spans="1:14" x14ac:dyDescent="0.2">
      <c r="A473">
        <v>528297980</v>
      </c>
      <c r="B473" t="s">
        <v>483</v>
      </c>
      <c r="C473" t="s">
        <v>196</v>
      </c>
      <c r="D473" t="s">
        <v>557</v>
      </c>
      <c r="E473" s="8">
        <v>0.62</v>
      </c>
      <c r="F473" t="s">
        <v>487</v>
      </c>
      <c r="G473">
        <v>211</v>
      </c>
      <c r="H473" t="s">
        <v>35</v>
      </c>
      <c r="I473" t="s">
        <v>36</v>
      </c>
      <c r="J473" t="s">
        <v>37</v>
      </c>
      <c r="K473" t="s">
        <v>28</v>
      </c>
      <c r="L473">
        <v>2017</v>
      </c>
      <c r="M473" t="s">
        <v>38</v>
      </c>
      <c r="N473" t="s">
        <v>32</v>
      </c>
    </row>
    <row r="474" spans="1:14" x14ac:dyDescent="0.2">
      <c r="A474">
        <v>528297980</v>
      </c>
      <c r="B474" t="s">
        <v>483</v>
      </c>
      <c r="C474" t="s">
        <v>197</v>
      </c>
      <c r="D474" t="s">
        <v>556</v>
      </c>
      <c r="E474" s="8">
        <v>0.59333333333333338</v>
      </c>
      <c r="F474" t="s">
        <v>487</v>
      </c>
      <c r="G474">
        <v>211</v>
      </c>
      <c r="H474" t="s">
        <v>35</v>
      </c>
      <c r="I474" t="s">
        <v>36</v>
      </c>
      <c r="J474" t="s">
        <v>37</v>
      </c>
      <c r="K474" t="s">
        <v>28</v>
      </c>
      <c r="L474">
        <v>2017</v>
      </c>
      <c r="M474" t="s">
        <v>38</v>
      </c>
      <c r="N474" t="s">
        <v>32</v>
      </c>
    </row>
    <row r="475" spans="1:14" x14ac:dyDescent="0.2">
      <c r="A475">
        <v>528297980</v>
      </c>
      <c r="B475" t="s">
        <v>483</v>
      </c>
      <c r="C475" t="s">
        <v>196</v>
      </c>
      <c r="D475" t="s">
        <v>557</v>
      </c>
      <c r="E475" s="8">
        <v>0.61599999999999999</v>
      </c>
      <c r="F475" t="s">
        <v>487</v>
      </c>
      <c r="G475">
        <v>211</v>
      </c>
      <c r="H475" t="s">
        <v>35</v>
      </c>
      <c r="I475" t="s">
        <v>36</v>
      </c>
      <c r="J475" t="s">
        <v>37</v>
      </c>
      <c r="K475" t="s">
        <v>28</v>
      </c>
      <c r="L475">
        <v>2017</v>
      </c>
      <c r="M475" t="s">
        <v>38</v>
      </c>
      <c r="N475" t="s">
        <v>32</v>
      </c>
    </row>
    <row r="476" spans="1:14" x14ac:dyDescent="0.2">
      <c r="A476">
        <v>528297980</v>
      </c>
      <c r="B476" t="s">
        <v>483</v>
      </c>
      <c r="C476" t="s">
        <v>197</v>
      </c>
      <c r="D476" t="s">
        <v>556</v>
      </c>
      <c r="E476" s="8">
        <v>0.61333333333333329</v>
      </c>
      <c r="F476" t="s">
        <v>487</v>
      </c>
      <c r="G476">
        <v>211</v>
      </c>
      <c r="H476" t="s">
        <v>35</v>
      </c>
      <c r="I476" t="s">
        <v>36</v>
      </c>
      <c r="J476" t="s">
        <v>37</v>
      </c>
      <c r="K476" t="s">
        <v>28</v>
      </c>
      <c r="L476">
        <v>2017</v>
      </c>
      <c r="M476" t="s">
        <v>38</v>
      </c>
      <c r="N476" t="s">
        <v>32</v>
      </c>
    </row>
    <row r="477" spans="1:14" x14ac:dyDescent="0.2">
      <c r="A477">
        <v>528297980</v>
      </c>
      <c r="B477" t="s">
        <v>484</v>
      </c>
      <c r="C477" t="s">
        <v>497</v>
      </c>
      <c r="D477" t="s">
        <v>558</v>
      </c>
      <c r="E477" s="8">
        <v>0.59333333333333338</v>
      </c>
      <c r="F477" t="s">
        <v>487</v>
      </c>
      <c r="G477">
        <v>211</v>
      </c>
      <c r="H477" t="s">
        <v>35</v>
      </c>
      <c r="I477" t="s">
        <v>36</v>
      </c>
      <c r="J477" t="s">
        <v>37</v>
      </c>
      <c r="K477" t="s">
        <v>28</v>
      </c>
      <c r="L477">
        <v>2017</v>
      </c>
      <c r="M477" t="s">
        <v>38</v>
      </c>
      <c r="N477" t="s">
        <v>32</v>
      </c>
    </row>
    <row r="478" spans="1:14" x14ac:dyDescent="0.2">
      <c r="A478">
        <v>528297980</v>
      </c>
      <c r="B478" t="s">
        <v>484</v>
      </c>
      <c r="C478" t="s">
        <v>500</v>
      </c>
      <c r="D478" t="s">
        <v>558</v>
      </c>
      <c r="E478" s="8">
        <v>0.63000000000000012</v>
      </c>
      <c r="F478" t="s">
        <v>487</v>
      </c>
      <c r="G478">
        <v>211</v>
      </c>
      <c r="H478" t="s">
        <v>35</v>
      </c>
      <c r="I478" t="s">
        <v>36</v>
      </c>
      <c r="J478" t="s">
        <v>37</v>
      </c>
      <c r="K478" t="s">
        <v>28</v>
      </c>
      <c r="L478">
        <v>2017</v>
      </c>
      <c r="M478" t="s">
        <v>38</v>
      </c>
      <c r="N478" t="s">
        <v>32</v>
      </c>
    </row>
    <row r="479" spans="1:14" x14ac:dyDescent="0.2">
      <c r="A479">
        <v>528297980</v>
      </c>
      <c r="B479" t="s">
        <v>484</v>
      </c>
      <c r="C479" t="s">
        <v>501</v>
      </c>
      <c r="D479" t="s">
        <v>558</v>
      </c>
      <c r="E479" s="8">
        <v>0.61250000000000004</v>
      </c>
      <c r="F479" t="s">
        <v>487</v>
      </c>
      <c r="G479">
        <v>211</v>
      </c>
      <c r="H479" t="s">
        <v>35</v>
      </c>
      <c r="I479" t="s">
        <v>36</v>
      </c>
      <c r="J479" t="s">
        <v>37</v>
      </c>
      <c r="K479" t="s">
        <v>28</v>
      </c>
      <c r="L479">
        <v>2017</v>
      </c>
      <c r="M479" t="s">
        <v>38</v>
      </c>
      <c r="N479" t="s">
        <v>32</v>
      </c>
    </row>
    <row r="480" spans="1:14" x14ac:dyDescent="0.2">
      <c r="A480">
        <v>528297980</v>
      </c>
      <c r="B480" t="s">
        <v>485</v>
      </c>
      <c r="C480" t="s">
        <v>346</v>
      </c>
      <c r="D480" t="s">
        <v>559</v>
      </c>
      <c r="E480" s="8">
        <v>0.62</v>
      </c>
      <c r="F480" t="s">
        <v>487</v>
      </c>
      <c r="G480">
        <v>211</v>
      </c>
      <c r="H480" t="s">
        <v>35</v>
      </c>
      <c r="I480" t="s">
        <v>36</v>
      </c>
      <c r="J480" t="s">
        <v>37</v>
      </c>
      <c r="K480" t="s">
        <v>28</v>
      </c>
      <c r="L480">
        <v>2017</v>
      </c>
      <c r="M480" t="s">
        <v>38</v>
      </c>
      <c r="N480" t="s">
        <v>32</v>
      </c>
    </row>
    <row r="481" spans="1:14" x14ac:dyDescent="0.2">
      <c r="A481">
        <v>528297980</v>
      </c>
      <c r="B481" t="s">
        <v>485</v>
      </c>
      <c r="C481" t="s">
        <v>342</v>
      </c>
      <c r="D481" t="s">
        <v>559</v>
      </c>
      <c r="E481" s="8">
        <v>0.54749999999999999</v>
      </c>
      <c r="F481" t="s">
        <v>487</v>
      </c>
      <c r="G481">
        <v>211</v>
      </c>
      <c r="H481" t="s">
        <v>35</v>
      </c>
      <c r="I481" t="s">
        <v>36</v>
      </c>
      <c r="J481" t="s">
        <v>37</v>
      </c>
      <c r="K481" t="s">
        <v>28</v>
      </c>
      <c r="L481">
        <v>2017</v>
      </c>
      <c r="M481" t="s">
        <v>38</v>
      </c>
      <c r="N481" t="s">
        <v>32</v>
      </c>
    </row>
    <row r="482" spans="1:14" x14ac:dyDescent="0.2">
      <c r="A482">
        <v>533572169</v>
      </c>
      <c r="B482" t="s">
        <v>478</v>
      </c>
      <c r="C482" t="s">
        <v>276</v>
      </c>
      <c r="D482" t="s">
        <v>546</v>
      </c>
      <c r="E482" s="8">
        <v>0.35</v>
      </c>
      <c r="F482" t="s">
        <v>487</v>
      </c>
      <c r="G482">
        <v>211</v>
      </c>
      <c r="H482" t="s">
        <v>35</v>
      </c>
      <c r="I482" t="s">
        <v>36</v>
      </c>
      <c r="J482" t="s">
        <v>37</v>
      </c>
      <c r="K482" t="s">
        <v>28</v>
      </c>
      <c r="L482">
        <v>2017</v>
      </c>
      <c r="M482" t="s">
        <v>38</v>
      </c>
      <c r="N482" t="s">
        <v>32</v>
      </c>
    </row>
    <row r="483" spans="1:14" x14ac:dyDescent="0.2">
      <c r="A483">
        <v>533572169</v>
      </c>
      <c r="B483" t="s">
        <v>478</v>
      </c>
      <c r="C483" t="s">
        <v>247</v>
      </c>
      <c r="D483" t="s">
        <v>546</v>
      </c>
      <c r="E483" s="8">
        <v>0.26</v>
      </c>
      <c r="F483" t="s">
        <v>487</v>
      </c>
      <c r="G483">
        <v>211</v>
      </c>
      <c r="H483" t="s">
        <v>35</v>
      </c>
      <c r="I483" t="s">
        <v>36</v>
      </c>
      <c r="J483" t="s">
        <v>37</v>
      </c>
      <c r="K483" t="s">
        <v>28</v>
      </c>
      <c r="L483">
        <v>2017</v>
      </c>
      <c r="M483" t="s">
        <v>38</v>
      </c>
      <c r="N483" t="s">
        <v>32</v>
      </c>
    </row>
    <row r="484" spans="1:14" x14ac:dyDescent="0.2">
      <c r="A484">
        <v>533572169</v>
      </c>
      <c r="B484" t="s">
        <v>40</v>
      </c>
      <c r="C484" t="s">
        <v>435</v>
      </c>
      <c r="D484" t="s">
        <v>560</v>
      </c>
      <c r="E484" s="8">
        <v>0.3</v>
      </c>
      <c r="F484" t="s">
        <v>487</v>
      </c>
      <c r="G484">
        <v>211</v>
      </c>
      <c r="H484" t="s">
        <v>35</v>
      </c>
      <c r="I484" t="s">
        <v>36</v>
      </c>
      <c r="J484" t="s">
        <v>37</v>
      </c>
      <c r="K484" t="s">
        <v>28</v>
      </c>
      <c r="L484">
        <v>2017</v>
      </c>
      <c r="M484" t="s">
        <v>38</v>
      </c>
      <c r="N484" t="s">
        <v>32</v>
      </c>
    </row>
    <row r="485" spans="1:14" x14ac:dyDescent="0.2">
      <c r="A485">
        <v>533572169</v>
      </c>
      <c r="B485" t="s">
        <v>40</v>
      </c>
      <c r="C485" t="s">
        <v>393</v>
      </c>
      <c r="D485" t="s">
        <v>560</v>
      </c>
      <c r="E485" s="8">
        <v>0.69333333333333336</v>
      </c>
      <c r="F485" t="s">
        <v>487</v>
      </c>
      <c r="G485">
        <v>211</v>
      </c>
      <c r="H485" t="s">
        <v>35</v>
      </c>
      <c r="I485" t="s">
        <v>36</v>
      </c>
      <c r="J485" t="s">
        <v>37</v>
      </c>
      <c r="K485" t="s">
        <v>28</v>
      </c>
      <c 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 t="s">
        <v>37</v>
      </c>
      <c r="K486" t="s">
        <v>28</v>
      </c>
      <c r="L486">
        <v>2017</v>
      </c>
      <c r="M486" t="s">
        <v>38</v>
      </c>
      <c r="N486" t="s">
        <v>32</v>
      </c>
    </row>
    <row r="487" spans="1:14" x14ac:dyDescent="0.2">
      <c r="A487">
        <v>533572169</v>
      </c>
      <c r="B487" t="s">
        <v>41</v>
      </c>
      <c r="C487" t="s">
        <v>207</v>
      </c>
      <c r="D487" t="s">
        <v>562</v>
      </c>
      <c r="E487" s="8">
        <v>0.41000000000000003</v>
      </c>
      <c r="F487" t="s">
        <v>487</v>
      </c>
      <c r="G487">
        <v>211</v>
      </c>
      <c r="H487" t="s">
        <v>35</v>
      </c>
      <c r="I487" t="s">
        <v>36</v>
      </c>
      <c r="J487" t="s">
        <v>37</v>
      </c>
      <c r="K487" t="s">
        <v>28</v>
      </c>
      <c r="L487">
        <v>2017</v>
      </c>
      <c r="M487" t="s">
        <v>38</v>
      </c>
      <c r="N487" t="s">
        <v>32</v>
      </c>
    </row>
    <row r="488" spans="1:14" x14ac:dyDescent="0.2">
      <c r="A488">
        <v>533572169</v>
      </c>
      <c r="B488" t="s">
        <v>41</v>
      </c>
      <c r="C488" t="s">
        <v>221</v>
      </c>
      <c r="D488" t="s">
        <v>563</v>
      </c>
      <c r="E488" s="8">
        <v>2.6666666666666668E-2</v>
      </c>
      <c r="F488" t="s">
        <v>487</v>
      </c>
      <c r="G488">
        <v>211</v>
      </c>
      <c r="H488" t="s">
        <v>35</v>
      </c>
      <c r="I488" t="s">
        <v>36</v>
      </c>
      <c r="J488" t="s">
        <v>37</v>
      </c>
      <c r="K488" t="s">
        <v>28</v>
      </c>
      <c r="L488">
        <v>2017</v>
      </c>
      <c r="M488" t="s">
        <v>38</v>
      </c>
      <c r="N488" t="s">
        <v>32</v>
      </c>
    </row>
    <row r="489" spans="1:14" x14ac:dyDescent="0.2">
      <c r="A489">
        <v>533572169</v>
      </c>
      <c r="B489" t="s">
        <v>42</v>
      </c>
      <c r="C489" t="s">
        <v>159</v>
      </c>
      <c r="D489" t="s">
        <v>564</v>
      </c>
      <c r="E489" s="8">
        <v>0.04</v>
      </c>
      <c r="F489" t="s">
        <v>487</v>
      </c>
      <c r="G489">
        <v>211</v>
      </c>
      <c r="H489" t="s">
        <v>35</v>
      </c>
      <c r="I489" t="s">
        <v>36</v>
      </c>
      <c r="J489" t="s">
        <v>37</v>
      </c>
      <c r="K489" t="s">
        <v>28</v>
      </c>
      <c r="L489">
        <v>2017</v>
      </c>
      <c r="M489" t="s">
        <v>38</v>
      </c>
      <c r="N489" t="s">
        <v>32</v>
      </c>
    </row>
    <row r="490" spans="1:14" x14ac:dyDescent="0.2">
      <c r="A490">
        <v>533572169</v>
      </c>
      <c r="B490" t="s">
        <v>42</v>
      </c>
      <c r="C490" t="s">
        <v>135</v>
      </c>
      <c r="D490" t="s">
        <v>565</v>
      </c>
      <c r="E490" s="8">
        <v>0.3</v>
      </c>
      <c r="F490" t="s">
        <v>487</v>
      </c>
      <c r="G490">
        <v>211</v>
      </c>
      <c r="H490" t="s">
        <v>35</v>
      </c>
      <c r="I490" t="s">
        <v>36</v>
      </c>
      <c r="J490" t="s">
        <v>37</v>
      </c>
      <c r="K490" t="s">
        <v>28</v>
      </c>
      <c r="L490">
        <v>2017</v>
      </c>
      <c r="M490" t="s">
        <v>38</v>
      </c>
      <c r="N490" t="s">
        <v>32</v>
      </c>
    </row>
    <row r="491" spans="1:14" x14ac:dyDescent="0.2">
      <c r="A491">
        <v>533572169</v>
      </c>
      <c r="B491" t="s">
        <v>42</v>
      </c>
      <c r="C491" t="s">
        <v>56</v>
      </c>
      <c r="D491" t="s">
        <v>565</v>
      </c>
      <c r="E491" s="8">
        <v>0.3</v>
      </c>
      <c r="F491" t="s">
        <v>487</v>
      </c>
      <c r="G491">
        <v>211</v>
      </c>
      <c r="H491" t="s">
        <v>35</v>
      </c>
      <c r="I491" t="s">
        <v>36</v>
      </c>
      <c r="J491" t="s">
        <v>37</v>
      </c>
      <c r="K491" t="s">
        <v>28</v>
      </c>
      <c r="L491">
        <v>2017</v>
      </c>
      <c r="M491" t="s">
        <v>38</v>
      </c>
      <c r="N491" t="s">
        <v>32</v>
      </c>
    </row>
    <row r="492" spans="1:14" x14ac:dyDescent="0.2">
      <c r="A492">
        <v>533572169</v>
      </c>
      <c r="B492" t="s">
        <v>42</v>
      </c>
      <c r="C492" t="s">
        <v>155</v>
      </c>
      <c r="D492" t="s">
        <v>564</v>
      </c>
      <c r="E492" s="8">
        <v>0.04</v>
      </c>
      <c r="F492" t="s">
        <v>487</v>
      </c>
      <c r="G492">
        <v>211</v>
      </c>
      <c r="H492" t="s">
        <v>35</v>
      </c>
      <c r="I492" t="s">
        <v>36</v>
      </c>
      <c r="J492" t="s">
        <v>37</v>
      </c>
      <c r="K492" t="s">
        <v>28</v>
      </c>
      <c r="L492">
        <v>2017</v>
      </c>
      <c r="M492" t="s">
        <v>38</v>
      </c>
      <c r="N492" t="s">
        <v>32</v>
      </c>
    </row>
    <row r="493" spans="1:14" x14ac:dyDescent="0.2">
      <c r="A493">
        <v>533572169</v>
      </c>
      <c r="B493" t="s">
        <v>479</v>
      </c>
      <c r="C493" t="s">
        <v>57</v>
      </c>
      <c r="D493" t="s">
        <v>566</v>
      </c>
      <c r="E493" s="8">
        <v>0.3816666666666666</v>
      </c>
      <c r="F493" t="s">
        <v>487</v>
      </c>
      <c r="G493">
        <v>211</v>
      </c>
      <c r="H493" t="s">
        <v>35</v>
      </c>
      <c r="I493" t="s">
        <v>36</v>
      </c>
      <c r="J493" t="s">
        <v>37</v>
      </c>
      <c r="K493" t="s">
        <v>28</v>
      </c>
      <c r="L493">
        <v>2017</v>
      </c>
      <c r="M493" t="s">
        <v>38</v>
      </c>
      <c r="N493" t="s">
        <v>32</v>
      </c>
    </row>
    <row r="494" spans="1:14" x14ac:dyDescent="0.2">
      <c r="A494">
        <v>533572169</v>
      </c>
      <c r="B494" t="s">
        <v>479</v>
      </c>
      <c r="C494" t="s">
        <v>58</v>
      </c>
      <c r="D494" t="s">
        <v>567</v>
      </c>
      <c r="E494" s="8">
        <v>0.04</v>
      </c>
      <c r="F494" t="s">
        <v>487</v>
      </c>
      <c r="G494">
        <v>211</v>
      </c>
      <c r="H494" t="s">
        <v>35</v>
      </c>
      <c r="I494" t="s">
        <v>36</v>
      </c>
      <c r="J494" t="s">
        <v>37</v>
      </c>
      <c r="K494" t="s">
        <v>28</v>
      </c>
      <c r="L494">
        <v>2017</v>
      </c>
      <c r="M494" t="s">
        <v>38</v>
      </c>
      <c r="N494" t="s">
        <v>32</v>
      </c>
    </row>
    <row r="495" spans="1:14" x14ac:dyDescent="0.2">
      <c r="A495">
        <v>533572169</v>
      </c>
      <c r="B495" t="s">
        <v>480</v>
      </c>
      <c r="C495" t="s">
        <v>456</v>
      </c>
      <c r="D495" t="s">
        <v>568</v>
      </c>
      <c r="E495" s="8">
        <v>0.21333333333333335</v>
      </c>
      <c r="F495" t="s">
        <v>487</v>
      </c>
      <c r="G495">
        <v>211</v>
      </c>
      <c r="H495" t="s">
        <v>35</v>
      </c>
      <c r="I495" t="s">
        <v>36</v>
      </c>
      <c r="J495" t="s">
        <v>37</v>
      </c>
      <c r="K495" t="s">
        <v>28</v>
      </c>
      <c r="L495">
        <v>2017</v>
      </c>
      <c r="M495" t="s">
        <v>38</v>
      </c>
      <c r="N495" t="s">
        <v>32</v>
      </c>
    </row>
    <row r="496" spans="1:14" x14ac:dyDescent="0.2">
      <c r="A496">
        <v>533572169</v>
      </c>
      <c r="B496" t="s">
        <v>480</v>
      </c>
      <c r="C496" t="s">
        <v>452</v>
      </c>
      <c r="D496" t="s">
        <v>568</v>
      </c>
      <c r="E496" s="8">
        <v>0.21333333333333335</v>
      </c>
      <c r="F496" t="s">
        <v>487</v>
      </c>
      <c r="G496">
        <v>211</v>
      </c>
      <c r="H496" t="s">
        <v>35</v>
      </c>
      <c r="I496" t="s">
        <v>36</v>
      </c>
      <c r="J496" t="s">
        <v>37</v>
      </c>
      <c r="K496" t="s">
        <v>28</v>
      </c>
      <c r="L496">
        <v>2017</v>
      </c>
      <c r="M496" t="s">
        <v>38</v>
      </c>
      <c r="N496" t="s">
        <v>32</v>
      </c>
    </row>
    <row r="497" spans="1:14" x14ac:dyDescent="0.2">
      <c r="A497">
        <v>533572169</v>
      </c>
      <c r="B497" t="s">
        <v>481</v>
      </c>
      <c r="C497" t="s">
        <v>533</v>
      </c>
      <c r="D497" t="s">
        <v>569</v>
      </c>
      <c r="E497" s="8">
        <v>0.04</v>
      </c>
      <c r="F497" t="s">
        <v>487</v>
      </c>
      <c r="G497">
        <v>211</v>
      </c>
      <c r="H497" t="s">
        <v>35</v>
      </c>
      <c r="I497" t="s">
        <v>36</v>
      </c>
      <c r="J497" t="s">
        <v>37</v>
      </c>
      <c r="K497" t="s">
        <v>28</v>
      </c>
      <c r="L497">
        <v>2017</v>
      </c>
      <c r="M497" t="s">
        <v>38</v>
      </c>
      <c r="N497" t="s">
        <v>32</v>
      </c>
    </row>
    <row r="498" spans="1:14" x14ac:dyDescent="0.2">
      <c r="A498">
        <v>533572169</v>
      </c>
      <c r="B498" t="s">
        <v>481</v>
      </c>
      <c r="C498" t="s">
        <v>106</v>
      </c>
      <c r="D498" t="s">
        <v>569</v>
      </c>
      <c r="E498" s="8">
        <v>0.04</v>
      </c>
      <c r="F498" t="s">
        <v>487</v>
      </c>
      <c r="G498">
        <v>211</v>
      </c>
      <c r="H498" t="s">
        <v>35</v>
      </c>
      <c r="I498" t="s">
        <v>36</v>
      </c>
      <c r="J498" t="s">
        <v>37</v>
      </c>
      <c r="K498" t="s">
        <v>28</v>
      </c>
      <c r="L498">
        <v>2017</v>
      </c>
      <c r="M498" t="s">
        <v>38</v>
      </c>
      <c r="N498" t="s">
        <v>32</v>
      </c>
    </row>
    <row r="499" spans="1:14" x14ac:dyDescent="0.2">
      <c r="A499">
        <v>533572169</v>
      </c>
      <c r="B499" t="s">
        <v>43</v>
      </c>
      <c r="C499" t="s">
        <v>59</v>
      </c>
      <c r="D499" t="s">
        <v>570</v>
      </c>
      <c r="E499" s="8">
        <v>0.14400000000000002</v>
      </c>
      <c r="F499" t="s">
        <v>487</v>
      </c>
      <c r="G499">
        <v>211</v>
      </c>
      <c r="H499" t="s">
        <v>35</v>
      </c>
      <c r="I499" t="s">
        <v>36</v>
      </c>
      <c r="J499" t="s">
        <v>37</v>
      </c>
      <c r="K499" t="s">
        <v>28</v>
      </c>
      <c r="L499">
        <v>2017</v>
      </c>
      <c r="M499" t="s">
        <v>38</v>
      </c>
      <c r="N499" t="s">
        <v>32</v>
      </c>
    </row>
    <row r="500" spans="1:14" x14ac:dyDescent="0.2">
      <c r="A500">
        <v>533572169</v>
      </c>
      <c r="B500" t="s">
        <v>482</v>
      </c>
      <c r="C500" t="s">
        <v>436</v>
      </c>
      <c r="D500" t="s">
        <v>561</v>
      </c>
      <c r="E500" s="8">
        <v>0.32500000000000001</v>
      </c>
      <c r="F500" t="s">
        <v>487</v>
      </c>
      <c r="G500">
        <v>211</v>
      </c>
      <c r="H500" t="s">
        <v>35</v>
      </c>
      <c r="I500" t="s">
        <v>36</v>
      </c>
      <c r="J500" t="s">
        <v>37</v>
      </c>
      <c r="K500" t="s">
        <v>28</v>
      </c>
      <c r="L500">
        <v>2017</v>
      </c>
      <c r="M500" t="s">
        <v>38</v>
      </c>
      <c r="N500" t="s">
        <v>32</v>
      </c>
    </row>
    <row r="501" spans="1:14" x14ac:dyDescent="0.2">
      <c r="A501">
        <v>533572169</v>
      </c>
      <c r="B501" t="s">
        <v>482</v>
      </c>
      <c r="C501" t="s">
        <v>436</v>
      </c>
      <c r="D501" t="s">
        <v>561</v>
      </c>
      <c r="E501" s="8">
        <v>0.42</v>
      </c>
      <c r="F501" t="s">
        <v>487</v>
      </c>
      <c r="G501">
        <v>211</v>
      </c>
      <c r="H501" t="s">
        <v>35</v>
      </c>
      <c r="I501" t="s">
        <v>36</v>
      </c>
      <c r="J501" t="s">
        <v>37</v>
      </c>
      <c r="K501" t="s">
        <v>28</v>
      </c>
      <c r="L501">
        <v>2017</v>
      </c>
      <c r="M501" t="s">
        <v>38</v>
      </c>
      <c r="N501" t="s">
        <v>32</v>
      </c>
    </row>
    <row r="502" spans="1:14" x14ac:dyDescent="0.2">
      <c r="A502">
        <v>533572169</v>
      </c>
      <c r="B502" t="s">
        <v>483</v>
      </c>
      <c r="C502" t="s">
        <v>197</v>
      </c>
      <c r="D502" t="s">
        <v>556</v>
      </c>
      <c r="E502" s="8">
        <v>0.3</v>
      </c>
      <c r="F502" t="s">
        <v>487</v>
      </c>
      <c r="G502">
        <v>211</v>
      </c>
      <c r="H502" t="s">
        <v>35</v>
      </c>
      <c r="I502" t="s">
        <v>36</v>
      </c>
      <c r="J502" t="s">
        <v>37</v>
      </c>
      <c r="K502" t="s">
        <v>28</v>
      </c>
      <c r="L502">
        <v>2017</v>
      </c>
      <c r="M502" t="s">
        <v>38</v>
      </c>
      <c r="N502" t="s">
        <v>32</v>
      </c>
    </row>
    <row r="503" spans="1:14" x14ac:dyDescent="0.2">
      <c r="A503">
        <v>533572169</v>
      </c>
      <c r="B503" t="s">
        <v>483</v>
      </c>
      <c r="C503" t="s">
        <v>196</v>
      </c>
      <c r="D503" t="s">
        <v>557</v>
      </c>
      <c r="E503" s="8">
        <v>0.04</v>
      </c>
      <c r="F503" t="s">
        <v>487</v>
      </c>
      <c r="G503">
        <v>211</v>
      </c>
      <c r="H503" t="s">
        <v>35</v>
      </c>
      <c r="I503" t="s">
        <v>36</v>
      </c>
      <c r="J503" t="s">
        <v>37</v>
      </c>
      <c r="K503" t="s">
        <v>28</v>
      </c>
      <c r="L503">
        <v>2017</v>
      </c>
      <c r="M503" t="s">
        <v>38</v>
      </c>
      <c r="N503" t="s">
        <v>32</v>
      </c>
    </row>
    <row r="504" spans="1:14" x14ac:dyDescent="0.2">
      <c r="A504">
        <v>533572169</v>
      </c>
      <c r="B504" t="s">
        <v>483</v>
      </c>
      <c r="C504" t="s">
        <v>197</v>
      </c>
      <c r="D504" t="s">
        <v>556</v>
      </c>
      <c r="E504" s="8">
        <v>0.21333333333333335</v>
      </c>
      <c r="F504" t="s">
        <v>487</v>
      </c>
      <c r="G504">
        <v>211</v>
      </c>
      <c r="H504" t="s">
        <v>35</v>
      </c>
      <c r="I504" t="s">
        <v>36</v>
      </c>
      <c r="J504" t="s">
        <v>37</v>
      </c>
      <c r="K504" t="s">
        <v>28</v>
      </c>
      <c r="L504">
        <v>2017</v>
      </c>
      <c r="M504" t="s">
        <v>38</v>
      </c>
      <c r="N504" t="s">
        <v>32</v>
      </c>
    </row>
    <row r="505" spans="1:14" x14ac:dyDescent="0.2">
      <c r="A505">
        <v>533572169</v>
      </c>
      <c r="B505" t="s">
        <v>483</v>
      </c>
      <c r="C505" t="s">
        <v>196</v>
      </c>
      <c r="D505" t="s">
        <v>557</v>
      </c>
      <c r="E505" s="8">
        <v>3.2000000000000001E-2</v>
      </c>
      <c r="F505" t="s">
        <v>487</v>
      </c>
      <c r="G505">
        <v>211</v>
      </c>
      <c r="H505" t="s">
        <v>35</v>
      </c>
      <c r="I505" t="s">
        <v>36</v>
      </c>
      <c r="J505" t="s">
        <v>37</v>
      </c>
      <c r="K505" t="s">
        <v>28</v>
      </c>
      <c r="L505">
        <v>2017</v>
      </c>
      <c r="M505" t="s">
        <v>38</v>
      </c>
      <c r="N505" t="s">
        <v>32</v>
      </c>
    </row>
    <row r="506" spans="1:14" x14ac:dyDescent="0.2">
      <c r="A506">
        <v>533572169</v>
      </c>
      <c r="B506" t="s">
        <v>483</v>
      </c>
      <c r="C506" t="s">
        <v>197</v>
      </c>
      <c r="D506" t="s">
        <v>556</v>
      </c>
      <c r="E506" s="8">
        <v>2.6666666666666668E-2</v>
      </c>
      <c r="F506" t="s">
        <v>487</v>
      </c>
      <c r="G506">
        <v>211</v>
      </c>
      <c r="H506" t="s">
        <v>35</v>
      </c>
      <c r="I506" t="s">
        <v>36</v>
      </c>
      <c r="J506" t="s">
        <v>37</v>
      </c>
      <c r="K506" t="s">
        <v>28</v>
      </c>
      <c r="L506">
        <v>2017</v>
      </c>
      <c r="M506" t="s">
        <v>38</v>
      </c>
      <c r="N506" t="s">
        <v>32</v>
      </c>
    </row>
    <row r="507" spans="1:14" x14ac:dyDescent="0.2">
      <c r="A507">
        <v>533572169</v>
      </c>
      <c r="B507" t="s">
        <v>484</v>
      </c>
      <c r="C507" t="s">
        <v>497</v>
      </c>
      <c r="D507" t="s">
        <v>558</v>
      </c>
      <c r="E507" s="8">
        <v>0.21333333333333335</v>
      </c>
      <c r="F507" t="s">
        <v>487</v>
      </c>
      <c r="G507">
        <v>211</v>
      </c>
      <c r="H507" t="s">
        <v>35</v>
      </c>
      <c r="I507" t="s">
        <v>36</v>
      </c>
      <c r="J507" t="s">
        <v>37</v>
      </c>
      <c r="K507" t="s">
        <v>28</v>
      </c>
      <c r="L507">
        <v>2017</v>
      </c>
      <c r="M507" t="s">
        <v>38</v>
      </c>
      <c r="N507" t="s">
        <v>32</v>
      </c>
    </row>
    <row r="508" spans="1:14" x14ac:dyDescent="0.2">
      <c r="A508">
        <v>533572169</v>
      </c>
      <c r="B508" t="s">
        <v>484</v>
      </c>
      <c r="C508" t="s">
        <v>500</v>
      </c>
      <c r="D508" t="s">
        <v>558</v>
      </c>
      <c r="E508" s="8">
        <v>0.44500000000000001</v>
      </c>
      <c r="F508" t="s">
        <v>487</v>
      </c>
      <c r="G508">
        <v>211</v>
      </c>
      <c r="H508" t="s">
        <v>35</v>
      </c>
      <c r="I508" t="s">
        <v>36</v>
      </c>
      <c r="J508" t="s">
        <v>37</v>
      </c>
      <c r="K508" t="s">
        <v>28</v>
      </c>
      <c r="L508">
        <v>2017</v>
      </c>
      <c r="M508" t="s">
        <v>38</v>
      </c>
      <c r="N508" t="s">
        <v>32</v>
      </c>
    </row>
    <row r="509" spans="1:14" x14ac:dyDescent="0.2">
      <c r="A509">
        <v>533572169</v>
      </c>
      <c r="B509" t="s">
        <v>484</v>
      </c>
      <c r="C509" t="s">
        <v>501</v>
      </c>
      <c r="D509" t="s">
        <v>558</v>
      </c>
      <c r="E509" s="8">
        <v>0.21000000000000002</v>
      </c>
      <c r="F509" t="s">
        <v>487</v>
      </c>
      <c r="G509">
        <v>211</v>
      </c>
      <c r="H509" t="s">
        <v>35</v>
      </c>
      <c r="I509" t="s">
        <v>36</v>
      </c>
      <c r="J509" t="s">
        <v>37</v>
      </c>
      <c r="K509" t="s">
        <v>28</v>
      </c>
      <c r="L509">
        <v>2017</v>
      </c>
      <c r="M509" t="s">
        <v>38</v>
      </c>
      <c r="N509" t="s">
        <v>32</v>
      </c>
    </row>
    <row r="510" spans="1:14" x14ac:dyDescent="0.2">
      <c r="A510">
        <v>533572169</v>
      </c>
      <c r="B510" t="s">
        <v>485</v>
      </c>
      <c r="C510" t="s">
        <v>346</v>
      </c>
      <c r="D510" t="s">
        <v>559</v>
      </c>
      <c r="E510" s="8">
        <v>0.04</v>
      </c>
      <c r="F510" t="s">
        <v>487</v>
      </c>
      <c r="G510">
        <v>211</v>
      </c>
      <c r="H510" t="s">
        <v>35</v>
      </c>
      <c r="I510" t="s">
        <v>36</v>
      </c>
      <c r="J510" t="s">
        <v>37</v>
      </c>
      <c r="K510" t="s">
        <v>28</v>
      </c>
      <c r="L510">
        <v>2017</v>
      </c>
      <c r="M510" t="s">
        <v>38</v>
      </c>
      <c r="N510" t="s">
        <v>32</v>
      </c>
    </row>
    <row r="511" spans="1:14" x14ac:dyDescent="0.2">
      <c r="A511">
        <v>533572169</v>
      </c>
      <c r="B511" t="s">
        <v>485</v>
      </c>
      <c r="C511" t="s">
        <v>342</v>
      </c>
      <c r="D511" t="s">
        <v>559</v>
      </c>
      <c r="E511" s="8">
        <v>0.18875</v>
      </c>
      <c r="F511" t="s">
        <v>487</v>
      </c>
      <c r="G511">
        <v>211</v>
      </c>
      <c r="H511" t="s">
        <v>35</v>
      </c>
      <c r="I511" t="s">
        <v>36</v>
      </c>
      <c r="J511" t="s">
        <v>37</v>
      </c>
      <c r="K511" t="s">
        <v>28</v>
      </c>
      <c r="L511">
        <v>2017</v>
      </c>
      <c r="M511" t="s">
        <v>38</v>
      </c>
      <c r="N511" t="s">
        <v>32</v>
      </c>
    </row>
    <row r="512" spans="1:14" x14ac:dyDescent="0.2">
      <c r="A512">
        <v>534292868</v>
      </c>
      <c r="B512" t="s">
        <v>478</v>
      </c>
      <c r="C512" t="s">
        <v>276</v>
      </c>
      <c r="D512" t="s">
        <v>546</v>
      </c>
      <c r="E512" s="8">
        <v>0.75</v>
      </c>
      <c r="F512" t="s">
        <v>487</v>
      </c>
      <c r="G512">
        <v>211</v>
      </c>
      <c r="H512" t="s">
        <v>35</v>
      </c>
      <c r="I512" t="s">
        <v>36</v>
      </c>
      <c r="J512" t="s">
        <v>37</v>
      </c>
      <c r="K512" t="s">
        <v>28</v>
      </c>
      <c r="L512">
        <v>2017</v>
      </c>
      <c r="M512" t="s">
        <v>38</v>
      </c>
      <c r="N512" t="s">
        <v>32</v>
      </c>
    </row>
    <row r="513" spans="1:14" x14ac:dyDescent="0.2">
      <c r="A513">
        <v>534292868</v>
      </c>
      <c r="B513" t="s">
        <v>478</v>
      </c>
      <c r="C513" t="s">
        <v>247</v>
      </c>
      <c r="D513" t="s">
        <v>546</v>
      </c>
      <c r="E513" s="8">
        <v>0.79599999999999993</v>
      </c>
      <c r="F513" t="s">
        <v>487</v>
      </c>
      <c r="G513">
        <v>211</v>
      </c>
      <c r="H513" t="s">
        <v>35</v>
      </c>
      <c r="I513" t="s">
        <v>36</v>
      </c>
      <c r="J513" t="s">
        <v>37</v>
      </c>
      <c r="K513" t="s">
        <v>28</v>
      </c>
      <c r="L513">
        <v>2017</v>
      </c>
      <c r="M513" t="s">
        <v>38</v>
      </c>
      <c r="N513" t="s">
        <v>32</v>
      </c>
    </row>
    <row r="514" spans="1:14" x14ac:dyDescent="0.2">
      <c r="A514">
        <v>534292868</v>
      </c>
      <c r="B514" t="s">
        <v>40</v>
      </c>
      <c r="C514" t="s">
        <v>435</v>
      </c>
      <c r="D514" t="s">
        <v>560</v>
      </c>
      <c r="E514" s="8">
        <v>0.9</v>
      </c>
      <c r="F514" t="s">
        <v>487</v>
      </c>
      <c r="G514">
        <v>211</v>
      </c>
      <c r="H514" t="s">
        <v>35</v>
      </c>
      <c r="I514" t="s">
        <v>36</v>
      </c>
      <c r="J514" t="s">
        <v>37</v>
      </c>
      <c r="K514" t="s">
        <v>28</v>
      </c>
      <c r="L514">
        <v>2017</v>
      </c>
      <c r="M514" t="s">
        <v>38</v>
      </c>
      <c r="N514" t="s">
        <v>32</v>
      </c>
    </row>
    <row r="515" spans="1:14" x14ac:dyDescent="0.2">
      <c r="A515">
        <v>534292868</v>
      </c>
      <c r="B515" t="s">
        <v>40</v>
      </c>
      <c r="C515" t="s">
        <v>393</v>
      </c>
      <c r="D515" t="s">
        <v>560</v>
      </c>
      <c r="E515" s="8">
        <v>0.5066666666666666</v>
      </c>
      <c r="F515" t="s">
        <v>487</v>
      </c>
      <c r="G515">
        <v>211</v>
      </c>
      <c r="H515" t="s">
        <v>35</v>
      </c>
      <c r="I515" t="s">
        <v>36</v>
      </c>
      <c r="J515" t="s">
        <v>37</v>
      </c>
      <c r="K515" t="s">
        <v>28</v>
      </c>
      <c r="L515">
        <v>2017</v>
      </c>
      <c r="M515" t="s">
        <v>38</v>
      </c>
      <c r="N515" t="s">
        <v>32</v>
      </c>
    </row>
    <row r="516" spans="1:14" x14ac:dyDescent="0.2">
      <c r="A516">
        <v>534292868</v>
      </c>
      <c r="B516" t="s">
        <v>41</v>
      </c>
      <c r="C516" t="s">
        <v>212</v>
      </c>
      <c r="D516" t="s">
        <v>562</v>
      </c>
      <c r="E516" s="8">
        <v>0.69500000000000006</v>
      </c>
      <c r="F516" t="s">
        <v>487</v>
      </c>
      <c r="G516">
        <v>211</v>
      </c>
      <c r="H516" t="s">
        <v>35</v>
      </c>
      <c r="I516" t="s">
        <v>36</v>
      </c>
      <c r="J516" t="s">
        <v>37</v>
      </c>
      <c r="K516" t="s">
        <v>28</v>
      </c>
      <c r="L516">
        <v>2017</v>
      </c>
      <c r="M516" t="s">
        <v>38</v>
      </c>
      <c r="N516" t="s">
        <v>32</v>
      </c>
    </row>
    <row r="517" spans="1:14" x14ac:dyDescent="0.2">
      <c r="A517">
        <v>534292868</v>
      </c>
      <c r="B517" t="s">
        <v>41</v>
      </c>
      <c r="C517" t="s">
        <v>207</v>
      </c>
      <c r="D517" t="s">
        <v>562</v>
      </c>
      <c r="E517" s="8">
        <v>0.43</v>
      </c>
      <c r="F517" t="s">
        <v>487</v>
      </c>
      <c r="G517">
        <v>211</v>
      </c>
      <c r="H517" t="s">
        <v>35</v>
      </c>
      <c r="I517" t="s">
        <v>36</v>
      </c>
      <c r="J517" t="s">
        <v>37</v>
      </c>
      <c r="K517" t="s">
        <v>28</v>
      </c>
      <c r="L517">
        <v>2017</v>
      </c>
      <c r="M517" t="s">
        <v>38</v>
      </c>
      <c r="N517" t="s">
        <v>32</v>
      </c>
    </row>
    <row r="518" spans="1:14" x14ac:dyDescent="0.2">
      <c r="A518">
        <v>534292868</v>
      </c>
      <c r="B518" t="s">
        <v>41</v>
      </c>
      <c r="C518" t="s">
        <v>221</v>
      </c>
      <c r="D518" t="s">
        <v>563</v>
      </c>
      <c r="E518" s="8">
        <v>0.18666666666666665</v>
      </c>
      <c r="F518" t="s">
        <v>487</v>
      </c>
      <c r="G518">
        <v>211</v>
      </c>
      <c r="H518" t="s">
        <v>35</v>
      </c>
      <c r="I518" t="s">
        <v>36</v>
      </c>
      <c r="J518" t="s">
        <v>37</v>
      </c>
      <c r="K518" t="s">
        <v>28</v>
      </c>
      <c r="L518">
        <v>2017</v>
      </c>
      <c r="M518" t="s">
        <v>38</v>
      </c>
      <c r="N518" t="s">
        <v>32</v>
      </c>
    </row>
    <row r="519" spans="1:14" x14ac:dyDescent="0.2">
      <c r="A519">
        <v>534292868</v>
      </c>
      <c r="B519" t="s">
        <v>42</v>
      </c>
      <c r="C519" t="s">
        <v>159</v>
      </c>
      <c r="D519" t="s">
        <v>564</v>
      </c>
      <c r="E519" s="8">
        <v>0.08</v>
      </c>
      <c r="F519" t="s">
        <v>487</v>
      </c>
      <c r="G519">
        <v>211</v>
      </c>
      <c r="H519" t="s">
        <v>35</v>
      </c>
      <c r="I519" t="s">
        <v>36</v>
      </c>
      <c r="J519" t="s">
        <v>37</v>
      </c>
      <c r="K519" t="s">
        <v>28</v>
      </c>
      <c r="L519">
        <v>2017</v>
      </c>
      <c r="M519" t="s">
        <v>38</v>
      </c>
      <c r="N519" t="s">
        <v>32</v>
      </c>
    </row>
    <row r="520" spans="1:14" x14ac:dyDescent="0.2">
      <c r="A520">
        <v>534292868</v>
      </c>
      <c r="B520" t="s">
        <v>42</v>
      </c>
      <c r="C520" t="s">
        <v>135</v>
      </c>
      <c r="D520" t="s">
        <v>565</v>
      </c>
      <c r="E520" s="8">
        <v>0.9</v>
      </c>
      <c r="F520" t="s">
        <v>487</v>
      </c>
      <c r="G520">
        <v>211</v>
      </c>
      <c r="H520" t="s">
        <v>35</v>
      </c>
      <c r="I520" t="s">
        <v>36</v>
      </c>
      <c r="J520" t="s">
        <v>37</v>
      </c>
      <c r="K520" t="s">
        <v>28</v>
      </c>
      <c r="L520">
        <v>2017</v>
      </c>
      <c r="M520" t="s">
        <v>38</v>
      </c>
      <c r="N520" t="s">
        <v>32</v>
      </c>
    </row>
    <row r="521" spans="1:14" x14ac:dyDescent="0.2">
      <c r="A521">
        <v>534292868</v>
      </c>
      <c r="B521" t="s">
        <v>42</v>
      </c>
      <c r="C521" t="s">
        <v>56</v>
      </c>
      <c r="D521" t="s">
        <v>565</v>
      </c>
      <c r="E521" s="8">
        <v>0.9</v>
      </c>
      <c r="F521" t="s">
        <v>487</v>
      </c>
      <c r="G521">
        <v>211</v>
      </c>
      <c r="H521" t="s">
        <v>35</v>
      </c>
      <c r="I521" t="s">
        <v>36</v>
      </c>
      <c r="J521" t="s">
        <v>37</v>
      </c>
      <c r="K521" t="s">
        <v>28</v>
      </c>
      <c r="L521">
        <v>2017</v>
      </c>
      <c r="M521" t="s">
        <v>38</v>
      </c>
      <c r="N521" t="s">
        <v>32</v>
      </c>
    </row>
    <row r="522" spans="1:14" x14ac:dyDescent="0.2">
      <c r="A522">
        <v>534292868</v>
      </c>
      <c r="B522" t="s">
        <v>42</v>
      </c>
      <c r="C522" t="s">
        <v>155</v>
      </c>
      <c r="D522" t="s">
        <v>564</v>
      </c>
      <c r="E522" s="8">
        <v>0.08</v>
      </c>
      <c r="F522" t="s">
        <v>487</v>
      </c>
      <c r="G522">
        <v>211</v>
      </c>
      <c r="H522" t="s">
        <v>35</v>
      </c>
      <c r="I522" t="s">
        <v>36</v>
      </c>
      <c r="J522" t="s">
        <v>37</v>
      </c>
      <c r="K522" t="s">
        <v>28</v>
      </c>
      <c r="L522">
        <v>2017</v>
      </c>
      <c r="M522" t="s">
        <v>38</v>
      </c>
      <c r="N522" t="s">
        <v>32</v>
      </c>
    </row>
    <row r="523" spans="1:14" x14ac:dyDescent="0.2">
      <c r="A523">
        <v>534292868</v>
      </c>
      <c r="B523" t="s">
        <v>479</v>
      </c>
      <c r="C523" t="s">
        <v>57</v>
      </c>
      <c r="D523" t="s">
        <v>566</v>
      </c>
      <c r="E523" s="8">
        <v>0.4366666666666667</v>
      </c>
      <c r="F523" t="s">
        <v>487</v>
      </c>
      <c r="G523">
        <v>211</v>
      </c>
      <c r="H523" t="s">
        <v>35</v>
      </c>
      <c r="I523" t="s">
        <v>36</v>
      </c>
      <c r="J523" t="s">
        <v>37</v>
      </c>
      <c r="K523" t="s">
        <v>28</v>
      </c>
      <c r="L523">
        <v>2017</v>
      </c>
      <c r="M523" t="s">
        <v>38</v>
      </c>
      <c r="N523" t="s">
        <v>32</v>
      </c>
    </row>
    <row r="524" spans="1:14" x14ac:dyDescent="0.2">
      <c r="A524">
        <v>534292868</v>
      </c>
      <c r="B524" t="s">
        <v>479</v>
      </c>
      <c r="C524" t="s">
        <v>58</v>
      </c>
      <c r="D524" t="s">
        <v>567</v>
      </c>
      <c r="E524" s="8">
        <v>0.08</v>
      </c>
      <c r="F524" t="s">
        <v>487</v>
      </c>
      <c r="G524">
        <v>211</v>
      </c>
      <c r="H524" t="s">
        <v>35</v>
      </c>
      <c r="I524" t="s">
        <v>36</v>
      </c>
      <c r="J524" t="s">
        <v>37</v>
      </c>
      <c r="K524" t="s">
        <v>28</v>
      </c>
      <c r="L524">
        <v>2017</v>
      </c>
      <c r="M524" t="s">
        <v>38</v>
      </c>
      <c r="N524" t="s">
        <v>32</v>
      </c>
    </row>
    <row r="525" spans="1:14" x14ac:dyDescent="0.2">
      <c r="A525">
        <v>534292868</v>
      </c>
      <c r="B525" t="s">
        <v>480</v>
      </c>
      <c r="C525" t="s">
        <v>456</v>
      </c>
      <c r="D525" t="s">
        <v>568</v>
      </c>
      <c r="E525" s="8">
        <v>0.62666666666666671</v>
      </c>
      <c r="F525" t="s">
        <v>487</v>
      </c>
      <c r="G525">
        <v>211</v>
      </c>
      <c r="H525" t="s">
        <v>35</v>
      </c>
      <c r="I525" t="s">
        <v>36</v>
      </c>
      <c r="J525" t="s">
        <v>37</v>
      </c>
      <c r="K525" t="s">
        <v>28</v>
      </c>
      <c r="L525">
        <v>2017</v>
      </c>
      <c r="M525" t="s">
        <v>38</v>
      </c>
      <c r="N525" t="s">
        <v>32</v>
      </c>
    </row>
    <row r="526" spans="1:14" x14ac:dyDescent="0.2">
      <c r="A526">
        <v>534292868</v>
      </c>
      <c r="B526" t="s">
        <v>480</v>
      </c>
      <c r="C526" t="s">
        <v>452</v>
      </c>
      <c r="D526" t="s">
        <v>568</v>
      </c>
      <c r="E526" s="8">
        <v>0.62666666666666671</v>
      </c>
      <c r="F526" t="s">
        <v>487</v>
      </c>
      <c r="G526">
        <v>211</v>
      </c>
      <c r="H526" t="s">
        <v>35</v>
      </c>
      <c r="I526" t="s">
        <v>36</v>
      </c>
      <c r="J526" t="s">
        <v>37</v>
      </c>
      <c r="K526" t="s">
        <v>28</v>
      </c>
      <c r="L526">
        <v>2017</v>
      </c>
      <c r="M526" t="s">
        <v>38</v>
      </c>
      <c r="N526" t="s">
        <v>32</v>
      </c>
    </row>
    <row r="527" spans="1:14" x14ac:dyDescent="0.2">
      <c r="A527">
        <v>534292868</v>
      </c>
      <c r="B527" t="s">
        <v>481</v>
      </c>
      <c r="C527" t="s">
        <v>533</v>
      </c>
      <c r="D527" t="s">
        <v>569</v>
      </c>
      <c r="E527" s="8">
        <v>0.08</v>
      </c>
      <c r="F527" t="s">
        <v>487</v>
      </c>
      <c r="G527">
        <v>211</v>
      </c>
      <c r="H527" t="s">
        <v>35</v>
      </c>
      <c r="I527" t="s">
        <v>36</v>
      </c>
      <c r="J527" t="s">
        <v>37</v>
      </c>
      <c r="K527" t="s">
        <v>28</v>
      </c>
      <c r="L527">
        <v>2017</v>
      </c>
      <c r="M527" t="s">
        <v>38</v>
      </c>
      <c r="N527" t="s">
        <v>32</v>
      </c>
    </row>
    <row r="528" spans="1:14" x14ac:dyDescent="0.2">
      <c r="A528">
        <v>534292868</v>
      </c>
      <c r="B528" t="s">
        <v>481</v>
      </c>
      <c r="C528" t="s">
        <v>106</v>
      </c>
      <c r="D528" t="s">
        <v>569</v>
      </c>
      <c r="E528" s="8">
        <v>0.08</v>
      </c>
      <c r="F528" t="s">
        <v>487</v>
      </c>
      <c r="G528">
        <v>211</v>
      </c>
      <c r="H528" t="s">
        <v>35</v>
      </c>
      <c r="I528" t="s">
        <v>36</v>
      </c>
      <c r="J528" t="s">
        <v>37</v>
      </c>
      <c r="K528" t="s">
        <v>28</v>
      </c>
      <c r="L528">
        <v>2017</v>
      </c>
      <c r="M528" t="s">
        <v>38</v>
      </c>
      <c r="N528" t="s">
        <v>32</v>
      </c>
    </row>
    <row r="529" spans="1:14" x14ac:dyDescent="0.2">
      <c r="A529">
        <v>534292868</v>
      </c>
      <c r="B529" t="s">
        <v>43</v>
      </c>
      <c r="C529" t="s">
        <v>59</v>
      </c>
      <c r="D529" t="s">
        <v>570</v>
      </c>
      <c r="E529" s="8">
        <v>0.40799999999999997</v>
      </c>
      <c r="F529" t="s">
        <v>487</v>
      </c>
      <c r="G529">
        <v>211</v>
      </c>
      <c r="H529" t="s">
        <v>35</v>
      </c>
      <c r="I529" t="s">
        <v>36</v>
      </c>
      <c r="J529" t="s">
        <v>37</v>
      </c>
      <c r="K529" t="s">
        <v>28</v>
      </c>
      <c r="L529">
        <v>2017</v>
      </c>
      <c r="M529" t="s">
        <v>38</v>
      </c>
      <c r="N529" t="s">
        <v>32</v>
      </c>
    </row>
    <row r="530" spans="1:14" x14ac:dyDescent="0.2">
      <c r="A530">
        <v>534292868</v>
      </c>
      <c r="B530" t="s">
        <v>482</v>
      </c>
      <c r="C530" t="s">
        <v>436</v>
      </c>
      <c r="D530" t="s">
        <v>561</v>
      </c>
      <c r="E530" s="8">
        <v>0.70428571428571429</v>
      </c>
      <c r="F530" t="s">
        <v>487</v>
      </c>
      <c r="G530">
        <v>211</v>
      </c>
      <c r="H530" t="s">
        <v>35</v>
      </c>
      <c r="I530" t="s">
        <v>36</v>
      </c>
      <c r="J530" t="s">
        <v>37</v>
      </c>
      <c r="K530" t="s">
        <v>28</v>
      </c>
      <c r="L530">
        <v>2017</v>
      </c>
      <c r="M530" t="s">
        <v>38</v>
      </c>
      <c r="N530" t="s">
        <v>32</v>
      </c>
    </row>
    <row r="531" spans="1:14" x14ac:dyDescent="0.2">
      <c r="A531">
        <v>534292868</v>
      </c>
      <c r="B531" t="s">
        <v>482</v>
      </c>
      <c r="C531" t="s">
        <v>436</v>
      </c>
      <c r="D531" t="s">
        <v>561</v>
      </c>
      <c r="E531" s="8">
        <v>0.82</v>
      </c>
      <c r="F531" t="s">
        <v>487</v>
      </c>
      <c r="G531">
        <v>211</v>
      </c>
      <c r="H531" t="s">
        <v>35</v>
      </c>
      <c r="I531" t="s">
        <v>36</v>
      </c>
      <c r="J531" t="s">
        <v>37</v>
      </c>
      <c r="K531" t="s">
        <v>28</v>
      </c>
      <c r="L531">
        <v>2017</v>
      </c>
      <c r="M531" t="s">
        <v>38</v>
      </c>
      <c r="N531" t="s">
        <v>32</v>
      </c>
    </row>
    <row r="532" spans="1:14" x14ac:dyDescent="0.2">
      <c r="A532">
        <v>534292868</v>
      </c>
      <c r="B532" t="s">
        <v>483</v>
      </c>
      <c r="C532" t="s">
        <v>197</v>
      </c>
      <c r="D532" t="s">
        <v>556</v>
      </c>
      <c r="E532" s="8">
        <v>0.9</v>
      </c>
      <c r="F532" t="s">
        <v>487</v>
      </c>
      <c r="G532">
        <v>211</v>
      </c>
      <c r="H532" t="s">
        <v>35</v>
      </c>
      <c r="I532" t="s">
        <v>36</v>
      </c>
      <c r="J532" t="s">
        <v>37</v>
      </c>
      <c r="K532" t="s">
        <v>28</v>
      </c>
      <c r="L532">
        <v>2017</v>
      </c>
      <c r="M532" t="s">
        <v>38</v>
      </c>
      <c r="N532" t="s">
        <v>32</v>
      </c>
    </row>
    <row r="533" spans="1:14" x14ac:dyDescent="0.2">
      <c r="A533">
        <v>534292868</v>
      </c>
      <c r="B533" t="s">
        <v>483</v>
      </c>
      <c r="C533" t="s">
        <v>196</v>
      </c>
      <c r="D533" t="s">
        <v>557</v>
      </c>
      <c r="E533" s="8">
        <v>0.08</v>
      </c>
      <c r="F533" t="s">
        <v>487</v>
      </c>
      <c r="G533">
        <v>211</v>
      </c>
      <c r="H533" t="s">
        <v>35</v>
      </c>
      <c r="I533" t="s">
        <v>36</v>
      </c>
      <c r="J533" t="s">
        <v>37</v>
      </c>
      <c r="K533" t="s">
        <v>28</v>
      </c>
      <c r="L533">
        <v>2017</v>
      </c>
      <c r="M533" t="s">
        <v>38</v>
      </c>
      <c r="N533" t="s">
        <v>32</v>
      </c>
    </row>
    <row r="534" spans="1:14" x14ac:dyDescent="0.2">
      <c r="A534">
        <v>534292868</v>
      </c>
      <c r="B534" t="s">
        <v>483</v>
      </c>
      <c r="C534" t="s">
        <v>197</v>
      </c>
      <c r="D534" t="s">
        <v>556</v>
      </c>
      <c r="E534" s="8">
        <v>0.62666666666666671</v>
      </c>
      <c r="F534" t="s">
        <v>487</v>
      </c>
      <c r="G534">
        <v>211</v>
      </c>
      <c r="H534" t="s">
        <v>35</v>
      </c>
      <c r="I534" t="s">
        <v>36</v>
      </c>
      <c r="J534" t="s">
        <v>37</v>
      </c>
      <c r="K534" t="s">
        <v>28</v>
      </c>
      <c r="L534">
        <v>2017</v>
      </c>
      <c r="M534" t="s">
        <v>38</v>
      </c>
      <c r="N534" t="s">
        <v>32</v>
      </c>
    </row>
    <row r="535" spans="1:14" x14ac:dyDescent="0.2">
      <c r="A535">
        <v>534292868</v>
      </c>
      <c r="B535" t="s">
        <v>483</v>
      </c>
      <c r="C535" t="s">
        <v>196</v>
      </c>
      <c r="D535" t="s">
        <v>557</v>
      </c>
      <c r="E535" s="8">
        <v>0.14399999999999999</v>
      </c>
      <c r="F535" t="s">
        <v>487</v>
      </c>
      <c r="G535">
        <v>211</v>
      </c>
      <c r="H535" t="s">
        <v>35</v>
      </c>
      <c r="I535" t="s">
        <v>36</v>
      </c>
      <c r="J535" t="s">
        <v>37</v>
      </c>
      <c r="K535" t="s">
        <v>28</v>
      </c>
      <c r="L535">
        <v>2017</v>
      </c>
      <c r="M535" t="s">
        <v>38</v>
      </c>
      <c r="N535" t="s">
        <v>32</v>
      </c>
    </row>
    <row r="536" spans="1:14" x14ac:dyDescent="0.2">
      <c r="A536">
        <v>534292868</v>
      </c>
      <c r="B536" t="s">
        <v>483</v>
      </c>
      <c r="C536" t="s">
        <v>197</v>
      </c>
      <c r="D536" t="s">
        <v>556</v>
      </c>
      <c r="E536" s="8">
        <v>0.18666666666666665</v>
      </c>
      <c r="F536" t="s">
        <v>487</v>
      </c>
      <c r="G536">
        <v>211</v>
      </c>
      <c r="H536" t="s">
        <v>35</v>
      </c>
      <c r="I536" t="s">
        <v>36</v>
      </c>
      <c r="J536" t="s">
        <v>37</v>
      </c>
      <c r="K536" t="s">
        <v>28</v>
      </c>
      <c r="L536">
        <v>2017</v>
      </c>
      <c r="M536" t="s">
        <v>38</v>
      </c>
      <c r="N536" t="s">
        <v>32</v>
      </c>
    </row>
    <row r="537" spans="1:14" x14ac:dyDescent="0.2">
      <c r="A537">
        <v>534292868</v>
      </c>
      <c r="B537" t="s">
        <v>484</v>
      </c>
      <c r="C537" t="s">
        <v>497</v>
      </c>
      <c r="D537" t="s">
        <v>558</v>
      </c>
      <c r="E537" s="8">
        <v>0.62666666666666671</v>
      </c>
      <c r="F537" t="s">
        <v>487</v>
      </c>
      <c r="G537">
        <v>211</v>
      </c>
      <c r="H537" t="s">
        <v>35</v>
      </c>
      <c r="I537" t="s">
        <v>36</v>
      </c>
      <c r="J537" t="s">
        <v>37</v>
      </c>
      <c r="K537" t="s">
        <v>28</v>
      </c>
      <c r="L537">
        <v>2017</v>
      </c>
      <c r="M537" t="s">
        <v>38</v>
      </c>
      <c r="N537" t="s">
        <v>32</v>
      </c>
    </row>
    <row r="538" spans="1:14" x14ac:dyDescent="0.2">
      <c r="A538">
        <v>534292868</v>
      </c>
      <c r="B538" t="s">
        <v>484</v>
      </c>
      <c r="C538" t="s">
        <v>500</v>
      </c>
      <c r="D538" t="s">
        <v>558</v>
      </c>
      <c r="E538" s="8">
        <v>0.70499999999999996</v>
      </c>
      <c r="F538" t="s">
        <v>487</v>
      </c>
      <c r="G538">
        <v>211</v>
      </c>
      <c r="H538" t="s">
        <v>35</v>
      </c>
      <c r="I538" t="s">
        <v>36</v>
      </c>
      <c r="J538" t="s">
        <v>37</v>
      </c>
      <c r="K538" t="s">
        <v>28</v>
      </c>
      <c r="L538">
        <v>2017</v>
      </c>
      <c r="M538" t="s">
        <v>38</v>
      </c>
      <c r="N538" t="s">
        <v>32</v>
      </c>
    </row>
    <row r="539" spans="1:14" x14ac:dyDescent="0.2">
      <c r="A539">
        <v>534292868</v>
      </c>
      <c r="B539" t="s">
        <v>484</v>
      </c>
      <c r="C539" t="s">
        <v>501</v>
      </c>
      <c r="D539" t="s">
        <v>558</v>
      </c>
      <c r="E539" s="8">
        <v>0.63</v>
      </c>
      <c r="F539" t="s">
        <v>487</v>
      </c>
      <c r="G539">
        <v>211</v>
      </c>
      <c r="H539" t="s">
        <v>35</v>
      </c>
      <c r="I539" t="s">
        <v>36</v>
      </c>
      <c r="J539" t="s">
        <v>37</v>
      </c>
      <c r="K539" t="s">
        <v>28</v>
      </c>
      <c r="L539">
        <v>2017</v>
      </c>
      <c r="M539" t="s">
        <v>38</v>
      </c>
      <c r="N539" t="s">
        <v>32</v>
      </c>
    </row>
    <row r="540" spans="1:14" x14ac:dyDescent="0.2">
      <c r="A540">
        <v>534292868</v>
      </c>
      <c r="B540" t="s">
        <v>485</v>
      </c>
      <c r="C540" t="s">
        <v>346</v>
      </c>
      <c r="D540" t="s">
        <v>559</v>
      </c>
      <c r="E540" s="8">
        <v>0.08</v>
      </c>
      <c r="F540" t="s">
        <v>487</v>
      </c>
      <c r="G540">
        <v>211</v>
      </c>
      <c r="H540" t="s">
        <v>35</v>
      </c>
      <c r="I540" t="s">
        <v>36</v>
      </c>
      <c r="J540" t="s">
        <v>37</v>
      </c>
      <c r="K540" t="s">
        <v>28</v>
      </c>
      <c r="L540">
        <v>2017</v>
      </c>
      <c r="M540" t="s">
        <v>38</v>
      </c>
      <c r="N540" t="s">
        <v>32</v>
      </c>
    </row>
    <row r="541" spans="1:14" x14ac:dyDescent="0.2">
      <c r="A541">
        <v>534292868</v>
      </c>
      <c r="B541" t="s">
        <v>485</v>
      </c>
      <c r="C541" t="s">
        <v>342</v>
      </c>
      <c r="D541" t="s">
        <v>559</v>
      </c>
      <c r="E541" s="8">
        <v>0.1525</v>
      </c>
      <c r="F541" t="s">
        <v>487</v>
      </c>
      <c r="G541">
        <v>211</v>
      </c>
      <c r="H541" t="s">
        <v>35</v>
      </c>
      <c r="I541" t="s">
        <v>36</v>
      </c>
      <c r="J541" t="s">
        <v>37</v>
      </c>
      <c r="K541" t="s">
        <v>28</v>
      </c>
      <c r="L541">
        <v>2017</v>
      </c>
      <c r="M541" t="s">
        <v>38</v>
      </c>
      <c r="N541" t="s">
        <v>32</v>
      </c>
    </row>
    <row r="542" spans="1:14" x14ac:dyDescent="0.2">
      <c r="A542">
        <v>563937624</v>
      </c>
      <c r="B542" t="s">
        <v>478</v>
      </c>
      <c r="C542" t="s">
        <v>276</v>
      </c>
      <c r="D542" t="s">
        <v>546</v>
      </c>
      <c r="E542" s="8">
        <v>0.28333333333333333</v>
      </c>
      <c r="F542" t="s">
        <v>487</v>
      </c>
      <c r="G542">
        <v>211</v>
      </c>
      <c r="H542" t="s">
        <v>35</v>
      </c>
      <c r="I542" t="s">
        <v>36</v>
      </c>
      <c r="J542" t="s">
        <v>37</v>
      </c>
      <c r="K542" t="s">
        <v>28</v>
      </c>
      <c r="L542">
        <v>2017</v>
      </c>
      <c r="M542" t="s">
        <v>38</v>
      </c>
      <c r="N542" t="s">
        <v>32</v>
      </c>
    </row>
    <row r="543" spans="1:14" x14ac:dyDescent="0.2">
      <c r="A543">
        <v>563937624</v>
      </c>
      <c r="B543" t="s">
        <v>478</v>
      </c>
      <c r="C543" t="s">
        <v>247</v>
      </c>
      <c r="D543" t="s">
        <v>546</v>
      </c>
      <c r="E543" s="8">
        <v>0.38799999999999996</v>
      </c>
      <c r="F543" t="s">
        <v>487</v>
      </c>
      <c r="G543">
        <v>211</v>
      </c>
      <c r="H543" t="s">
        <v>35</v>
      </c>
      <c r="I543" t="s">
        <v>36</v>
      </c>
      <c r="J543" t="s">
        <v>37</v>
      </c>
      <c r="K543" t="s">
        <v>28</v>
      </c>
      <c r="L543">
        <v>2017</v>
      </c>
      <c r="M543" t="s">
        <v>38</v>
      </c>
      <c r="N543" t="s">
        <v>32</v>
      </c>
    </row>
    <row r="544" spans="1:14" x14ac:dyDescent="0.2">
      <c r="A544">
        <v>563937624</v>
      </c>
      <c r="B544" t="s">
        <v>40</v>
      </c>
      <c r="C544" t="s">
        <v>435</v>
      </c>
      <c r="D544" t="s">
        <v>560</v>
      </c>
      <c r="E544" s="8">
        <v>0.05</v>
      </c>
      <c r="F544" t="s">
        <v>487</v>
      </c>
      <c r="G544">
        <v>211</v>
      </c>
      <c r="H544" t="s">
        <v>35</v>
      </c>
      <c r="I544" t="s">
        <v>36</v>
      </c>
      <c r="J544" t="s">
        <v>37</v>
      </c>
      <c r="K544" t="s">
        <v>28</v>
      </c>
      <c r="L544">
        <v>2017</v>
      </c>
      <c r="M544" t="s">
        <v>38</v>
      </c>
      <c r="N544" t="s">
        <v>32</v>
      </c>
    </row>
    <row r="545" spans="1:14" x14ac:dyDescent="0.2">
      <c r="A545">
        <v>563937624</v>
      </c>
      <c r="B545" t="s">
        <v>40</v>
      </c>
      <c r="C545" t="s">
        <v>393</v>
      </c>
      <c r="D545" t="s">
        <v>560</v>
      </c>
      <c r="E545" s="8">
        <v>0.57333333333333347</v>
      </c>
      <c r="F545" t="s">
        <v>487</v>
      </c>
      <c r="G545">
        <v>211</v>
      </c>
      <c r="H545" t="s">
        <v>35</v>
      </c>
      <c r="I545" t="s">
        <v>36</v>
      </c>
      <c r="J545" t="s">
        <v>37</v>
      </c>
      <c r="K545" t="s">
        <v>28</v>
      </c>
      <c r="L545">
        <v>2017</v>
      </c>
      <c r="M545" t="s">
        <v>38</v>
      </c>
      <c r="N545" t="s">
        <v>32</v>
      </c>
    </row>
    <row r="546" spans="1:14" x14ac:dyDescent="0.2">
      <c r="A546">
        <v>563937624</v>
      </c>
      <c r="B546" t="s">
        <v>41</v>
      </c>
      <c r="C546" t="s">
        <v>212</v>
      </c>
      <c r="D546" t="s">
        <v>562</v>
      </c>
      <c r="E546" s="8">
        <v>8.7499999999999994E-2</v>
      </c>
      <c r="F546" t="s">
        <v>487</v>
      </c>
      <c r="G546">
        <v>211</v>
      </c>
      <c r="H546" t="s">
        <v>35</v>
      </c>
      <c r="I546" t="s">
        <v>36</v>
      </c>
      <c r="J546" t="s">
        <v>37</v>
      </c>
      <c r="K546" t="s">
        <v>28</v>
      </c>
      <c r="L546">
        <v>2017</v>
      </c>
      <c r="M546" t="s">
        <v>38</v>
      </c>
      <c r="N546" t="s">
        <v>32</v>
      </c>
    </row>
    <row r="547" spans="1:14" x14ac:dyDescent="0.2">
      <c r="A547">
        <v>563937624</v>
      </c>
      <c r="B547" t="s">
        <v>41</v>
      </c>
      <c r="C547" t="s">
        <v>207</v>
      </c>
      <c r="D547" t="s">
        <v>562</v>
      </c>
      <c r="E547" s="8">
        <v>0.36166666666666669</v>
      </c>
      <c r="F547" t="s">
        <v>487</v>
      </c>
      <c r="G547">
        <v>211</v>
      </c>
      <c r="H547" t="s">
        <v>35</v>
      </c>
      <c r="I547" t="s">
        <v>36</v>
      </c>
      <c r="J547" t="s">
        <v>37</v>
      </c>
      <c r="K547" t="s">
        <v>28</v>
      </c>
      <c r="L547">
        <v>2017</v>
      </c>
      <c r="M547" t="s">
        <v>38</v>
      </c>
      <c r="N547" t="s">
        <v>32</v>
      </c>
    </row>
    <row r="548" spans="1:14" x14ac:dyDescent="0.2">
      <c r="A548">
        <v>563937624</v>
      </c>
      <c r="B548" t="s">
        <v>41</v>
      </c>
      <c r="C548" t="s">
        <v>221</v>
      </c>
      <c r="D548" t="s">
        <v>563</v>
      </c>
      <c r="E548" s="8">
        <v>0.4</v>
      </c>
      <c r="F548" t="s">
        <v>487</v>
      </c>
      <c r="G548">
        <v>211</v>
      </c>
      <c r="H548" t="s">
        <v>35</v>
      </c>
      <c r="I548" t="s">
        <v>36</v>
      </c>
      <c r="J548" t="s">
        <v>37</v>
      </c>
      <c r="K548" t="s">
        <v>28</v>
      </c>
      <c r="L548">
        <v>2017</v>
      </c>
      <c r="M548" t="s">
        <v>38</v>
      </c>
      <c r="N548" t="s">
        <v>32</v>
      </c>
    </row>
    <row r="549" spans="1:14" x14ac:dyDescent="0.2">
      <c r="A549">
        <v>563937624</v>
      </c>
      <c r="B549" t="s">
        <v>42</v>
      </c>
      <c r="C549" t="s">
        <v>159</v>
      </c>
      <c r="D549" t="s">
        <v>564</v>
      </c>
      <c r="E549" s="8">
        <v>0.2</v>
      </c>
      <c r="F549" t="s">
        <v>487</v>
      </c>
      <c r="G549">
        <v>211</v>
      </c>
      <c r="H549" t="s">
        <v>35</v>
      </c>
      <c r="I549" t="s">
        <v>36</v>
      </c>
      <c r="J549" t="s">
        <v>37</v>
      </c>
      <c r="K549" t="s">
        <v>28</v>
      </c>
      <c r="L549">
        <v>2017</v>
      </c>
      <c r="M549" t="s">
        <v>38</v>
      </c>
      <c r="N549" t="s">
        <v>32</v>
      </c>
    </row>
    <row r="550" spans="1:14" x14ac:dyDescent="0.2">
      <c r="A550">
        <v>563937624</v>
      </c>
      <c r="B550" t="s">
        <v>42</v>
      </c>
      <c r="C550" t="s">
        <v>135</v>
      </c>
      <c r="D550" t="s">
        <v>565</v>
      </c>
      <c r="E550" s="8">
        <v>0.05</v>
      </c>
      <c r="F550" t="s">
        <v>487</v>
      </c>
      <c r="G550">
        <v>211</v>
      </c>
      <c r="H550" t="s">
        <v>35</v>
      </c>
      <c r="I550" t="s">
        <v>36</v>
      </c>
      <c r="J550" t="s">
        <v>37</v>
      </c>
      <c r="K550" t="s">
        <v>28</v>
      </c>
      <c r="L550">
        <v>2017</v>
      </c>
      <c r="M550" t="s">
        <v>38</v>
      </c>
      <c r="N550" t="s">
        <v>32</v>
      </c>
    </row>
    <row r="551" spans="1:14" x14ac:dyDescent="0.2">
      <c r="A551">
        <v>563937624</v>
      </c>
      <c r="B551" t="s">
        <v>42</v>
      </c>
      <c r="C551" t="s">
        <v>56</v>
      </c>
      <c r="D551" t="s">
        <v>565</v>
      </c>
      <c r="E551" s="8">
        <v>0.05</v>
      </c>
      <c r="F551" t="s">
        <v>487</v>
      </c>
      <c r="G551">
        <v>211</v>
      </c>
      <c r="H551" t="s">
        <v>35</v>
      </c>
      <c r="I551" t="s">
        <v>36</v>
      </c>
      <c r="J551" t="s">
        <v>37</v>
      </c>
      <c r="K551" t="s">
        <v>28</v>
      </c>
      <c r="L551">
        <v>2017</v>
      </c>
      <c r="M551" t="s">
        <v>38</v>
      </c>
      <c r="N551" t="s">
        <v>32</v>
      </c>
    </row>
    <row r="552" spans="1:14" x14ac:dyDescent="0.2">
      <c r="A552">
        <v>563937624</v>
      </c>
      <c r="B552" t="s">
        <v>42</v>
      </c>
      <c r="C552" t="s">
        <v>155</v>
      </c>
      <c r="D552" t="s">
        <v>564</v>
      </c>
      <c r="E552" s="8">
        <v>0.2</v>
      </c>
      <c r="F552" t="s">
        <v>487</v>
      </c>
      <c r="G552">
        <v>211</v>
      </c>
      <c r="H552" t="s">
        <v>35</v>
      </c>
      <c r="I552" t="s">
        <v>36</v>
      </c>
      <c r="J552" t="s">
        <v>37</v>
      </c>
      <c r="K552" t="s">
        <v>28</v>
      </c>
      <c r="L552">
        <v>2017</v>
      </c>
      <c r="M552" t="s">
        <v>38</v>
      </c>
      <c r="N552" t="s">
        <v>32</v>
      </c>
    </row>
    <row r="553" spans="1:14" x14ac:dyDescent="0.2">
      <c r="A553">
        <v>563937624</v>
      </c>
      <c r="B553" t="s">
        <v>479</v>
      </c>
      <c r="C553" t="s">
        <v>57</v>
      </c>
      <c r="D553" t="s">
        <v>566</v>
      </c>
      <c r="E553" s="8">
        <v>0.41333333333333339</v>
      </c>
      <c r="F553" t="s">
        <v>487</v>
      </c>
      <c r="G553">
        <v>211</v>
      </c>
      <c r="H553" t="s">
        <v>35</v>
      </c>
      <c r="I553" t="s">
        <v>36</v>
      </c>
      <c r="J553" t="s">
        <v>37</v>
      </c>
      <c r="K553" t="s">
        <v>28</v>
      </c>
      <c r="L553">
        <v>2017</v>
      </c>
      <c r="M553" t="s">
        <v>38</v>
      </c>
      <c r="N553" t="s">
        <v>32</v>
      </c>
    </row>
    <row r="554" spans="1:14" x14ac:dyDescent="0.2">
      <c r="A554">
        <v>563937624</v>
      </c>
      <c r="B554" t="s">
        <v>479</v>
      </c>
      <c r="C554" t="s">
        <v>58</v>
      </c>
      <c r="D554" t="s">
        <v>567</v>
      </c>
      <c r="E554" s="8">
        <v>0.2</v>
      </c>
      <c r="F554" t="s">
        <v>487</v>
      </c>
      <c r="G554">
        <v>211</v>
      </c>
      <c r="H554" t="s">
        <v>35</v>
      </c>
      <c r="I554" t="s">
        <v>36</v>
      </c>
      <c r="J554" t="s">
        <v>37</v>
      </c>
      <c r="K554" t="s">
        <v>28</v>
      </c>
      <c r="L554">
        <v>2017</v>
      </c>
      <c r="M554" t="s">
        <v>38</v>
      </c>
      <c r="N554" t="s">
        <v>32</v>
      </c>
    </row>
    <row r="555" spans="1:14" x14ac:dyDescent="0.2">
      <c r="A555">
        <v>563937624</v>
      </c>
      <c r="B555" t="s">
        <v>480</v>
      </c>
      <c r="C555" t="s">
        <v>456</v>
      </c>
      <c r="D555" t="s">
        <v>568</v>
      </c>
      <c r="E555" s="8">
        <v>0.1</v>
      </c>
      <c r="F555" t="s">
        <v>487</v>
      </c>
      <c r="G555">
        <v>211</v>
      </c>
      <c r="H555" t="s">
        <v>35</v>
      </c>
      <c r="I555" t="s">
        <v>36</v>
      </c>
      <c r="J555" t="s">
        <v>37</v>
      </c>
      <c r="K555" t="s">
        <v>28</v>
      </c>
      <c r="L555">
        <v>2017</v>
      </c>
      <c r="M555" t="s">
        <v>38</v>
      </c>
      <c r="N555" t="s">
        <v>32</v>
      </c>
    </row>
    <row r="556" spans="1:14" x14ac:dyDescent="0.2">
      <c r="A556">
        <v>563937624</v>
      </c>
      <c r="B556" t="s">
        <v>480</v>
      </c>
      <c r="C556" t="s">
        <v>452</v>
      </c>
      <c r="D556" t="s">
        <v>568</v>
      </c>
      <c r="E556" s="8">
        <v>0.1</v>
      </c>
      <c r="F556" t="s">
        <v>487</v>
      </c>
      <c r="G556">
        <v>211</v>
      </c>
      <c r="H556" t="s">
        <v>35</v>
      </c>
      <c r="I556" t="s">
        <v>36</v>
      </c>
      <c r="J556" t="s">
        <v>37</v>
      </c>
      <c r="K556" t="s">
        <v>28</v>
      </c>
      <c r="L556">
        <v>2017</v>
      </c>
      <c r="M556" t="s">
        <v>38</v>
      </c>
      <c r="N556" t="s">
        <v>32</v>
      </c>
    </row>
    <row r="557" spans="1:14" x14ac:dyDescent="0.2">
      <c r="A557">
        <v>563937624</v>
      </c>
      <c r="B557" t="s">
        <v>481</v>
      </c>
      <c r="C557" t="s">
        <v>533</v>
      </c>
      <c r="D557" t="s">
        <v>569</v>
      </c>
      <c r="E557" s="8">
        <v>0.2</v>
      </c>
      <c r="F557" t="s">
        <v>487</v>
      </c>
      <c r="G557">
        <v>211</v>
      </c>
      <c r="H557" t="s">
        <v>35</v>
      </c>
      <c r="I557" t="s">
        <v>36</v>
      </c>
      <c r="J557" t="s">
        <v>37</v>
      </c>
      <c r="K557" t="s">
        <v>28</v>
      </c>
      <c r="L557">
        <v>2017</v>
      </c>
      <c r="M557" t="s">
        <v>38</v>
      </c>
      <c r="N557" t="s">
        <v>32</v>
      </c>
    </row>
    <row r="558" spans="1:14" x14ac:dyDescent="0.2">
      <c r="A558">
        <v>563937624</v>
      </c>
      <c r="B558" t="s">
        <v>481</v>
      </c>
      <c r="C558" t="s">
        <v>106</v>
      </c>
      <c r="D558" t="s">
        <v>569</v>
      </c>
      <c r="E558" s="8">
        <v>0.2</v>
      </c>
      <c r="F558" t="s">
        <v>487</v>
      </c>
      <c r="G558">
        <v>211</v>
      </c>
      <c r="H558" t="s">
        <v>35</v>
      </c>
      <c r="I558" t="s">
        <v>36</v>
      </c>
      <c r="J558" t="s">
        <v>37</v>
      </c>
      <c r="K558" t="s">
        <v>28</v>
      </c>
      <c r="L558">
        <v>2017</v>
      </c>
      <c r="M558" t="s">
        <v>38</v>
      </c>
      <c r="N558" t="s">
        <v>32</v>
      </c>
    </row>
    <row r="559" spans="1:14" x14ac:dyDescent="0.2">
      <c r="A559">
        <v>563937624</v>
      </c>
      <c r="B559" t="s">
        <v>43</v>
      </c>
      <c r="C559" t="s">
        <v>59</v>
      </c>
      <c r="D559" t="s">
        <v>570</v>
      </c>
      <c r="E559" s="8">
        <v>0.14000000000000001</v>
      </c>
      <c r="F559" t="s">
        <v>487</v>
      </c>
      <c r="G559">
        <v>211</v>
      </c>
      <c r="H559" t="s">
        <v>35</v>
      </c>
      <c r="I559" t="s">
        <v>36</v>
      </c>
      <c r="J559" t="s">
        <v>37</v>
      </c>
      <c r="K559" t="s">
        <v>28</v>
      </c>
      <c r="L559">
        <v>2017</v>
      </c>
      <c r="M559" t="s">
        <v>38</v>
      </c>
      <c r="N559" t="s">
        <v>32</v>
      </c>
    </row>
    <row r="560" spans="1:14" x14ac:dyDescent="0.2">
      <c r="A560">
        <v>563937624</v>
      </c>
      <c r="B560" t="s">
        <v>482</v>
      </c>
      <c r="C560" t="s">
        <v>436</v>
      </c>
      <c r="D560" t="s">
        <v>561</v>
      </c>
      <c r="E560" s="8">
        <v>0.38428571428571429</v>
      </c>
      <c r="F560" t="s">
        <v>487</v>
      </c>
      <c r="G560">
        <v>211</v>
      </c>
      <c r="H560" t="s">
        <v>35</v>
      </c>
      <c r="I560" t="s">
        <v>36</v>
      </c>
      <c r="J560" t="s">
        <v>37</v>
      </c>
      <c r="K560" t="s">
        <v>28</v>
      </c>
      <c r="L560">
        <v>2017</v>
      </c>
      <c r="M560" t="s">
        <v>38</v>
      </c>
      <c r="N560" t="s">
        <v>32</v>
      </c>
    </row>
    <row r="561" spans="1:14" x14ac:dyDescent="0.2">
      <c r="A561">
        <v>563937624</v>
      </c>
      <c r="B561" t="s">
        <v>482</v>
      </c>
      <c r="C561" t="s">
        <v>436</v>
      </c>
      <c r="D561" t="s">
        <v>561</v>
      </c>
      <c r="E561" s="8">
        <v>0.18</v>
      </c>
      <c r="F561" t="s">
        <v>487</v>
      </c>
      <c r="G561">
        <v>211</v>
      </c>
      <c r="H561" t="s">
        <v>35</v>
      </c>
      <c r="I561" t="s">
        <v>36</v>
      </c>
      <c r="J561" t="s">
        <v>37</v>
      </c>
      <c r="K561" t="s">
        <v>28</v>
      </c>
      <c r="L561">
        <v>2017</v>
      </c>
      <c r="M561" t="s">
        <v>38</v>
      </c>
      <c r="N561" t="s">
        <v>32</v>
      </c>
    </row>
    <row r="562" spans="1:14" x14ac:dyDescent="0.2">
      <c r="A562">
        <v>563937624</v>
      </c>
      <c r="B562" t="s">
        <v>483</v>
      </c>
      <c r="C562" t="s">
        <v>197</v>
      </c>
      <c r="D562" t="s">
        <v>556</v>
      </c>
      <c r="E562" s="8">
        <v>0.05</v>
      </c>
      <c r="F562" t="s">
        <v>487</v>
      </c>
      <c r="G562">
        <v>211</v>
      </c>
      <c r="H562" t="s">
        <v>35</v>
      </c>
      <c r="I562" t="s">
        <v>36</v>
      </c>
      <c r="J562" t="s">
        <v>37</v>
      </c>
      <c r="K562" t="s">
        <v>28</v>
      </c>
      <c r="L562">
        <v>2017</v>
      </c>
      <c r="M562" t="s">
        <v>38</v>
      </c>
      <c r="N562" t="s">
        <v>32</v>
      </c>
    </row>
    <row r="563" spans="1:14" x14ac:dyDescent="0.2">
      <c r="A563">
        <v>563937624</v>
      </c>
      <c r="B563" t="s">
        <v>483</v>
      </c>
      <c r="C563" t="s">
        <v>196</v>
      </c>
      <c r="D563" t="s">
        <v>557</v>
      </c>
      <c r="E563" s="8">
        <v>0.2</v>
      </c>
      <c r="F563" t="s">
        <v>487</v>
      </c>
      <c r="G563">
        <v>211</v>
      </c>
      <c r="H563" t="s">
        <v>35</v>
      </c>
      <c r="I563" t="s">
        <v>36</v>
      </c>
      <c r="J563" t="s">
        <v>37</v>
      </c>
      <c r="K563" t="s">
        <v>28</v>
      </c>
      <c r="L563">
        <v>2017</v>
      </c>
      <c r="M563" t="s">
        <v>38</v>
      </c>
      <c r="N563" t="s">
        <v>32</v>
      </c>
    </row>
    <row r="564" spans="1:14" x14ac:dyDescent="0.2">
      <c r="A564">
        <v>563937624</v>
      </c>
      <c r="B564" t="s">
        <v>483</v>
      </c>
      <c r="C564" t="s">
        <v>197</v>
      </c>
      <c r="D564" t="s">
        <v>556</v>
      </c>
      <c r="E564" s="8">
        <v>0.1</v>
      </c>
      <c r="F564" t="s">
        <v>487</v>
      </c>
      <c r="G564">
        <v>211</v>
      </c>
      <c r="H564" t="s">
        <v>35</v>
      </c>
      <c r="I564" t="s">
        <v>36</v>
      </c>
      <c r="J564" t="s">
        <v>37</v>
      </c>
      <c r="K564" t="s">
        <v>28</v>
      </c>
      <c r="L564">
        <v>2017</v>
      </c>
      <c r="M564" t="s">
        <v>38</v>
      </c>
      <c r="N564" t="s">
        <v>32</v>
      </c>
    </row>
    <row r="565" spans="1:14" x14ac:dyDescent="0.2">
      <c r="A565">
        <v>563937624</v>
      </c>
      <c r="B565" t="s">
        <v>483</v>
      </c>
      <c r="C565" t="s">
        <v>196</v>
      </c>
      <c r="D565" t="s">
        <v>557</v>
      </c>
      <c r="E565" s="8">
        <v>0.32</v>
      </c>
      <c r="F565" t="s">
        <v>487</v>
      </c>
      <c r="G565">
        <v>211</v>
      </c>
      <c r="H565" t="s">
        <v>35</v>
      </c>
      <c r="I565" t="s">
        <v>36</v>
      </c>
      <c r="J565" t="s">
        <v>37</v>
      </c>
      <c r="K565" t="s">
        <v>28</v>
      </c>
      <c r="L565">
        <v>2017</v>
      </c>
      <c r="M565" t="s">
        <v>38</v>
      </c>
      <c r="N565" t="s">
        <v>32</v>
      </c>
    </row>
    <row r="566" spans="1:14" x14ac:dyDescent="0.2">
      <c r="A566">
        <v>563937624</v>
      </c>
      <c r="B566" t="s">
        <v>483</v>
      </c>
      <c r="C566" t="s">
        <v>197</v>
      </c>
      <c r="D566" t="s">
        <v>556</v>
      </c>
      <c r="E566" s="8">
        <v>0.4</v>
      </c>
      <c r="F566" t="s">
        <v>487</v>
      </c>
      <c r="G566">
        <v>211</v>
      </c>
      <c r="H566" t="s">
        <v>35</v>
      </c>
      <c r="I566" t="s">
        <v>36</v>
      </c>
      <c r="J566" t="s">
        <v>37</v>
      </c>
      <c r="K566" t="s">
        <v>28</v>
      </c>
      <c r="L566">
        <v>2017</v>
      </c>
      <c r="M566" t="s">
        <v>38</v>
      </c>
      <c r="N566" t="s">
        <v>32</v>
      </c>
    </row>
    <row r="567" spans="1:14" x14ac:dyDescent="0.2">
      <c r="A567">
        <v>563937624</v>
      </c>
      <c r="B567" t="s">
        <v>484</v>
      </c>
      <c r="C567" t="s">
        <v>497</v>
      </c>
      <c r="D567" t="s">
        <v>558</v>
      </c>
      <c r="E567" s="8">
        <v>0.1</v>
      </c>
      <c r="F567" t="s">
        <v>487</v>
      </c>
      <c r="G567">
        <v>211</v>
      </c>
      <c r="H567" t="s">
        <v>35</v>
      </c>
      <c r="I567" t="s">
        <v>36</v>
      </c>
      <c r="J567" t="s">
        <v>37</v>
      </c>
      <c r="K567" t="s">
        <v>28</v>
      </c>
      <c r="L567">
        <v>2017</v>
      </c>
      <c r="M567" t="s">
        <v>38</v>
      </c>
      <c r="N567" t="s">
        <v>32</v>
      </c>
    </row>
    <row r="568" spans="1:14" x14ac:dyDescent="0.2">
      <c r="A568">
        <v>563937624</v>
      </c>
      <c r="B568" t="s">
        <v>484</v>
      </c>
      <c r="C568" t="s">
        <v>500</v>
      </c>
      <c r="D568" t="s">
        <v>558</v>
      </c>
      <c r="E568" s="8">
        <v>0.28000000000000003</v>
      </c>
      <c r="F568" t="s">
        <v>487</v>
      </c>
      <c r="G568">
        <v>211</v>
      </c>
      <c r="H568" t="s">
        <v>35</v>
      </c>
      <c r="I568" t="s">
        <v>36</v>
      </c>
      <c r="J568" t="s">
        <v>37</v>
      </c>
      <c r="K568" t="s">
        <v>28</v>
      </c>
      <c r="L568">
        <v>2017</v>
      </c>
      <c r="M568" t="s">
        <v>38</v>
      </c>
      <c r="N568" t="s">
        <v>32</v>
      </c>
    </row>
    <row r="569" spans="1:14" x14ac:dyDescent="0.2">
      <c r="A569">
        <v>563937624</v>
      </c>
      <c r="B569" t="s">
        <v>484</v>
      </c>
      <c r="C569" t="s">
        <v>501</v>
      </c>
      <c r="D569" t="s">
        <v>558</v>
      </c>
      <c r="E569" s="8">
        <v>0.29874999999999996</v>
      </c>
      <c r="F569" t="s">
        <v>487</v>
      </c>
      <c r="G569">
        <v>211</v>
      </c>
      <c r="H569" t="s">
        <v>35</v>
      </c>
      <c r="I569" t="s">
        <v>36</v>
      </c>
      <c r="J569" t="s">
        <v>37</v>
      </c>
      <c r="K569" t="s">
        <v>28</v>
      </c>
      <c r="L569">
        <v>2017</v>
      </c>
      <c r="M569" t="s">
        <v>38</v>
      </c>
      <c r="N569" t="s">
        <v>32</v>
      </c>
    </row>
    <row r="570" spans="1:14" x14ac:dyDescent="0.2">
      <c r="A570">
        <v>563937624</v>
      </c>
      <c r="B570" t="s">
        <v>485</v>
      </c>
      <c r="C570" t="s">
        <v>346</v>
      </c>
      <c r="D570" t="s">
        <v>559</v>
      </c>
      <c r="E570" s="8">
        <v>0.2</v>
      </c>
      <c r="F570" t="s">
        <v>487</v>
      </c>
      <c r="G570">
        <v>211</v>
      </c>
      <c r="H570" t="s">
        <v>35</v>
      </c>
      <c r="I570" t="s">
        <v>36</v>
      </c>
      <c r="J570" t="s">
        <v>37</v>
      </c>
      <c r="K570" t="s">
        <v>28</v>
      </c>
      <c r="L570">
        <v>2017</v>
      </c>
      <c r="M570" t="s">
        <v>38</v>
      </c>
      <c r="N570" t="s">
        <v>32</v>
      </c>
    </row>
    <row r="571" spans="1:14" x14ac:dyDescent="0.2">
      <c r="A571">
        <v>563937624</v>
      </c>
      <c r="B571" t="s">
        <v>485</v>
      </c>
      <c r="C571" t="s">
        <v>342</v>
      </c>
      <c r="D571" t="s">
        <v>559</v>
      </c>
      <c r="E571" s="8">
        <v>0.47499999999999998</v>
      </c>
      <c r="F571" t="s">
        <v>487</v>
      </c>
      <c r="G571">
        <v>211</v>
      </c>
      <c r="H571" t="s">
        <v>35</v>
      </c>
      <c r="I571" t="s">
        <v>36</v>
      </c>
      <c r="J571" t="s">
        <v>37</v>
      </c>
      <c r="K571" t="s">
        <v>28</v>
      </c>
      <c r="L571">
        <v>2017</v>
      </c>
      <c r="M571" t="s">
        <v>38</v>
      </c>
      <c r="N571" t="s">
        <v>32</v>
      </c>
    </row>
    <row r="572" spans="1:14" x14ac:dyDescent="0.2">
      <c r="A572">
        <v>564410540</v>
      </c>
      <c r="B572" t="s">
        <v>478</v>
      </c>
      <c r="C572" t="s">
        <v>276</v>
      </c>
      <c r="D572" t="s">
        <v>546</v>
      </c>
      <c r="E572" s="8">
        <v>0.30666666666666664</v>
      </c>
      <c r="F572" t="s">
        <v>487</v>
      </c>
      <c r="G572">
        <v>211</v>
      </c>
      <c r="H572" t="s">
        <v>35</v>
      </c>
      <c r="I572" t="s">
        <v>36</v>
      </c>
      <c r="J572" t="s">
        <v>37</v>
      </c>
      <c r="K572" t="s">
        <v>28</v>
      </c>
      <c r="L572">
        <v>2017</v>
      </c>
      <c r="M572" t="s">
        <v>38</v>
      </c>
      <c r="N572" t="s">
        <v>32</v>
      </c>
    </row>
    <row r="573" spans="1:14" x14ac:dyDescent="0.2">
      <c r="A573">
        <v>564410540</v>
      </c>
      <c r="B573" t="s">
        <v>478</v>
      </c>
      <c r="C573" t="s">
        <v>247</v>
      </c>
      <c r="D573" t="s">
        <v>546</v>
      </c>
      <c r="E573" s="8">
        <v>0.28200000000000003</v>
      </c>
      <c r="F573" t="s">
        <v>487</v>
      </c>
      <c r="G573">
        <v>211</v>
      </c>
      <c r="H573" t="s">
        <v>35</v>
      </c>
      <c r="I573" t="s">
        <v>36</v>
      </c>
      <c r="J573" t="s">
        <v>37</v>
      </c>
      <c r="K573" t="s">
        <v>28</v>
      </c>
      <c r="L573">
        <v>2017</v>
      </c>
      <c r="M573" t="s">
        <v>38</v>
      </c>
      <c r="N573" t="s">
        <v>32</v>
      </c>
    </row>
    <row r="574" spans="1:14" x14ac:dyDescent="0.2">
      <c r="A574">
        <v>564410540</v>
      </c>
      <c r="B574" t="s">
        <v>40</v>
      </c>
      <c r="C574" t="s">
        <v>435</v>
      </c>
      <c r="D574" t="s">
        <v>560</v>
      </c>
      <c r="E574" s="8">
        <v>0.21000000000000002</v>
      </c>
      <c r="F574" t="s">
        <v>487</v>
      </c>
      <c r="G574">
        <v>211</v>
      </c>
      <c r="H574" t="s">
        <v>35</v>
      </c>
      <c r="I574" t="s">
        <v>36</v>
      </c>
      <c r="J574" t="s">
        <v>37</v>
      </c>
      <c r="K574" t="s">
        <v>28</v>
      </c>
      <c r="L574">
        <v>2017</v>
      </c>
      <c r="M574" t="s">
        <v>38</v>
      </c>
      <c r="N574" t="s">
        <v>32</v>
      </c>
    </row>
    <row r="575" spans="1:14" x14ac:dyDescent="0.2">
      <c r="A575">
        <v>564410540</v>
      </c>
      <c r="B575" t="s">
        <v>40</v>
      </c>
      <c r="C575" t="s">
        <v>393</v>
      </c>
      <c r="D575" t="s">
        <v>560</v>
      </c>
      <c r="E575" s="8">
        <v>0.48333333333333334</v>
      </c>
      <c r="F575" t="s">
        <v>487</v>
      </c>
      <c r="G575">
        <v>211</v>
      </c>
      <c r="H575" t="s">
        <v>35</v>
      </c>
      <c r="I575" t="s">
        <v>36</v>
      </c>
      <c r="J575" t="s">
        <v>37</v>
      </c>
      <c r="K575" t="s">
        <v>28</v>
      </c>
      <c r="L575">
        <v>2017</v>
      </c>
      <c r="M575" t="s">
        <v>38</v>
      </c>
      <c r="N575" t="s">
        <v>32</v>
      </c>
    </row>
    <row r="576" spans="1:14" x14ac:dyDescent="0.2">
      <c r="A576">
        <v>564410540</v>
      </c>
      <c r="B576" t="s">
        <v>41</v>
      </c>
      <c r="C576" t="s">
        <v>212</v>
      </c>
      <c r="D576" t="s">
        <v>562</v>
      </c>
      <c r="E576" s="8">
        <v>0.33750000000000002</v>
      </c>
      <c r="F576" t="s">
        <v>487</v>
      </c>
      <c r="G576">
        <v>211</v>
      </c>
      <c r="H576" t="s">
        <v>35</v>
      </c>
      <c r="I576" t="s">
        <v>36</v>
      </c>
      <c r="J576" t="s">
        <v>37</v>
      </c>
      <c r="K576" t="s">
        <v>28</v>
      </c>
      <c r="L576">
        <v>2017</v>
      </c>
      <c r="M576" t="s">
        <v>38</v>
      </c>
      <c r="N576" t="s">
        <v>32</v>
      </c>
    </row>
    <row r="577" spans="1:14" x14ac:dyDescent="0.2">
      <c r="A577">
        <v>564410540</v>
      </c>
      <c r="B577" t="s">
        <v>41</v>
      </c>
      <c r="C577" t="s">
        <v>207</v>
      </c>
      <c r="D577" t="s">
        <v>562</v>
      </c>
      <c r="E577" s="8">
        <v>0.51666666666666672</v>
      </c>
      <c r="F577" t="s">
        <v>487</v>
      </c>
      <c r="G577">
        <v>211</v>
      </c>
      <c r="H577" t="s">
        <v>35</v>
      </c>
      <c r="I577" t="s">
        <v>36</v>
      </c>
      <c r="J577" t="s">
        <v>37</v>
      </c>
      <c r="K577" t="s">
        <v>28</v>
      </c>
      <c r="L577">
        <v>2017</v>
      </c>
      <c r="M577" t="s">
        <v>38</v>
      </c>
      <c r="N577" t="s">
        <v>32</v>
      </c>
    </row>
    <row r="578" spans="1:14" x14ac:dyDescent="0.2">
      <c r="A578">
        <v>564410540</v>
      </c>
      <c r="B578" t="s">
        <v>41</v>
      </c>
      <c r="C578" t="s">
        <v>221</v>
      </c>
      <c r="D578" t="s">
        <v>563</v>
      </c>
      <c r="E578" s="8">
        <v>0.61333333333333329</v>
      </c>
      <c r="F578" t="s">
        <v>487</v>
      </c>
      <c r="G578">
        <v>211</v>
      </c>
      <c r="H578" t="s">
        <v>35</v>
      </c>
      <c r="I578" t="s">
        <v>36</v>
      </c>
      <c r="J578" t="s">
        <v>37</v>
      </c>
      <c r="K578" t="s">
        <v>28</v>
      </c>
      <c r="L578">
        <v>2017</v>
      </c>
      <c r="M578" t="s">
        <v>38</v>
      </c>
      <c r="N578" t="s">
        <v>32</v>
      </c>
    </row>
    <row r="579" spans="1:14" x14ac:dyDescent="0.2">
      <c r="A579">
        <v>564410540</v>
      </c>
      <c r="B579" t="s">
        <v>42</v>
      </c>
      <c r="C579" t="s">
        <v>159</v>
      </c>
      <c r="D579" t="s">
        <v>564</v>
      </c>
      <c r="E579" s="8">
        <v>0.72</v>
      </c>
      <c r="F579" t="s">
        <v>487</v>
      </c>
      <c r="G579">
        <v>211</v>
      </c>
      <c r="H579" t="s">
        <v>35</v>
      </c>
      <c r="I579" t="s">
        <v>36</v>
      </c>
      <c r="J579" t="s">
        <v>37</v>
      </c>
      <c r="K579" t="s">
        <v>28</v>
      </c>
      <c r="L579">
        <v>2017</v>
      </c>
      <c r="M579" t="s">
        <v>38</v>
      </c>
      <c r="N579" t="s">
        <v>32</v>
      </c>
    </row>
    <row r="580" spans="1:14" x14ac:dyDescent="0.2">
      <c r="A580">
        <v>564410540</v>
      </c>
      <c r="B580" t="s">
        <v>42</v>
      </c>
      <c r="C580" t="s">
        <v>135</v>
      </c>
      <c r="D580" t="s">
        <v>565</v>
      </c>
      <c r="E580" s="8">
        <v>0.21000000000000002</v>
      </c>
      <c r="F580" t="s">
        <v>487</v>
      </c>
      <c r="G580">
        <v>211</v>
      </c>
      <c r="H580" t="s">
        <v>35</v>
      </c>
      <c r="I580" t="s">
        <v>36</v>
      </c>
      <c r="J580" t="s">
        <v>37</v>
      </c>
      <c r="K580" t="s">
        <v>28</v>
      </c>
      <c r="L580">
        <v>2017</v>
      </c>
      <c r="M580" t="s">
        <v>38</v>
      </c>
      <c r="N580" t="s">
        <v>32</v>
      </c>
    </row>
    <row r="581" spans="1:14" x14ac:dyDescent="0.2">
      <c r="A581">
        <v>564410540</v>
      </c>
      <c r="B581" t="s">
        <v>42</v>
      </c>
      <c r="C581" t="s">
        <v>56</v>
      </c>
      <c r="D581" t="s">
        <v>565</v>
      </c>
      <c r="E581" s="8">
        <v>0.21000000000000002</v>
      </c>
      <c r="F581" t="s">
        <v>487</v>
      </c>
      <c r="G581">
        <v>211</v>
      </c>
      <c r="H581" t="s">
        <v>35</v>
      </c>
      <c r="I581" t="s">
        <v>36</v>
      </c>
      <c r="J581" t="s">
        <v>37</v>
      </c>
      <c r="K581" t="s">
        <v>28</v>
      </c>
      <c r="L581">
        <v>2017</v>
      </c>
      <c r="M581" t="s">
        <v>38</v>
      </c>
      <c r="N581" t="s">
        <v>32</v>
      </c>
    </row>
    <row r="582" spans="1:14" x14ac:dyDescent="0.2">
      <c r="A582">
        <v>564410540</v>
      </c>
      <c r="B582" t="s">
        <v>42</v>
      </c>
      <c r="C582" t="s">
        <v>155</v>
      </c>
      <c r="D582" t="s">
        <v>564</v>
      </c>
      <c r="E582" s="8">
        <v>0.72</v>
      </c>
      <c r="F582" t="s">
        <v>487</v>
      </c>
      <c r="G582">
        <v>211</v>
      </c>
      <c r="H582" t="s">
        <v>35</v>
      </c>
      <c r="I582" t="s">
        <v>36</v>
      </c>
      <c r="J582" t="s">
        <v>37</v>
      </c>
      <c r="K582" t="s">
        <v>28</v>
      </c>
      <c r="L582">
        <v>2017</v>
      </c>
      <c r="M582" t="s">
        <v>38</v>
      </c>
      <c r="N582" t="s">
        <v>32</v>
      </c>
    </row>
    <row r="583" spans="1:14" x14ac:dyDescent="0.2">
      <c r="A583">
        <v>564410540</v>
      </c>
      <c r="B583" t="s">
        <v>479</v>
      </c>
      <c r="C583" t="s">
        <v>57</v>
      </c>
      <c r="D583" t="s">
        <v>566</v>
      </c>
      <c r="E583" s="8">
        <v>0.50944444444444448</v>
      </c>
      <c r="F583" t="s">
        <v>487</v>
      </c>
      <c r="G583">
        <v>211</v>
      </c>
      <c r="H583" t="s">
        <v>35</v>
      </c>
      <c r="I583" t="s">
        <v>36</v>
      </c>
      <c r="J583" t="s">
        <v>37</v>
      </c>
      <c r="K583" t="s">
        <v>28</v>
      </c>
      <c r="L583">
        <v>2017</v>
      </c>
      <c r="M583" t="s">
        <v>38</v>
      </c>
      <c r="N583" t="s">
        <v>32</v>
      </c>
    </row>
    <row r="584" spans="1:14" x14ac:dyDescent="0.2">
      <c r="A584">
        <v>564410540</v>
      </c>
      <c r="B584" t="s">
        <v>479</v>
      </c>
      <c r="C584" t="s">
        <v>58</v>
      </c>
      <c r="D584" t="s">
        <v>567</v>
      </c>
      <c r="E584" s="8">
        <v>0.72</v>
      </c>
      <c r="F584" t="s">
        <v>487</v>
      </c>
      <c r="G584">
        <v>211</v>
      </c>
      <c r="H584" t="s">
        <v>35</v>
      </c>
      <c r="I584" t="s">
        <v>36</v>
      </c>
      <c r="J584" t="s">
        <v>37</v>
      </c>
      <c r="K584" t="s">
        <v>28</v>
      </c>
      <c r="L584">
        <v>2017</v>
      </c>
      <c r="M584" t="s">
        <v>38</v>
      </c>
      <c r="N584" t="s">
        <v>32</v>
      </c>
    </row>
    <row r="585" spans="1:14" x14ac:dyDescent="0.2">
      <c r="A585">
        <v>564410540</v>
      </c>
      <c r="B585" t="s">
        <v>480</v>
      </c>
      <c r="C585" t="s">
        <v>456</v>
      </c>
      <c r="D585" t="s">
        <v>568</v>
      </c>
      <c r="E585" s="8">
        <v>0.38</v>
      </c>
      <c r="F585" t="s">
        <v>487</v>
      </c>
      <c r="G585">
        <v>211</v>
      </c>
      <c r="H585" t="s">
        <v>35</v>
      </c>
      <c r="I585" t="s">
        <v>36</v>
      </c>
      <c r="J585" t="s">
        <v>37</v>
      </c>
      <c r="K585" t="s">
        <v>28</v>
      </c>
      <c r="L585">
        <v>2017</v>
      </c>
      <c r="M585" t="s">
        <v>38</v>
      </c>
      <c r="N585" t="s">
        <v>32</v>
      </c>
    </row>
    <row r="586" spans="1:14" x14ac:dyDescent="0.2">
      <c r="A586">
        <v>564410540</v>
      </c>
      <c r="B586" t="s">
        <v>480</v>
      </c>
      <c r="C586" t="s">
        <v>452</v>
      </c>
      <c r="D586" t="s">
        <v>568</v>
      </c>
      <c r="E586" s="8">
        <v>0.38</v>
      </c>
      <c r="F586" t="s">
        <v>487</v>
      </c>
      <c r="G586">
        <v>211</v>
      </c>
      <c r="H586" t="s">
        <v>35</v>
      </c>
      <c r="I586" t="s">
        <v>36</v>
      </c>
      <c r="J586" t="s">
        <v>37</v>
      </c>
      <c r="K586" t="s">
        <v>28</v>
      </c>
      <c r="L586">
        <v>2017</v>
      </c>
      <c r="M586" t="s">
        <v>38</v>
      </c>
      <c r="N586" t="s">
        <v>32</v>
      </c>
    </row>
    <row r="587" spans="1:14" x14ac:dyDescent="0.2">
      <c r="A587">
        <v>564410540</v>
      </c>
      <c r="B587" t="s">
        <v>481</v>
      </c>
      <c r="C587" t="s">
        <v>533</v>
      </c>
      <c r="D587" t="s">
        <v>569</v>
      </c>
      <c r="E587" s="8">
        <v>0.72</v>
      </c>
      <c r="F587" t="s">
        <v>487</v>
      </c>
      <c r="G587">
        <v>211</v>
      </c>
      <c r="H587" t="s">
        <v>35</v>
      </c>
      <c r="I587" t="s">
        <v>36</v>
      </c>
      <c r="J587" t="s">
        <v>37</v>
      </c>
      <c r="K587" t="s">
        <v>28</v>
      </c>
      <c r="L587">
        <v>2017</v>
      </c>
      <c r="M587" t="s">
        <v>38</v>
      </c>
      <c r="N587" t="s">
        <v>32</v>
      </c>
    </row>
    <row r="588" spans="1:14" x14ac:dyDescent="0.2">
      <c r="A588">
        <v>564410540</v>
      </c>
      <c r="B588" t="s">
        <v>481</v>
      </c>
      <c r="C588" t="s">
        <v>106</v>
      </c>
      <c r="D588" t="s">
        <v>569</v>
      </c>
      <c r="E588" s="8">
        <v>0.72</v>
      </c>
      <c r="F588" t="s">
        <v>487</v>
      </c>
      <c r="G588">
        <v>211</v>
      </c>
      <c r="H588" t="s">
        <v>35</v>
      </c>
      <c r="I588" t="s">
        <v>36</v>
      </c>
      <c r="J588" t="s">
        <v>37</v>
      </c>
      <c r="K588" t="s">
        <v>28</v>
      </c>
      <c r="L588">
        <v>2017</v>
      </c>
      <c r="M588" t="s">
        <v>38</v>
      </c>
      <c r="N588" t="s">
        <v>32</v>
      </c>
    </row>
    <row r="589" spans="1:14" x14ac:dyDescent="0.2">
      <c r="A589">
        <v>564410540</v>
      </c>
      <c r="B589" t="s">
        <v>43</v>
      </c>
      <c r="C589" t="s">
        <v>59</v>
      </c>
      <c r="D589" t="s">
        <v>570</v>
      </c>
      <c r="E589" s="8">
        <v>0.51600000000000001</v>
      </c>
      <c r="F589" t="s">
        <v>487</v>
      </c>
      <c r="G589">
        <v>211</v>
      </c>
      <c r="H589" t="s">
        <v>35</v>
      </c>
      <c r="I589" t="s">
        <v>36</v>
      </c>
      <c r="J589" t="s">
        <v>37</v>
      </c>
      <c r="K589" t="s">
        <v>28</v>
      </c>
      <c r="L589">
        <v>2017</v>
      </c>
      <c r="M589" t="s">
        <v>38</v>
      </c>
      <c r="N589" t="s">
        <v>32</v>
      </c>
    </row>
    <row r="590" spans="1:14" x14ac:dyDescent="0.2">
      <c r="A590">
        <v>564410540</v>
      </c>
      <c r="B590" t="s">
        <v>482</v>
      </c>
      <c r="C590" t="s">
        <v>436</v>
      </c>
      <c r="D590" t="s">
        <v>561</v>
      </c>
      <c r="E590" s="8">
        <v>0.35642857142857143</v>
      </c>
      <c r="F590" t="s">
        <v>487</v>
      </c>
      <c r="G590">
        <v>211</v>
      </c>
      <c r="H590" t="s">
        <v>35</v>
      </c>
      <c r="I590" t="s">
        <v>36</v>
      </c>
      <c r="J590" t="s">
        <v>37</v>
      </c>
      <c r="K590" t="s">
        <v>28</v>
      </c>
      <c r="L590">
        <v>2017</v>
      </c>
      <c r="M590" t="s">
        <v>38</v>
      </c>
      <c r="N590" t="s">
        <v>32</v>
      </c>
    </row>
    <row r="591" spans="1:14" x14ac:dyDescent="0.2">
      <c r="A591">
        <v>564410540</v>
      </c>
      <c r="B591" t="s">
        <v>482</v>
      </c>
      <c r="C591" t="s">
        <v>436</v>
      </c>
      <c r="D591" t="s">
        <v>561</v>
      </c>
      <c r="E591" s="8">
        <v>0.28799999999999998</v>
      </c>
      <c r="F591" t="s">
        <v>487</v>
      </c>
      <c r="G591">
        <v>211</v>
      </c>
      <c r="H591" t="s">
        <v>35</v>
      </c>
      <c r="I591" t="s">
        <v>36</v>
      </c>
      <c r="J591" t="s">
        <v>37</v>
      </c>
      <c r="K591" t="s">
        <v>28</v>
      </c>
      <c r="L591">
        <v>2017</v>
      </c>
      <c r="M591" t="s">
        <v>38</v>
      </c>
      <c r="N591" t="s">
        <v>32</v>
      </c>
    </row>
    <row r="592" spans="1:14" x14ac:dyDescent="0.2">
      <c r="A592">
        <v>564410540</v>
      </c>
      <c r="B592" t="s">
        <v>483</v>
      </c>
      <c r="C592" t="s">
        <v>197</v>
      </c>
      <c r="D592" t="s">
        <v>556</v>
      </c>
      <c r="E592" s="8">
        <v>0.21000000000000002</v>
      </c>
      <c r="F592" t="s">
        <v>487</v>
      </c>
      <c r="G592">
        <v>211</v>
      </c>
      <c r="H592" t="s">
        <v>35</v>
      </c>
      <c r="I592" t="s">
        <v>36</v>
      </c>
      <c r="J592" t="s">
        <v>37</v>
      </c>
      <c r="K592" t="s">
        <v>28</v>
      </c>
      <c r="L592">
        <v>2017</v>
      </c>
      <c r="M592" t="s">
        <v>38</v>
      </c>
      <c r="N592" t="s">
        <v>32</v>
      </c>
    </row>
    <row r="593" spans="1:14" x14ac:dyDescent="0.2">
      <c r="A593">
        <v>564410540</v>
      </c>
      <c r="B593" t="s">
        <v>483</v>
      </c>
      <c r="C593" t="s">
        <v>196</v>
      </c>
      <c r="D593" t="s">
        <v>557</v>
      </c>
      <c r="E593" s="8">
        <v>0.72</v>
      </c>
      <c r="F593" t="s">
        <v>487</v>
      </c>
      <c r="G593">
        <v>211</v>
      </c>
      <c r="H593" t="s">
        <v>35</v>
      </c>
      <c r="I593" t="s">
        <v>36</v>
      </c>
      <c r="J593" t="s">
        <v>37</v>
      </c>
      <c r="K593" t="s">
        <v>28</v>
      </c>
      <c r="L593">
        <v>2017</v>
      </c>
      <c r="M593" t="s">
        <v>38</v>
      </c>
      <c r="N593" t="s">
        <v>32</v>
      </c>
    </row>
    <row r="594" spans="1:14" x14ac:dyDescent="0.2">
      <c r="A594">
        <v>564410540</v>
      </c>
      <c r="B594" t="s">
        <v>483</v>
      </c>
      <c r="C594" t="s">
        <v>197</v>
      </c>
      <c r="D594" t="s">
        <v>556</v>
      </c>
      <c r="E594" s="8">
        <v>0.38</v>
      </c>
      <c r="F594" t="s">
        <v>487</v>
      </c>
      <c r="G594">
        <v>211</v>
      </c>
      <c r="H594" t="s">
        <v>35</v>
      </c>
      <c r="I594" t="s">
        <v>36</v>
      </c>
      <c r="J594" t="s">
        <v>37</v>
      </c>
      <c r="K594" t="s">
        <v>28</v>
      </c>
      <c r="L594">
        <v>2017</v>
      </c>
      <c r="M594" t="s">
        <v>38</v>
      </c>
      <c r="N594" t="s">
        <v>32</v>
      </c>
    </row>
    <row r="595" spans="1:14" x14ac:dyDescent="0.2">
      <c r="A595">
        <v>564410540</v>
      </c>
      <c r="B595" t="s">
        <v>483</v>
      </c>
      <c r="C595" t="s">
        <v>196</v>
      </c>
      <c r="D595" t="s">
        <v>557</v>
      </c>
      <c r="E595" s="8">
        <v>0.65599999999999992</v>
      </c>
      <c r="F595" t="s">
        <v>487</v>
      </c>
      <c r="G595">
        <v>211</v>
      </c>
      <c r="H595" t="s">
        <v>35</v>
      </c>
      <c r="I595" t="s">
        <v>36</v>
      </c>
      <c r="J595" t="s">
        <v>37</v>
      </c>
      <c r="K595" t="s">
        <v>28</v>
      </c>
      <c r="L595">
        <v>2017</v>
      </c>
      <c r="M595" t="s">
        <v>38</v>
      </c>
      <c r="N595" t="s">
        <v>32</v>
      </c>
    </row>
    <row r="596" spans="1:14" x14ac:dyDescent="0.2">
      <c r="A596">
        <v>564410540</v>
      </c>
      <c r="B596" t="s">
        <v>483</v>
      </c>
      <c r="C596" t="s">
        <v>197</v>
      </c>
      <c r="D596" t="s">
        <v>556</v>
      </c>
      <c r="E596" s="8">
        <v>0.61333333333333329</v>
      </c>
      <c r="F596" t="s">
        <v>487</v>
      </c>
      <c r="G596">
        <v>211</v>
      </c>
      <c r="H596" t="s">
        <v>35</v>
      </c>
      <c r="I596" t="s">
        <v>36</v>
      </c>
      <c r="J596" t="s">
        <v>37</v>
      </c>
      <c r="K596" t="s">
        <v>28</v>
      </c>
      <c r="L596">
        <v>2017</v>
      </c>
      <c r="M596" t="s">
        <v>38</v>
      </c>
      <c r="N596" t="s">
        <v>32</v>
      </c>
    </row>
    <row r="597" spans="1:14" x14ac:dyDescent="0.2">
      <c r="A597">
        <v>564410540</v>
      </c>
      <c r="B597" t="s">
        <v>484</v>
      </c>
      <c r="C597" t="s">
        <v>497</v>
      </c>
      <c r="D597" t="s">
        <v>558</v>
      </c>
      <c r="E597" s="8">
        <v>0.38</v>
      </c>
      <c r="F597" t="s">
        <v>487</v>
      </c>
      <c r="G597">
        <v>211</v>
      </c>
      <c r="H597" t="s">
        <v>35</v>
      </c>
      <c r="I597" t="s">
        <v>36</v>
      </c>
      <c r="J597" t="s">
        <v>37</v>
      </c>
      <c r="K597" t="s">
        <v>28</v>
      </c>
      <c r="L597">
        <v>2017</v>
      </c>
      <c r="M597" t="s">
        <v>38</v>
      </c>
      <c r="N597" t="s">
        <v>32</v>
      </c>
    </row>
    <row r="598" spans="1:14" x14ac:dyDescent="0.2">
      <c r="A598">
        <v>564410540</v>
      </c>
      <c r="B598" t="s">
        <v>484</v>
      </c>
      <c r="C598" t="s">
        <v>500</v>
      </c>
      <c r="D598" t="s">
        <v>558</v>
      </c>
      <c r="E598" s="8">
        <v>0.3175</v>
      </c>
      <c r="F598" t="s">
        <v>487</v>
      </c>
      <c r="G598">
        <v>211</v>
      </c>
      <c r="H598" t="s">
        <v>35</v>
      </c>
      <c r="I598" t="s">
        <v>36</v>
      </c>
      <c r="J598" t="s">
        <v>37</v>
      </c>
      <c r="K598" t="s">
        <v>28</v>
      </c>
      <c r="L598">
        <v>2017</v>
      </c>
      <c r="M598" t="s">
        <v>38</v>
      </c>
      <c r="N598" t="s">
        <v>32</v>
      </c>
    </row>
    <row r="599" spans="1:14" x14ac:dyDescent="0.2">
      <c r="A599">
        <v>564410540</v>
      </c>
      <c r="B599" t="s">
        <v>484</v>
      </c>
      <c r="C599" t="s">
        <v>501</v>
      </c>
      <c r="D599" t="s">
        <v>558</v>
      </c>
      <c r="E599" s="8">
        <v>0.38250000000000001</v>
      </c>
      <c r="F599" t="s">
        <v>487</v>
      </c>
      <c r="G599">
        <v>211</v>
      </c>
      <c r="H599" t="s">
        <v>35</v>
      </c>
      <c r="I599" t="s">
        <v>36</v>
      </c>
      <c r="J599" t="s">
        <v>37</v>
      </c>
      <c r="K599" t="s">
        <v>28</v>
      </c>
      <c r="L599">
        <v>2017</v>
      </c>
      <c r="M599" t="s">
        <v>38</v>
      </c>
      <c r="N599" t="s">
        <v>32</v>
      </c>
    </row>
    <row r="600" spans="1:14" x14ac:dyDescent="0.2">
      <c r="A600">
        <v>564410540</v>
      </c>
      <c r="B600" t="s">
        <v>485</v>
      </c>
      <c r="C600" t="s">
        <v>346</v>
      </c>
      <c r="D600" t="s">
        <v>559</v>
      </c>
      <c r="E600" s="8">
        <v>0.72</v>
      </c>
      <c r="F600" t="s">
        <v>487</v>
      </c>
      <c r="G600">
        <v>211</v>
      </c>
      <c r="H600" t="s">
        <v>35</v>
      </c>
      <c r="I600" t="s">
        <v>36</v>
      </c>
      <c r="J600" t="s">
        <v>37</v>
      </c>
      <c r="K600" t="s">
        <v>28</v>
      </c>
      <c r="L600">
        <v>2017</v>
      </c>
      <c r="M600" t="s">
        <v>38</v>
      </c>
      <c r="N600" t="s">
        <v>32</v>
      </c>
    </row>
    <row r="601" spans="1:14" x14ac:dyDescent="0.2">
      <c r="A601">
        <v>564410540</v>
      </c>
      <c r="B601" t="s">
        <v>485</v>
      </c>
      <c r="C601" t="s">
        <v>342</v>
      </c>
      <c r="D601" t="s">
        <v>559</v>
      </c>
      <c r="E601" s="8">
        <v>0.67874999999999996</v>
      </c>
      <c r="F601" t="s">
        <v>487</v>
      </c>
      <c r="G601">
        <v>211</v>
      </c>
      <c r="H601" t="s">
        <v>35</v>
      </c>
      <c r="I601" t="s">
        <v>36</v>
      </c>
      <c r="J601" t="s">
        <v>37</v>
      </c>
      <c r="K601" t="s">
        <v>28</v>
      </c>
      <c r="L601">
        <v>2017</v>
      </c>
      <c r="M601" t="s">
        <v>38</v>
      </c>
      <c r="N601" t="s">
        <v>32</v>
      </c>
    </row>
    <row r="602" spans="1:14" x14ac:dyDescent="0.2">
      <c r="A602">
        <v>588642518</v>
      </c>
      <c r="B602" t="s">
        <v>478</v>
      </c>
      <c r="C602" t="s">
        <v>276</v>
      </c>
      <c r="D602" t="s">
        <v>546</v>
      </c>
      <c r="E602" s="8">
        <v>0.62666666666666671</v>
      </c>
      <c r="F602" t="s">
        <v>487</v>
      </c>
      <c r="G602">
        <v>211</v>
      </c>
      <c r="H602" t="s">
        <v>35</v>
      </c>
      <c r="I602" t="s">
        <v>36</v>
      </c>
      <c r="J602" t="s">
        <v>37</v>
      </c>
      <c r="K602" t="s">
        <v>28</v>
      </c>
      <c r="L602">
        <v>2017</v>
      </c>
      <c r="M602" t="s">
        <v>38</v>
      </c>
      <c r="N602" t="s">
        <v>32</v>
      </c>
    </row>
    <row r="603" spans="1:14" x14ac:dyDescent="0.2">
      <c r="A603">
        <v>588642518</v>
      </c>
      <c r="B603" t="s">
        <v>478</v>
      </c>
      <c r="C603" t="s">
        <v>247</v>
      </c>
      <c r="D603" t="s">
        <v>546</v>
      </c>
      <c r="E603" s="8">
        <v>0.70800000000000007</v>
      </c>
      <c r="F603" t="s">
        <v>487</v>
      </c>
      <c r="G603">
        <v>211</v>
      </c>
      <c r="H603" t="s">
        <v>35</v>
      </c>
      <c r="I603" t="s">
        <v>36</v>
      </c>
      <c r="J603" t="s">
        <v>37</v>
      </c>
      <c r="K603" t="s">
        <v>28</v>
      </c>
      <c r="L603">
        <v>2017</v>
      </c>
      <c r="M603" t="s">
        <v>38</v>
      </c>
      <c r="N603" t="s">
        <v>32</v>
      </c>
    </row>
    <row r="604" spans="1:14" x14ac:dyDescent="0.2">
      <c r="A604">
        <v>588642518</v>
      </c>
      <c r="B604" t="s">
        <v>40</v>
      </c>
      <c r="C604" t="s">
        <v>435</v>
      </c>
      <c r="D604" t="s">
        <v>560</v>
      </c>
      <c r="E604" s="8">
        <v>0.94000000000000006</v>
      </c>
      <c r="F604" t="s">
        <v>487</v>
      </c>
      <c r="G604">
        <v>211</v>
      </c>
      <c r="H604" t="s">
        <v>35</v>
      </c>
      <c r="I604" t="s">
        <v>36</v>
      </c>
      <c r="J604" t="s">
        <v>37</v>
      </c>
      <c r="K604" t="s">
        <v>28</v>
      </c>
      <c r="L604">
        <v>2017</v>
      </c>
      <c r="M604" t="s">
        <v>38</v>
      </c>
      <c r="N604" t="s">
        <v>32</v>
      </c>
    </row>
    <row r="605" spans="1:14" x14ac:dyDescent="0.2">
      <c r="A605">
        <v>588642518</v>
      </c>
      <c r="B605" t="s">
        <v>40</v>
      </c>
      <c r="C605" t="s">
        <v>393</v>
      </c>
      <c r="D605" t="s">
        <v>560</v>
      </c>
      <c r="E605" s="8">
        <v>0.40333333333333338</v>
      </c>
      <c r="F605" t="s">
        <v>487</v>
      </c>
      <c r="G605">
        <v>211</v>
      </c>
      <c r="H605" t="s">
        <v>35</v>
      </c>
      <c r="I605" t="s">
        <v>36</v>
      </c>
      <c r="J605" t="s">
        <v>37</v>
      </c>
      <c r="K605" t="s">
        <v>28</v>
      </c>
      <c r="L605">
        <v>2017</v>
      </c>
      <c r="M605" t="s">
        <v>38</v>
      </c>
      <c r="N605" t="s">
        <v>32</v>
      </c>
    </row>
    <row r="606" spans="1:14" x14ac:dyDescent="0.2">
      <c r="A606">
        <v>588642518</v>
      </c>
      <c r="B606" t="s">
        <v>41</v>
      </c>
      <c r="C606" t="s">
        <v>212</v>
      </c>
      <c r="D606" t="s">
        <v>562</v>
      </c>
      <c r="E606" s="8">
        <v>0.875</v>
      </c>
      <c r="F606" t="s">
        <v>487</v>
      </c>
      <c r="G606">
        <v>211</v>
      </c>
      <c r="H606" t="s">
        <v>35</v>
      </c>
      <c r="I606" t="s">
        <v>36</v>
      </c>
      <c r="J606" t="s">
        <v>37</v>
      </c>
      <c r="K606" t="s">
        <v>28</v>
      </c>
      <c r="L606">
        <v>2017</v>
      </c>
      <c r="M606" t="s">
        <v>38</v>
      </c>
      <c r="N606" t="s">
        <v>32</v>
      </c>
    </row>
    <row r="607" spans="1:14" x14ac:dyDescent="0.2">
      <c r="A607">
        <v>588642518</v>
      </c>
      <c r="B607" t="s">
        <v>41</v>
      </c>
      <c r="C607" t="s">
        <v>207</v>
      </c>
      <c r="D607" t="s">
        <v>562</v>
      </c>
      <c r="E607" s="8">
        <v>0.58500000000000008</v>
      </c>
      <c r="F607" t="s">
        <v>487</v>
      </c>
      <c r="G607">
        <v>211</v>
      </c>
      <c r="H607" t="s">
        <v>35</v>
      </c>
      <c r="I607" t="s">
        <v>36</v>
      </c>
      <c r="J607" t="s">
        <v>37</v>
      </c>
      <c r="K607" t="s">
        <v>28</v>
      </c>
      <c r="L607">
        <v>2017</v>
      </c>
      <c r="M607" t="s">
        <v>38</v>
      </c>
      <c r="N607" t="s">
        <v>32</v>
      </c>
    </row>
    <row r="608" spans="1:14" x14ac:dyDescent="0.2">
      <c r="A608">
        <v>588642518</v>
      </c>
      <c r="B608" t="s">
        <v>41</v>
      </c>
      <c r="C608" t="s">
        <v>221</v>
      </c>
      <c r="D608" t="s">
        <v>563</v>
      </c>
      <c r="E608" s="8">
        <v>0.45333333333333337</v>
      </c>
      <c r="F608" t="s">
        <v>487</v>
      </c>
      <c r="G608">
        <v>211</v>
      </c>
      <c r="H608" t="s">
        <v>35</v>
      </c>
      <c r="I608" t="s">
        <v>36</v>
      </c>
      <c r="J608" t="s">
        <v>37</v>
      </c>
      <c r="K608" t="s">
        <v>28</v>
      </c>
      <c r="L608">
        <v>2017</v>
      </c>
      <c r="M608" t="s">
        <v>38</v>
      </c>
      <c r="N608" t="s">
        <v>32</v>
      </c>
    </row>
    <row r="609" spans="1:14" x14ac:dyDescent="0.2">
      <c r="A609">
        <v>588642518</v>
      </c>
      <c r="B609" t="s">
        <v>42</v>
      </c>
      <c r="C609" t="s">
        <v>159</v>
      </c>
      <c r="D609" t="s">
        <v>564</v>
      </c>
      <c r="E609" s="8">
        <v>0.68</v>
      </c>
      <c r="F609" t="s">
        <v>487</v>
      </c>
      <c r="G609">
        <v>211</v>
      </c>
      <c r="H609" t="s">
        <v>35</v>
      </c>
      <c r="I609" t="s">
        <v>36</v>
      </c>
      <c r="J609" t="s">
        <v>37</v>
      </c>
      <c r="K609" t="s">
        <v>28</v>
      </c>
      <c r="L609">
        <v>2017</v>
      </c>
      <c r="M609" t="s">
        <v>38</v>
      </c>
      <c r="N609" t="s">
        <v>32</v>
      </c>
    </row>
    <row r="610" spans="1:14" x14ac:dyDescent="0.2">
      <c r="A610">
        <v>588642518</v>
      </c>
      <c r="B610" t="s">
        <v>42</v>
      </c>
      <c r="C610" t="s">
        <v>135</v>
      </c>
      <c r="D610" t="s">
        <v>565</v>
      </c>
      <c r="E610" s="8">
        <v>0.94000000000000006</v>
      </c>
      <c r="F610" t="s">
        <v>487</v>
      </c>
      <c r="G610">
        <v>211</v>
      </c>
      <c r="H610" t="s">
        <v>35</v>
      </c>
      <c r="I610" t="s">
        <v>36</v>
      </c>
      <c r="J610" t="s">
        <v>37</v>
      </c>
      <c r="K610" t="s">
        <v>28</v>
      </c>
      <c r="L610">
        <v>2017</v>
      </c>
      <c r="M610" t="s">
        <v>38</v>
      </c>
      <c r="N610" t="s">
        <v>32</v>
      </c>
    </row>
    <row r="611" spans="1:14" x14ac:dyDescent="0.2">
      <c r="A611">
        <v>588642518</v>
      </c>
      <c r="B611" t="s">
        <v>42</v>
      </c>
      <c r="C611" t="s">
        <v>56</v>
      </c>
      <c r="D611" t="s">
        <v>565</v>
      </c>
      <c r="E611" s="8">
        <v>0.94000000000000006</v>
      </c>
      <c r="F611" t="s">
        <v>487</v>
      </c>
      <c r="G611">
        <v>211</v>
      </c>
      <c r="H611" t="s">
        <v>35</v>
      </c>
      <c r="I611" t="s">
        <v>36</v>
      </c>
      <c r="J611" t="s">
        <v>37</v>
      </c>
      <c r="K611" t="s">
        <v>28</v>
      </c>
      <c r="L611">
        <v>2017</v>
      </c>
      <c r="M611" t="s">
        <v>38</v>
      </c>
      <c r="N611" t="s">
        <v>32</v>
      </c>
    </row>
    <row r="612" spans="1:14" x14ac:dyDescent="0.2">
      <c r="A612">
        <v>588642518</v>
      </c>
      <c r="B612" t="s">
        <v>42</v>
      </c>
      <c r="C612" t="s">
        <v>155</v>
      </c>
      <c r="D612" t="s">
        <v>564</v>
      </c>
      <c r="E612" s="8">
        <v>0.68</v>
      </c>
      <c r="F612" t="s">
        <v>487</v>
      </c>
      <c r="G612">
        <v>211</v>
      </c>
      <c r="H612" t="s">
        <v>35</v>
      </c>
      <c r="I612" t="s">
        <v>36</v>
      </c>
      <c r="J612" t="s">
        <v>37</v>
      </c>
      <c r="K612" t="s">
        <v>28</v>
      </c>
      <c r="L612">
        <v>2017</v>
      </c>
      <c r="M612" t="s">
        <v>38</v>
      </c>
      <c r="N612" t="s">
        <v>32</v>
      </c>
    </row>
    <row r="613" spans="1:14" x14ac:dyDescent="0.2">
      <c r="A613">
        <v>588642518</v>
      </c>
      <c r="B613" t="s">
        <v>479</v>
      </c>
      <c r="C613" t="s">
        <v>57</v>
      </c>
      <c r="D613" t="s">
        <v>566</v>
      </c>
      <c r="E613" s="8">
        <v>0.51111111111111118</v>
      </c>
      <c r="F613" t="s">
        <v>487</v>
      </c>
      <c r="G613">
        <v>211</v>
      </c>
      <c r="H613" t="s">
        <v>35</v>
      </c>
      <c r="I613" t="s">
        <v>36</v>
      </c>
      <c r="J613" t="s">
        <v>37</v>
      </c>
      <c r="K613" t="s">
        <v>28</v>
      </c>
      <c r="L613">
        <v>2017</v>
      </c>
      <c r="M613" t="s">
        <v>38</v>
      </c>
      <c r="N613" t="s">
        <v>32</v>
      </c>
    </row>
    <row r="614" spans="1:14" x14ac:dyDescent="0.2">
      <c r="A614">
        <v>588642518</v>
      </c>
      <c r="B614" t="s">
        <v>479</v>
      </c>
      <c r="C614" t="s">
        <v>58</v>
      </c>
      <c r="D614" t="s">
        <v>567</v>
      </c>
      <c r="E614" s="8">
        <v>0.68</v>
      </c>
      <c r="F614" t="s">
        <v>487</v>
      </c>
      <c r="G614">
        <v>211</v>
      </c>
      <c r="H614" t="s">
        <v>35</v>
      </c>
      <c r="I614" t="s">
        <v>36</v>
      </c>
      <c r="J614" t="s">
        <v>37</v>
      </c>
      <c r="K614" t="s">
        <v>28</v>
      </c>
      <c r="L614">
        <v>2017</v>
      </c>
      <c r="M614" t="s">
        <v>38</v>
      </c>
      <c r="N614" t="s">
        <v>32</v>
      </c>
    </row>
    <row r="615" spans="1:14" x14ac:dyDescent="0.2">
      <c r="A615">
        <v>588642518</v>
      </c>
      <c r="B615" t="s">
        <v>480</v>
      </c>
      <c r="C615" t="s">
        <v>456</v>
      </c>
      <c r="D615" t="s">
        <v>568</v>
      </c>
      <c r="E615" s="8">
        <v>0.85333333333333339</v>
      </c>
      <c r="F615" t="s">
        <v>487</v>
      </c>
      <c r="G615">
        <v>211</v>
      </c>
      <c r="H615" t="s">
        <v>35</v>
      </c>
      <c r="I615" t="s">
        <v>36</v>
      </c>
      <c r="J615" t="s">
        <v>37</v>
      </c>
      <c r="K615" t="s">
        <v>28</v>
      </c>
      <c r="L615">
        <v>2017</v>
      </c>
      <c r="M615" t="s">
        <v>38</v>
      </c>
      <c r="N615" t="s">
        <v>32</v>
      </c>
    </row>
    <row r="616" spans="1:14" x14ac:dyDescent="0.2">
      <c r="A616">
        <v>588642518</v>
      </c>
      <c r="B616" t="s">
        <v>480</v>
      </c>
      <c r="C616" t="s">
        <v>452</v>
      </c>
      <c r="D616" t="s">
        <v>568</v>
      </c>
      <c r="E616" s="8">
        <v>0.85333333333333339</v>
      </c>
      <c r="F616" t="s">
        <v>487</v>
      </c>
      <c r="G616">
        <v>211</v>
      </c>
      <c r="H616" t="s">
        <v>35</v>
      </c>
      <c r="I616" t="s">
        <v>36</v>
      </c>
      <c r="J616" t="s">
        <v>37</v>
      </c>
      <c r="K616" t="s">
        <v>28</v>
      </c>
      <c r="L616">
        <v>2017</v>
      </c>
      <c r="M616" t="s">
        <v>38</v>
      </c>
      <c r="N616" t="s">
        <v>32</v>
      </c>
    </row>
    <row r="617" spans="1:14" x14ac:dyDescent="0.2">
      <c r="A617">
        <v>588642518</v>
      </c>
      <c r="B617" t="s">
        <v>481</v>
      </c>
      <c r="C617" t="s">
        <v>533</v>
      </c>
      <c r="D617" t="s">
        <v>569</v>
      </c>
      <c r="E617" s="8">
        <v>0.68</v>
      </c>
      <c r="F617" t="s">
        <v>487</v>
      </c>
      <c r="G617">
        <v>211</v>
      </c>
      <c r="H617" t="s">
        <v>35</v>
      </c>
      <c r="I617" t="s">
        <v>36</v>
      </c>
      <c r="J617" t="s">
        <v>37</v>
      </c>
      <c r="K617" t="s">
        <v>28</v>
      </c>
      <c r="L617">
        <v>2017</v>
      </c>
      <c r="M617" t="s">
        <v>38</v>
      </c>
      <c r="N617" t="s">
        <v>32</v>
      </c>
    </row>
    <row r="618" spans="1:14" x14ac:dyDescent="0.2">
      <c r="A618">
        <v>588642518</v>
      </c>
      <c r="B618" t="s">
        <v>481</v>
      </c>
      <c r="C618" t="s">
        <v>106</v>
      </c>
      <c r="D618" t="s">
        <v>569</v>
      </c>
      <c r="E618" s="8">
        <v>0.68</v>
      </c>
      <c r="F618" t="s">
        <v>487</v>
      </c>
      <c r="G618">
        <v>211</v>
      </c>
      <c r="H618" t="s">
        <v>35</v>
      </c>
      <c r="I618" t="s">
        <v>36</v>
      </c>
      <c r="J618" t="s">
        <v>37</v>
      </c>
      <c r="K618" t="s">
        <v>28</v>
      </c>
      <c r="L618">
        <v>2017</v>
      </c>
      <c r="M618" t="s">
        <v>38</v>
      </c>
      <c r="N618" t="s">
        <v>32</v>
      </c>
    </row>
    <row r="619" spans="1:14" x14ac:dyDescent="0.2">
      <c r="A619">
        <v>588642518</v>
      </c>
      <c r="B619" t="s">
        <v>43</v>
      </c>
      <c r="C619" t="s">
        <v>59</v>
      </c>
      <c r="D619" t="s">
        <v>570</v>
      </c>
      <c r="E619" s="8">
        <v>0.78400000000000003</v>
      </c>
      <c r="F619" t="s">
        <v>487</v>
      </c>
      <c r="G619">
        <v>211</v>
      </c>
      <c r="H619" t="s">
        <v>35</v>
      </c>
      <c r="I619" t="s">
        <v>36</v>
      </c>
      <c r="J619" t="s">
        <v>37</v>
      </c>
      <c r="K619" t="s">
        <v>28</v>
      </c>
      <c r="L619">
        <v>2017</v>
      </c>
      <c r="M619" t="s">
        <v>38</v>
      </c>
      <c r="N619" t="s">
        <v>32</v>
      </c>
    </row>
    <row r="620" spans="1:14" x14ac:dyDescent="0.2">
      <c r="A620">
        <v>588642518</v>
      </c>
      <c r="B620" t="s">
        <v>482</v>
      </c>
      <c r="C620" t="s">
        <v>436</v>
      </c>
      <c r="D620" t="s">
        <v>561</v>
      </c>
      <c r="E620" s="8">
        <v>0.66142857142857137</v>
      </c>
      <c r="F620" t="s">
        <v>487</v>
      </c>
      <c r="G620">
        <v>211</v>
      </c>
      <c r="H620" t="s">
        <v>35</v>
      </c>
      <c r="I620" t="s">
        <v>36</v>
      </c>
      <c r="J620" t="s">
        <v>37</v>
      </c>
      <c r="K620" t="s">
        <v>28</v>
      </c>
      <c r="L620">
        <v>2017</v>
      </c>
      <c r="M620" t="s">
        <v>38</v>
      </c>
      <c r="N620" t="s">
        <v>32</v>
      </c>
    </row>
    <row r="621" spans="1:14" x14ac:dyDescent="0.2">
      <c r="A621">
        <v>588642518</v>
      </c>
      <c r="B621" t="s">
        <v>482</v>
      </c>
      <c r="C621" t="s">
        <v>436</v>
      </c>
      <c r="D621" t="s">
        <v>561</v>
      </c>
      <c r="E621" s="8">
        <v>0.752</v>
      </c>
      <c r="F621" t="s">
        <v>487</v>
      </c>
      <c r="G621">
        <v>211</v>
      </c>
      <c r="H621" t="s">
        <v>35</v>
      </c>
      <c r="I621" t="s">
        <v>36</v>
      </c>
      <c r="J621" t="s">
        <v>37</v>
      </c>
      <c r="K621" t="s">
        <v>28</v>
      </c>
      <c r="L621">
        <v>2017</v>
      </c>
      <c r="M621" t="s">
        <v>38</v>
      </c>
      <c r="N621" t="s">
        <v>32</v>
      </c>
    </row>
    <row r="622" spans="1:14" x14ac:dyDescent="0.2">
      <c r="A622">
        <v>588642518</v>
      </c>
      <c r="B622" t="s">
        <v>483</v>
      </c>
      <c r="C622" t="s">
        <v>197</v>
      </c>
      <c r="D622" t="s">
        <v>556</v>
      </c>
      <c r="E622" s="8">
        <v>0.94000000000000006</v>
      </c>
      <c r="F622" t="s">
        <v>487</v>
      </c>
      <c r="G622">
        <v>211</v>
      </c>
      <c r="H622" t="s">
        <v>35</v>
      </c>
      <c r="I622" t="s">
        <v>36</v>
      </c>
      <c r="J622" t="s">
        <v>37</v>
      </c>
      <c r="K622" t="s">
        <v>28</v>
      </c>
      <c r="L622">
        <v>2017</v>
      </c>
      <c r="M622" t="s">
        <v>38</v>
      </c>
      <c r="N622" t="s">
        <v>32</v>
      </c>
    </row>
    <row r="623" spans="1:14" x14ac:dyDescent="0.2">
      <c r="A623">
        <v>588642518</v>
      </c>
      <c r="B623" t="s">
        <v>483</v>
      </c>
      <c r="C623" t="s">
        <v>196</v>
      </c>
      <c r="D623" t="s">
        <v>557</v>
      </c>
      <c r="E623" s="8">
        <v>0.68</v>
      </c>
      <c r="F623" t="s">
        <v>487</v>
      </c>
      <c r="G623">
        <v>211</v>
      </c>
      <c r="H623" t="s">
        <v>35</v>
      </c>
      <c r="I623" t="s">
        <v>36</v>
      </c>
      <c r="J623" t="s">
        <v>37</v>
      </c>
      <c r="K623" t="s">
        <v>28</v>
      </c>
      <c r="L623">
        <v>2017</v>
      </c>
      <c r="M623" t="s">
        <v>38</v>
      </c>
      <c r="N623" t="s">
        <v>32</v>
      </c>
    </row>
    <row r="624" spans="1:14" x14ac:dyDescent="0.2">
      <c r="A624">
        <v>588642518</v>
      </c>
      <c r="B624" t="s">
        <v>483</v>
      </c>
      <c r="C624" t="s">
        <v>197</v>
      </c>
      <c r="D624" t="s">
        <v>556</v>
      </c>
      <c r="E624" s="8">
        <v>0.85333333333333339</v>
      </c>
      <c r="F624" t="s">
        <v>487</v>
      </c>
      <c r="G624">
        <v>211</v>
      </c>
      <c r="H624" t="s">
        <v>35</v>
      </c>
      <c r="I624" t="s">
        <v>36</v>
      </c>
      <c r="J624" t="s">
        <v>37</v>
      </c>
      <c r="K624" t="s">
        <v>28</v>
      </c>
      <c r="L624">
        <v>2017</v>
      </c>
      <c r="M624" t="s">
        <v>38</v>
      </c>
      <c r="N624" t="s">
        <v>32</v>
      </c>
    </row>
    <row r="625" spans="1:14" x14ac:dyDescent="0.2">
      <c r="A625">
        <v>588642518</v>
      </c>
      <c r="B625" t="s">
        <v>483</v>
      </c>
      <c r="C625" t="s">
        <v>196</v>
      </c>
      <c r="D625" t="s">
        <v>557</v>
      </c>
      <c r="E625" s="8">
        <v>0.54400000000000004</v>
      </c>
      <c r="F625" t="s">
        <v>487</v>
      </c>
      <c r="G625">
        <v>211</v>
      </c>
      <c r="H625" t="s">
        <v>35</v>
      </c>
      <c r="I625" t="s">
        <v>36</v>
      </c>
      <c r="J625" t="s">
        <v>37</v>
      </c>
      <c r="K625" t="s">
        <v>28</v>
      </c>
      <c r="L625">
        <v>2017</v>
      </c>
      <c r="M625" t="s">
        <v>38</v>
      </c>
      <c r="N625" t="s">
        <v>32</v>
      </c>
    </row>
    <row r="626" spans="1:14" x14ac:dyDescent="0.2">
      <c r="A626">
        <v>588642518</v>
      </c>
      <c r="B626" t="s">
        <v>483</v>
      </c>
      <c r="C626" t="s">
        <v>197</v>
      </c>
      <c r="D626" t="s">
        <v>556</v>
      </c>
      <c r="E626" s="8">
        <v>0.45333333333333337</v>
      </c>
      <c r="F626" t="s">
        <v>487</v>
      </c>
      <c r="G626">
        <v>211</v>
      </c>
      <c r="H626" t="s">
        <v>35</v>
      </c>
      <c r="I626" t="s">
        <v>36</v>
      </c>
      <c r="J626" t="s">
        <v>37</v>
      </c>
      <c r="K626" t="s">
        <v>28</v>
      </c>
      <c r="L626">
        <v>2017</v>
      </c>
      <c r="M626" t="s">
        <v>38</v>
      </c>
      <c r="N626" t="s">
        <v>32</v>
      </c>
    </row>
    <row r="627" spans="1:14" x14ac:dyDescent="0.2">
      <c r="A627">
        <v>588642518</v>
      </c>
      <c r="B627" t="s">
        <v>484</v>
      </c>
      <c r="C627" t="s">
        <v>497</v>
      </c>
      <c r="D627" t="s">
        <v>558</v>
      </c>
      <c r="E627" s="8">
        <v>0.85333333333333339</v>
      </c>
      <c r="F627" t="s">
        <v>487</v>
      </c>
      <c r="G627">
        <v>211</v>
      </c>
      <c r="H627" t="s">
        <v>35</v>
      </c>
      <c r="I627" t="s">
        <v>36</v>
      </c>
      <c r="J627" t="s">
        <v>37</v>
      </c>
      <c r="K627" t="s">
        <v>28</v>
      </c>
      <c r="L627">
        <v>2017</v>
      </c>
      <c r="M627" t="s">
        <v>38</v>
      </c>
      <c r="N627" t="s">
        <v>32</v>
      </c>
    </row>
    <row r="628" spans="1:14" x14ac:dyDescent="0.2">
      <c r="A628">
        <v>588642518</v>
      </c>
      <c r="B628" t="s">
        <v>484</v>
      </c>
      <c r="C628" t="s">
        <v>500</v>
      </c>
      <c r="D628" t="s">
        <v>558</v>
      </c>
      <c r="E628" s="8">
        <v>0.77250000000000008</v>
      </c>
      <c r="F628" t="s">
        <v>487</v>
      </c>
      <c r="G628">
        <v>211</v>
      </c>
      <c r="H628" t="s">
        <v>35</v>
      </c>
      <c r="I628" t="s">
        <v>36</v>
      </c>
      <c r="J628" t="s">
        <v>37</v>
      </c>
      <c r="K628" t="s">
        <v>28</v>
      </c>
      <c r="L628">
        <v>2017</v>
      </c>
      <c r="M628" t="s">
        <v>38</v>
      </c>
      <c r="N628" t="s">
        <v>32</v>
      </c>
    </row>
    <row r="629" spans="1:14" x14ac:dyDescent="0.2">
      <c r="A629">
        <v>588642518</v>
      </c>
      <c r="B629" t="s">
        <v>484</v>
      </c>
      <c r="C629" t="s">
        <v>501</v>
      </c>
      <c r="D629" t="s">
        <v>558</v>
      </c>
      <c r="E629" s="8">
        <v>0.73</v>
      </c>
      <c r="F629" t="s">
        <v>487</v>
      </c>
      <c r="G629">
        <v>211</v>
      </c>
      <c r="H629" t="s">
        <v>35</v>
      </c>
      <c r="I629" t="s">
        <v>36</v>
      </c>
      <c r="J629" t="s">
        <v>37</v>
      </c>
      <c r="K629" t="s">
        <v>28</v>
      </c>
      <c r="L629">
        <v>2017</v>
      </c>
      <c r="M629" t="s">
        <v>38</v>
      </c>
      <c r="N629" t="s">
        <v>32</v>
      </c>
    </row>
    <row r="630" spans="1:14" x14ac:dyDescent="0.2">
      <c r="A630">
        <v>588642518</v>
      </c>
      <c r="B630" t="s">
        <v>485</v>
      </c>
      <c r="C630" t="s">
        <v>346</v>
      </c>
      <c r="D630" t="s">
        <v>559</v>
      </c>
      <c r="E630" s="8">
        <v>0.68</v>
      </c>
      <c r="F630" t="s">
        <v>487</v>
      </c>
      <c r="G630">
        <v>211</v>
      </c>
      <c r="H630" t="s">
        <v>35</v>
      </c>
      <c r="I630" t="s">
        <v>36</v>
      </c>
      <c r="J630" t="s">
        <v>37</v>
      </c>
      <c r="K630" t="s">
        <v>28</v>
      </c>
      <c r="L630">
        <v>2017</v>
      </c>
      <c r="M630" t="s">
        <v>38</v>
      </c>
      <c r="N630" t="s">
        <v>32</v>
      </c>
    </row>
    <row r="631" spans="1:14" x14ac:dyDescent="0.2">
      <c r="A631">
        <v>588642518</v>
      </c>
      <c r="B631" t="s">
        <v>485</v>
      </c>
      <c r="C631" t="s">
        <v>342</v>
      </c>
      <c r="D631" t="s">
        <v>559</v>
      </c>
      <c r="E631" s="8">
        <v>0.37750000000000006</v>
      </c>
      <c r="F631" t="s">
        <v>487</v>
      </c>
      <c r="G631">
        <v>211</v>
      </c>
      <c r="H631" t="s">
        <v>35</v>
      </c>
      <c r="I631" t="s">
        <v>36</v>
      </c>
      <c r="J631" t="s">
        <v>37</v>
      </c>
      <c r="K631" t="s">
        <v>28</v>
      </c>
      <c r="L631">
        <v>2017</v>
      </c>
      <c r="M631" t="s">
        <v>38</v>
      </c>
      <c r="N631" t="s">
        <v>32</v>
      </c>
    </row>
    <row r="632" spans="1:14" x14ac:dyDescent="0.2">
      <c r="A632">
        <v>598829620</v>
      </c>
      <c r="B632" t="s">
        <v>478</v>
      </c>
      <c r="C632" t="s">
        <v>276</v>
      </c>
      <c r="D632" t="s">
        <v>546</v>
      </c>
      <c r="E632" s="8">
        <v>0.2</v>
      </c>
      <c r="F632" t="s">
        <v>487</v>
      </c>
      <c r="G632">
        <v>211</v>
      </c>
      <c r="H632" t="s">
        <v>35</v>
      </c>
      <c r="I632" t="s">
        <v>36</v>
      </c>
      <c r="J632" t="s">
        <v>37</v>
      </c>
      <c r="K632" t="s">
        <v>28</v>
      </c>
      <c r="L632">
        <v>2017</v>
      </c>
      <c r="M632" t="s">
        <v>38</v>
      </c>
      <c r="N632" t="s">
        <v>32</v>
      </c>
    </row>
    <row r="633" spans="1:14" x14ac:dyDescent="0.2">
      <c r="A633">
        <v>598829620</v>
      </c>
      <c r="B633" t="s">
        <v>478</v>
      </c>
      <c r="C633" t="s">
        <v>247</v>
      </c>
      <c r="D633" t="s">
        <v>546</v>
      </c>
      <c r="E633" s="8">
        <v>0.376</v>
      </c>
      <c r="F633" t="s">
        <v>487</v>
      </c>
      <c r="G633">
        <v>211</v>
      </c>
      <c r="H633" t="s">
        <v>35</v>
      </c>
      <c r="I633" t="s">
        <v>36</v>
      </c>
      <c r="J633" t="s">
        <v>37</v>
      </c>
      <c r="K633" t="s">
        <v>28</v>
      </c>
      <c r="L633">
        <v>2017</v>
      </c>
      <c r="M633" t="s">
        <v>38</v>
      </c>
      <c r="N633" t="s">
        <v>32</v>
      </c>
    </row>
    <row r="634" spans="1:14" x14ac:dyDescent="0.2">
      <c r="A634">
        <v>598829620</v>
      </c>
      <c r="B634" t="s">
        <v>40</v>
      </c>
      <c r="C634" t="s">
        <v>435</v>
      </c>
      <c r="D634" t="s">
        <v>560</v>
      </c>
      <c r="E634" s="8">
        <v>0.15</v>
      </c>
      <c r="F634" t="s">
        <v>487</v>
      </c>
      <c r="G634">
        <v>211</v>
      </c>
      <c r="H634" t="s">
        <v>35</v>
      </c>
      <c r="I634" t="s">
        <v>36</v>
      </c>
      <c r="J634" t="s">
        <v>37</v>
      </c>
      <c r="K634" t="s">
        <v>28</v>
      </c>
      <c r="L634">
        <v>2017</v>
      </c>
      <c r="M634" t="s">
        <v>38</v>
      </c>
      <c r="N634" t="s">
        <v>32</v>
      </c>
    </row>
    <row r="635" spans="1:14" x14ac:dyDescent="0.2">
      <c r="A635">
        <v>598829620</v>
      </c>
      <c r="B635" t="s">
        <v>40</v>
      </c>
      <c r="C635" t="s">
        <v>393</v>
      </c>
      <c r="D635" t="s">
        <v>560</v>
      </c>
      <c r="E635" s="8">
        <v>0.23333333333333334</v>
      </c>
      <c r="F635" t="s">
        <v>487</v>
      </c>
      <c r="G635">
        <v>211</v>
      </c>
      <c r="H635" t="s">
        <v>35</v>
      </c>
      <c r="I635" t="s">
        <v>36</v>
      </c>
      <c r="J635" t="s">
        <v>37</v>
      </c>
      <c r="K635" t="s">
        <v>28</v>
      </c>
      <c r="L635">
        <v>2017</v>
      </c>
      <c r="M635" t="s">
        <v>38</v>
      </c>
      <c r="N635" t="s">
        <v>32</v>
      </c>
    </row>
    <row r="636" spans="1:14" x14ac:dyDescent="0.2">
      <c r="A636">
        <v>598829620</v>
      </c>
      <c r="B636" t="s">
        <v>41</v>
      </c>
      <c r="C636" t="s">
        <v>212</v>
      </c>
      <c r="D636" t="s">
        <v>562</v>
      </c>
      <c r="E636" s="8">
        <v>0.21249999999999999</v>
      </c>
      <c r="F636" t="s">
        <v>487</v>
      </c>
      <c r="G636">
        <v>211</v>
      </c>
      <c r="H636" t="s">
        <v>35</v>
      </c>
      <c r="I636" t="s">
        <v>36</v>
      </c>
      <c r="J636" t="s">
        <v>37</v>
      </c>
      <c r="K636" t="s">
        <v>28</v>
      </c>
      <c r="L636">
        <v>2017</v>
      </c>
      <c r="M636" t="s">
        <v>38</v>
      </c>
      <c r="N636" t="s">
        <v>32</v>
      </c>
    </row>
    <row r="637" spans="1:14" x14ac:dyDescent="0.2">
      <c r="A637">
        <v>598829620</v>
      </c>
      <c r="B637" t="s">
        <v>41</v>
      </c>
      <c r="C637" t="s">
        <v>207</v>
      </c>
      <c r="D637" t="s">
        <v>562</v>
      </c>
      <c r="E637" s="8">
        <v>0.27500000000000002</v>
      </c>
      <c r="F637" t="s">
        <v>487</v>
      </c>
      <c r="G637">
        <v>211</v>
      </c>
      <c r="H637" t="s">
        <v>35</v>
      </c>
      <c r="I637" t="s">
        <v>36</v>
      </c>
      <c r="J637" t="s">
        <v>37</v>
      </c>
      <c r="K637" t="s">
        <v>28</v>
      </c>
      <c r="L637">
        <v>2017</v>
      </c>
      <c r="M637" t="s">
        <v>38</v>
      </c>
      <c r="N637" t="s">
        <v>32</v>
      </c>
    </row>
    <row r="638" spans="1:14" x14ac:dyDescent="0.2">
      <c r="A638">
        <v>598829620</v>
      </c>
      <c r="B638" t="s">
        <v>41</v>
      </c>
      <c r="C638" t="s">
        <v>221</v>
      </c>
      <c r="D638" t="s">
        <v>563</v>
      </c>
      <c r="E638" s="8">
        <v>0.46666666666666667</v>
      </c>
      <c r="F638" t="s">
        <v>487</v>
      </c>
      <c r="G638">
        <v>211</v>
      </c>
      <c r="H638" t="s">
        <v>35</v>
      </c>
      <c r="I638" t="s">
        <v>36</v>
      </c>
      <c r="J638" t="s">
        <v>37</v>
      </c>
      <c r="K638" t="s">
        <v>28</v>
      </c>
      <c r="L638">
        <v>2017</v>
      </c>
      <c r="M638" t="s">
        <v>38</v>
      </c>
      <c r="N638" t="s">
        <v>32</v>
      </c>
    </row>
    <row r="639" spans="1:14" x14ac:dyDescent="0.2">
      <c r="A639">
        <v>598829620</v>
      </c>
      <c r="B639" t="s">
        <v>42</v>
      </c>
      <c r="C639" t="s">
        <v>159</v>
      </c>
      <c r="D639" t="s">
        <v>564</v>
      </c>
      <c r="E639" s="8">
        <v>0.4</v>
      </c>
      <c r="F639" t="s">
        <v>487</v>
      </c>
      <c r="G639">
        <v>211</v>
      </c>
      <c r="H639" t="s">
        <v>35</v>
      </c>
      <c r="I639" t="s">
        <v>36</v>
      </c>
      <c r="J639" t="s">
        <v>37</v>
      </c>
      <c r="K639" t="s">
        <v>28</v>
      </c>
      <c r="L639">
        <v>2017</v>
      </c>
      <c r="M639" t="s">
        <v>38</v>
      </c>
      <c r="N639" t="s">
        <v>32</v>
      </c>
    </row>
    <row r="640" spans="1:14" x14ac:dyDescent="0.2">
      <c r="A640">
        <v>598829620</v>
      </c>
      <c r="B640" t="s">
        <v>42</v>
      </c>
      <c r="C640" t="s">
        <v>135</v>
      </c>
      <c r="D640" t="s">
        <v>565</v>
      </c>
      <c r="E640" s="8">
        <v>0.15</v>
      </c>
      <c r="F640" t="s">
        <v>487</v>
      </c>
      <c r="G640">
        <v>211</v>
      </c>
      <c r="H640" t="s">
        <v>35</v>
      </c>
      <c r="I640" t="s">
        <v>36</v>
      </c>
      <c r="J640" t="s">
        <v>37</v>
      </c>
      <c r="K640" t="s">
        <v>28</v>
      </c>
      <c r="L640">
        <v>2017</v>
      </c>
      <c r="M640" t="s">
        <v>38</v>
      </c>
      <c r="N640" t="s">
        <v>32</v>
      </c>
    </row>
    <row r="641" spans="1:14" x14ac:dyDescent="0.2">
      <c r="A641">
        <v>598829620</v>
      </c>
      <c r="B641" t="s">
        <v>42</v>
      </c>
      <c r="C641" t="s">
        <v>56</v>
      </c>
      <c r="D641" t="s">
        <v>565</v>
      </c>
      <c r="E641" s="8">
        <v>0.15</v>
      </c>
      <c r="F641" t="s">
        <v>487</v>
      </c>
      <c r="G641">
        <v>211</v>
      </c>
      <c r="H641" t="s">
        <v>35</v>
      </c>
      <c r="I641" t="s">
        <v>36</v>
      </c>
      <c r="J641" t="s">
        <v>37</v>
      </c>
      <c r="K641" t="s">
        <v>28</v>
      </c>
      <c r="L641">
        <v>2017</v>
      </c>
      <c r="M641" t="s">
        <v>38</v>
      </c>
      <c r="N641" t="s">
        <v>32</v>
      </c>
    </row>
    <row r="642" spans="1:14" x14ac:dyDescent="0.2">
      <c r="A642">
        <v>598829620</v>
      </c>
      <c r="B642" t="s">
        <v>42</v>
      </c>
      <c r="C642" t="s">
        <v>155</v>
      </c>
      <c r="D642" t="s">
        <v>564</v>
      </c>
      <c r="E642" s="8">
        <v>0.4</v>
      </c>
      <c r="F642" t="s">
        <v>487</v>
      </c>
      <c r="G642">
        <v>211</v>
      </c>
      <c r="H642" t="s">
        <v>35</v>
      </c>
      <c r="I642" t="s">
        <v>36</v>
      </c>
      <c r="J642" t="s">
        <v>37</v>
      </c>
      <c r="K642" t="s">
        <v>28</v>
      </c>
      <c r="L642">
        <v>2017</v>
      </c>
      <c r="M642" t="s">
        <v>38</v>
      </c>
      <c r="N642" t="s">
        <v>32</v>
      </c>
    </row>
    <row r="643" spans="1:14" x14ac:dyDescent="0.2">
      <c r="A643">
        <v>598829620</v>
      </c>
      <c r="B643" t="s">
        <v>479</v>
      </c>
      <c r="C643" t="s">
        <v>57</v>
      </c>
      <c r="D643" t="s">
        <v>566</v>
      </c>
      <c r="E643" s="8">
        <v>0.28888888888888886</v>
      </c>
      <c r="F643" t="s">
        <v>487</v>
      </c>
      <c r="G643">
        <v>211</v>
      </c>
      <c r="H643" t="s">
        <v>35</v>
      </c>
      <c r="I643" t="s">
        <v>36</v>
      </c>
      <c r="J643" t="s">
        <v>37</v>
      </c>
      <c r="K643" t="s">
        <v>28</v>
      </c>
      <c r="L643">
        <v>2017</v>
      </c>
      <c r="M643" t="s">
        <v>38</v>
      </c>
      <c r="N643" t="s">
        <v>32</v>
      </c>
    </row>
    <row r="644" spans="1:14" x14ac:dyDescent="0.2">
      <c r="A644">
        <v>598829620</v>
      </c>
      <c r="B644" t="s">
        <v>479</v>
      </c>
      <c r="C644" t="s">
        <v>58</v>
      </c>
      <c r="D644" t="s">
        <v>567</v>
      </c>
      <c r="E644" s="8">
        <v>0.4</v>
      </c>
      <c r="F644" t="s">
        <v>487</v>
      </c>
      <c r="G644">
        <v>211</v>
      </c>
      <c r="H644" t="s">
        <v>35</v>
      </c>
      <c r="I644" t="s">
        <v>36</v>
      </c>
      <c r="J644" t="s">
        <v>37</v>
      </c>
      <c r="K644" t="s">
        <v>28</v>
      </c>
      <c r="L644">
        <v>2017</v>
      </c>
      <c r="M644" t="s">
        <v>38</v>
      </c>
      <c r="N644" t="s">
        <v>32</v>
      </c>
    </row>
    <row r="645" spans="1:14" x14ac:dyDescent="0.2">
      <c r="A645">
        <v>598829620</v>
      </c>
      <c r="B645" t="s">
        <v>480</v>
      </c>
      <c r="C645" t="s">
        <v>456</v>
      </c>
      <c r="D645" t="s">
        <v>568</v>
      </c>
      <c r="E645" s="8">
        <v>0.23333333333333334</v>
      </c>
      <c r="F645" t="s">
        <v>487</v>
      </c>
      <c r="G645">
        <v>211</v>
      </c>
      <c r="H645" t="s">
        <v>35</v>
      </c>
      <c r="I645" t="s">
        <v>36</v>
      </c>
      <c r="J645" t="s">
        <v>37</v>
      </c>
      <c r="K645" t="s">
        <v>28</v>
      </c>
      <c r="L645">
        <v>2017</v>
      </c>
      <c r="M645" t="s">
        <v>38</v>
      </c>
      <c r="N645" t="s">
        <v>32</v>
      </c>
    </row>
    <row r="646" spans="1:14" x14ac:dyDescent="0.2">
      <c r="A646">
        <v>598829620</v>
      </c>
      <c r="B646" t="s">
        <v>480</v>
      </c>
      <c r="C646" t="s">
        <v>452</v>
      </c>
      <c r="D646" t="s">
        <v>568</v>
      </c>
      <c r="E646" s="8">
        <v>0.23333333333333334</v>
      </c>
      <c r="F646" t="s">
        <v>487</v>
      </c>
      <c r="G646">
        <v>211</v>
      </c>
      <c r="H646" t="s">
        <v>35</v>
      </c>
      <c r="I646" t="s">
        <v>36</v>
      </c>
      <c r="J646" t="s">
        <v>37</v>
      </c>
      <c r="K646" t="s">
        <v>28</v>
      </c>
      <c r="L646">
        <v>2017</v>
      </c>
      <c r="M646" t="s">
        <v>38</v>
      </c>
      <c r="N646" t="s">
        <v>32</v>
      </c>
    </row>
    <row r="647" spans="1:14" x14ac:dyDescent="0.2">
      <c r="A647">
        <v>598829620</v>
      </c>
      <c r="B647" t="s">
        <v>481</v>
      </c>
      <c r="C647" t="s">
        <v>533</v>
      </c>
      <c r="D647" t="s">
        <v>569</v>
      </c>
      <c r="E647" s="8">
        <v>0.4</v>
      </c>
      <c r="F647" t="s">
        <v>487</v>
      </c>
      <c r="G647">
        <v>211</v>
      </c>
      <c r="H647" t="s">
        <v>35</v>
      </c>
      <c r="I647" t="s">
        <v>36</v>
      </c>
      <c r="J647" t="s">
        <v>37</v>
      </c>
      <c r="K647" t="s">
        <v>28</v>
      </c>
      <c r="L647">
        <v>2017</v>
      </c>
      <c r="M647" t="s">
        <v>38</v>
      </c>
      <c r="N647" t="s">
        <v>32</v>
      </c>
    </row>
    <row r="648" spans="1:14" x14ac:dyDescent="0.2">
      <c r="A648">
        <v>598829620</v>
      </c>
      <c r="B648" t="s">
        <v>481</v>
      </c>
      <c r="C648" t="s">
        <v>106</v>
      </c>
      <c r="D648" t="s">
        <v>569</v>
      </c>
      <c r="E648" s="8">
        <v>0.4</v>
      </c>
      <c r="F648" t="s">
        <v>487</v>
      </c>
      <c r="G648">
        <v>211</v>
      </c>
      <c r="H648" t="s">
        <v>35</v>
      </c>
      <c r="I648" t="s">
        <v>36</v>
      </c>
      <c r="J648" t="s">
        <v>37</v>
      </c>
      <c r="K648" t="s">
        <v>28</v>
      </c>
      <c r="L648">
        <v>2017</v>
      </c>
      <c r="M648" t="s">
        <v>38</v>
      </c>
      <c r="N648" t="s">
        <v>32</v>
      </c>
    </row>
    <row r="649" spans="1:14" x14ac:dyDescent="0.2">
      <c r="A649">
        <v>598829620</v>
      </c>
      <c r="B649" t="s">
        <v>43</v>
      </c>
      <c r="C649" t="s">
        <v>59</v>
      </c>
      <c r="D649" t="s">
        <v>570</v>
      </c>
      <c r="E649" s="8">
        <v>0.3</v>
      </c>
      <c r="F649" t="s">
        <v>487</v>
      </c>
      <c r="G649">
        <v>211</v>
      </c>
      <c r="H649" t="s">
        <v>35</v>
      </c>
      <c r="I649" t="s">
        <v>36</v>
      </c>
      <c r="J649" t="s">
        <v>37</v>
      </c>
      <c r="K649" t="s">
        <v>28</v>
      </c>
      <c r="L649">
        <v>2017</v>
      </c>
      <c r="M649" t="s">
        <v>38</v>
      </c>
      <c r="N649" t="s">
        <v>32</v>
      </c>
    </row>
    <row r="650" spans="1:14" x14ac:dyDescent="0.2">
      <c r="A650">
        <v>598829620</v>
      </c>
      <c r="B650" t="s">
        <v>482</v>
      </c>
      <c r="C650" t="s">
        <v>436</v>
      </c>
      <c r="D650" t="s">
        <v>561</v>
      </c>
      <c r="E650" s="8">
        <v>0.31857142857142856</v>
      </c>
      <c r="F650" t="s">
        <v>487</v>
      </c>
      <c r="G650">
        <v>211</v>
      </c>
      <c r="H650" t="s">
        <v>35</v>
      </c>
      <c r="I650" t="s">
        <v>36</v>
      </c>
      <c r="J650" t="s">
        <v>37</v>
      </c>
      <c r="K650" t="s">
        <v>28</v>
      </c>
      <c r="L650">
        <v>2017</v>
      </c>
      <c r="M650" t="s">
        <v>38</v>
      </c>
      <c r="N650" t="s">
        <v>32</v>
      </c>
    </row>
    <row r="651" spans="1:14" x14ac:dyDescent="0.2">
      <c r="A651">
        <v>598829620</v>
      </c>
      <c r="B651" t="s">
        <v>482</v>
      </c>
      <c r="C651" t="s">
        <v>436</v>
      </c>
      <c r="D651" t="s">
        <v>561</v>
      </c>
      <c r="E651" s="8">
        <v>0.12</v>
      </c>
      <c r="F651" t="s">
        <v>487</v>
      </c>
      <c r="G651">
        <v>211</v>
      </c>
      <c r="H651" t="s">
        <v>35</v>
      </c>
      <c r="I651" t="s">
        <v>36</v>
      </c>
      <c r="J651" t="s">
        <v>37</v>
      </c>
      <c r="K651" t="s">
        <v>28</v>
      </c>
      <c r="L651">
        <v>2017</v>
      </c>
      <c r="M651" t="s">
        <v>38</v>
      </c>
      <c r="N651" t="s">
        <v>32</v>
      </c>
    </row>
    <row r="652" spans="1:14" x14ac:dyDescent="0.2">
      <c r="A652">
        <v>598829620</v>
      </c>
      <c r="B652" t="s">
        <v>483</v>
      </c>
      <c r="C652" t="s">
        <v>197</v>
      </c>
      <c r="D652" t="s">
        <v>556</v>
      </c>
      <c r="E652" s="8">
        <v>0.15</v>
      </c>
      <c r="F652" t="s">
        <v>487</v>
      </c>
      <c r="G652">
        <v>211</v>
      </c>
      <c r="H652" t="s">
        <v>35</v>
      </c>
      <c r="I652" t="s">
        <v>36</v>
      </c>
      <c r="J652" t="s">
        <v>37</v>
      </c>
      <c r="K652" t="s">
        <v>28</v>
      </c>
      <c r="L652">
        <v>2017</v>
      </c>
      <c r="M652" t="s">
        <v>38</v>
      </c>
      <c r="N652" t="s">
        <v>32</v>
      </c>
    </row>
    <row r="653" spans="1:14" x14ac:dyDescent="0.2">
      <c r="A653">
        <v>598829620</v>
      </c>
      <c r="B653" t="s">
        <v>483</v>
      </c>
      <c r="C653" t="s">
        <v>196</v>
      </c>
      <c r="D653" t="s">
        <v>557</v>
      </c>
      <c r="E653" s="8">
        <v>0.4</v>
      </c>
      <c r="F653" t="s">
        <v>487</v>
      </c>
      <c r="G653">
        <v>211</v>
      </c>
      <c r="H653" t="s">
        <v>35</v>
      </c>
      <c r="I653" t="s">
        <v>36</v>
      </c>
      <c r="J653" t="s">
        <v>37</v>
      </c>
      <c r="K653" t="s">
        <v>28</v>
      </c>
      <c r="L653">
        <v>2017</v>
      </c>
      <c r="M653" t="s">
        <v>38</v>
      </c>
      <c r="N653" t="s">
        <v>32</v>
      </c>
    </row>
    <row r="654" spans="1:14" x14ac:dyDescent="0.2">
      <c r="A654">
        <v>598829620</v>
      </c>
      <c r="B654" t="s">
        <v>483</v>
      </c>
      <c r="C654" t="s">
        <v>197</v>
      </c>
      <c r="D654" t="s">
        <v>556</v>
      </c>
      <c r="E654" s="8">
        <v>0.23333333333333334</v>
      </c>
      <c r="F654" t="s">
        <v>487</v>
      </c>
      <c r="G654">
        <v>211</v>
      </c>
      <c r="H654" t="s">
        <v>35</v>
      </c>
      <c r="I654" t="s">
        <v>36</v>
      </c>
      <c r="J654" t="s">
        <v>37</v>
      </c>
      <c r="K654" t="s">
        <v>28</v>
      </c>
      <c r="L654">
        <v>2017</v>
      </c>
      <c r="M654" t="s">
        <v>38</v>
      </c>
      <c r="N654" t="s">
        <v>32</v>
      </c>
    </row>
    <row r="655" spans="1:14" x14ac:dyDescent="0.2">
      <c r="A655">
        <v>598829620</v>
      </c>
      <c r="B655" t="s">
        <v>483</v>
      </c>
      <c r="C655" t="s">
        <v>196</v>
      </c>
      <c r="D655" t="s">
        <v>557</v>
      </c>
      <c r="E655" s="8">
        <v>0.44</v>
      </c>
      <c r="F655" t="s">
        <v>487</v>
      </c>
      <c r="G655">
        <v>211</v>
      </c>
      <c r="H655" t="s">
        <v>35</v>
      </c>
      <c r="I655" t="s">
        <v>36</v>
      </c>
      <c r="J655" t="s">
        <v>37</v>
      </c>
      <c r="K655" t="s">
        <v>28</v>
      </c>
      <c r="L655">
        <v>2017</v>
      </c>
      <c r="M655" t="s">
        <v>38</v>
      </c>
      <c r="N655" t="s">
        <v>32</v>
      </c>
    </row>
    <row r="656" spans="1:14" x14ac:dyDescent="0.2">
      <c r="A656">
        <v>598829620</v>
      </c>
      <c r="B656" t="s">
        <v>483</v>
      </c>
      <c r="C656" t="s">
        <v>197</v>
      </c>
      <c r="D656" t="s">
        <v>556</v>
      </c>
      <c r="E656" s="8">
        <v>0.46666666666666667</v>
      </c>
      <c r="F656" t="s">
        <v>487</v>
      </c>
      <c r="G656">
        <v>211</v>
      </c>
      <c r="H656" t="s">
        <v>35</v>
      </c>
      <c r="I656" t="s">
        <v>36</v>
      </c>
      <c r="J656" t="s">
        <v>37</v>
      </c>
      <c r="K656" t="s">
        <v>28</v>
      </c>
      <c r="L656">
        <v>2017</v>
      </c>
      <c r="M656" t="s">
        <v>38</v>
      </c>
      <c r="N656" t="s">
        <v>32</v>
      </c>
    </row>
    <row r="657" spans="1:14" x14ac:dyDescent="0.2">
      <c r="A657">
        <v>598829620</v>
      </c>
      <c r="B657" t="s">
        <v>484</v>
      </c>
      <c r="C657" t="s">
        <v>497</v>
      </c>
      <c r="D657" t="s">
        <v>558</v>
      </c>
      <c r="E657" s="8">
        <v>0.23333333333333334</v>
      </c>
      <c r="F657" t="s">
        <v>487</v>
      </c>
      <c r="G657">
        <v>211</v>
      </c>
      <c r="H657" t="s">
        <v>35</v>
      </c>
      <c r="I657" t="s">
        <v>36</v>
      </c>
      <c r="J657" t="s">
        <v>37</v>
      </c>
      <c r="K657" t="s">
        <v>28</v>
      </c>
      <c r="L657">
        <v>2017</v>
      </c>
      <c r="M657" t="s">
        <v>38</v>
      </c>
      <c r="N657" t="s">
        <v>32</v>
      </c>
    </row>
    <row r="658" spans="1:14" x14ac:dyDescent="0.2">
      <c r="A658">
        <v>598829620</v>
      </c>
      <c r="B658" t="s">
        <v>484</v>
      </c>
      <c r="C658" t="s">
        <v>500</v>
      </c>
      <c r="D658" t="s">
        <v>558</v>
      </c>
      <c r="E658" s="8">
        <v>0.25</v>
      </c>
      <c r="F658" t="s">
        <v>487</v>
      </c>
      <c r="G658">
        <v>211</v>
      </c>
      <c r="H658" t="s">
        <v>35</v>
      </c>
      <c r="I658" t="s">
        <v>36</v>
      </c>
      <c r="J658" t="s">
        <v>37</v>
      </c>
      <c r="K658" t="s">
        <v>28</v>
      </c>
      <c r="L658">
        <v>2017</v>
      </c>
      <c r="M658" t="s">
        <v>38</v>
      </c>
      <c r="N658" t="s">
        <v>32</v>
      </c>
    </row>
    <row r="659" spans="1:14" x14ac:dyDescent="0.2">
      <c r="A659">
        <v>598829620</v>
      </c>
      <c r="B659" t="s">
        <v>484</v>
      </c>
      <c r="C659" t="s">
        <v>501</v>
      </c>
      <c r="D659" t="s">
        <v>558</v>
      </c>
      <c r="E659" s="8">
        <v>0.35375000000000001</v>
      </c>
      <c r="F659" t="s">
        <v>487</v>
      </c>
      <c r="G659">
        <v>211</v>
      </c>
      <c r="H659" t="s">
        <v>35</v>
      </c>
      <c r="I659" t="s">
        <v>36</v>
      </c>
      <c r="J659" t="s">
        <v>37</v>
      </c>
      <c r="K659" t="s">
        <v>28</v>
      </c>
      <c r="L659">
        <v>2017</v>
      </c>
      <c r="M659" t="s">
        <v>38</v>
      </c>
      <c r="N659" t="s">
        <v>32</v>
      </c>
    </row>
    <row r="660" spans="1:14" x14ac:dyDescent="0.2">
      <c r="A660">
        <v>598829620</v>
      </c>
      <c r="B660" t="s">
        <v>485</v>
      </c>
      <c r="C660" t="s">
        <v>346</v>
      </c>
      <c r="D660" t="s">
        <v>559</v>
      </c>
      <c r="E660" s="8">
        <v>0.4</v>
      </c>
      <c r="F660" t="s">
        <v>487</v>
      </c>
      <c r="G660">
        <v>211</v>
      </c>
      <c r="H660" t="s">
        <v>35</v>
      </c>
      <c r="I660" t="s">
        <v>36</v>
      </c>
      <c r="J660" t="s">
        <v>37</v>
      </c>
      <c r="K660" t="s">
        <v>28</v>
      </c>
      <c r="L660">
        <v>2017</v>
      </c>
      <c r="M660" t="s">
        <v>38</v>
      </c>
      <c r="N660" t="s">
        <v>32</v>
      </c>
    </row>
    <row r="661" spans="1:14" x14ac:dyDescent="0.2">
      <c r="A661">
        <v>598829620</v>
      </c>
      <c r="B661" t="s">
        <v>485</v>
      </c>
      <c r="C661" t="s">
        <v>342</v>
      </c>
      <c r="D661" t="s">
        <v>559</v>
      </c>
      <c r="E661" s="8">
        <v>0.4</v>
      </c>
      <c r="F661" t="s">
        <v>487</v>
      </c>
      <c r="G661">
        <v>211</v>
      </c>
      <c r="H661" t="s">
        <v>35</v>
      </c>
      <c r="I661" t="s">
        <v>36</v>
      </c>
      <c r="J661" t="s">
        <v>37</v>
      </c>
      <c r="K661" t="s">
        <v>28</v>
      </c>
      <c r="L661">
        <v>2017</v>
      </c>
      <c r="M661" t="s">
        <v>38</v>
      </c>
      <c r="N661" t="s">
        <v>32</v>
      </c>
    </row>
    <row r="662" spans="1:14" x14ac:dyDescent="0.2">
      <c r="A662">
        <v>633537205</v>
      </c>
      <c r="B662" t="s">
        <v>478</v>
      </c>
      <c r="C662" t="s">
        <v>276</v>
      </c>
      <c r="D662" t="s">
        <v>546</v>
      </c>
      <c r="E662" s="8">
        <v>0.27333333333333332</v>
      </c>
      <c r="F662" t="s">
        <v>487</v>
      </c>
      <c r="G662">
        <v>211</v>
      </c>
      <c r="H662" t="s">
        <v>35</v>
      </c>
      <c r="I662" t="s">
        <v>36</v>
      </c>
      <c r="J662" t="s">
        <v>37</v>
      </c>
      <c r="K662" t="s">
        <v>28</v>
      </c>
      <c r="L662">
        <v>2017</v>
      </c>
      <c r="M662" t="s">
        <v>38</v>
      </c>
      <c r="N662" t="s">
        <v>32</v>
      </c>
    </row>
    <row r="663" spans="1:14" x14ac:dyDescent="0.2">
      <c r="A663">
        <v>633537205</v>
      </c>
      <c r="B663" t="s">
        <v>478</v>
      </c>
      <c r="C663" t="s">
        <v>247</v>
      </c>
      <c r="D663" t="s">
        <v>546</v>
      </c>
      <c r="E663" s="8">
        <v>0.34200000000000003</v>
      </c>
      <c r="F663" t="s">
        <v>487</v>
      </c>
      <c r="G663">
        <v>211</v>
      </c>
      <c r="H663" t="s">
        <v>35</v>
      </c>
      <c r="I663" t="s">
        <v>36</v>
      </c>
      <c r="J663" t="s">
        <v>37</v>
      </c>
      <c r="K663" t="s">
        <v>28</v>
      </c>
      <c r="L663">
        <v>2017</v>
      </c>
      <c r="M663" t="s">
        <v>38</v>
      </c>
      <c r="N663" t="s">
        <v>32</v>
      </c>
    </row>
    <row r="664" spans="1:14" x14ac:dyDescent="0.2">
      <c r="A664">
        <v>633537205</v>
      </c>
      <c r="B664" t="s">
        <v>40</v>
      </c>
      <c r="C664" t="s">
        <v>435</v>
      </c>
      <c r="D664" t="s">
        <v>560</v>
      </c>
      <c r="E664" s="8">
        <v>0.36</v>
      </c>
      <c r="F664" t="s">
        <v>487</v>
      </c>
      <c r="G664">
        <v>211</v>
      </c>
      <c r="H664" t="s">
        <v>35</v>
      </c>
      <c r="I664" t="s">
        <v>36</v>
      </c>
      <c r="J664" t="s">
        <v>37</v>
      </c>
      <c r="K664" t="s">
        <v>28</v>
      </c>
      <c r="L664">
        <v>2017</v>
      </c>
      <c r="M664" t="s">
        <v>38</v>
      </c>
      <c r="N664" t="s">
        <v>32</v>
      </c>
    </row>
    <row r="665" spans="1:14" x14ac:dyDescent="0.2">
      <c r="A665">
        <v>633537205</v>
      </c>
      <c r="B665" t="s">
        <v>40</v>
      </c>
      <c r="C665" t="s">
        <v>393</v>
      </c>
      <c r="D665" t="s">
        <v>560</v>
      </c>
      <c r="E665" s="8">
        <v>0.37</v>
      </c>
      <c r="F665" t="s">
        <v>487</v>
      </c>
      <c r="G665">
        <v>211</v>
      </c>
      <c r="H665" t="s">
        <v>35</v>
      </c>
      <c r="I665" t="s">
        <v>36</v>
      </c>
      <c r="J665" t="s">
        <v>37</v>
      </c>
      <c r="K665" t="s">
        <v>28</v>
      </c>
      <c r="L665">
        <v>2017</v>
      </c>
      <c r="M665" t="s">
        <v>38</v>
      </c>
      <c r="N665" t="s">
        <v>32</v>
      </c>
    </row>
    <row r="666" spans="1:14" x14ac:dyDescent="0.2">
      <c r="A666">
        <v>633537205</v>
      </c>
      <c r="B666" t="s">
        <v>41</v>
      </c>
      <c r="C666" t="s">
        <v>212</v>
      </c>
      <c r="D666" t="s">
        <v>562</v>
      </c>
      <c r="E666" s="8">
        <v>0.29500000000000004</v>
      </c>
      <c r="F666" t="s">
        <v>487</v>
      </c>
      <c r="G666">
        <v>211</v>
      </c>
      <c r="H666" t="s">
        <v>35</v>
      </c>
      <c r="I666" t="s">
        <v>36</v>
      </c>
      <c r="J666" t="s">
        <v>37</v>
      </c>
      <c r="K666" t="s">
        <v>28</v>
      </c>
      <c r="L666">
        <v>2017</v>
      </c>
      <c r="M666" t="s">
        <v>38</v>
      </c>
      <c r="N666" t="s">
        <v>32</v>
      </c>
    </row>
    <row r="667" spans="1:14" x14ac:dyDescent="0.2">
      <c r="A667">
        <v>633537205</v>
      </c>
      <c r="B667" t="s">
        <v>41</v>
      </c>
      <c r="C667" t="s">
        <v>207</v>
      </c>
      <c r="D667" t="s">
        <v>562</v>
      </c>
      <c r="E667" s="8">
        <v>0.27833333333333332</v>
      </c>
      <c r="F667" t="s">
        <v>487</v>
      </c>
      <c r="G667">
        <v>211</v>
      </c>
      <c r="H667" t="s">
        <v>35</v>
      </c>
      <c r="I667" t="s">
        <v>36</v>
      </c>
      <c r="J667" t="s">
        <v>37</v>
      </c>
      <c r="K667" t="s">
        <v>28</v>
      </c>
      <c r="L667">
        <v>2017</v>
      </c>
      <c r="M667" t="s">
        <v>38</v>
      </c>
      <c r="N667" t="s">
        <v>32</v>
      </c>
    </row>
    <row r="668" spans="1:14" x14ac:dyDescent="0.2">
      <c r="A668">
        <v>633537205</v>
      </c>
      <c r="B668" t="s">
        <v>41</v>
      </c>
      <c r="C668" t="s">
        <v>221</v>
      </c>
      <c r="D668" t="s">
        <v>563</v>
      </c>
      <c r="E668" s="8">
        <v>0.13333333333333333</v>
      </c>
      <c r="F668" t="s">
        <v>487</v>
      </c>
      <c r="G668">
        <v>211</v>
      </c>
      <c r="H668" t="s">
        <v>35</v>
      </c>
      <c r="I668" t="s">
        <v>36</v>
      </c>
      <c r="J668" t="s">
        <v>37</v>
      </c>
      <c r="K668" t="s">
        <v>28</v>
      </c>
      <c r="L668">
        <v>2017</v>
      </c>
      <c r="M668" t="s">
        <v>38</v>
      </c>
      <c r="N668" t="s">
        <v>32</v>
      </c>
    </row>
    <row r="669" spans="1:14" x14ac:dyDescent="0.2">
      <c r="A669">
        <v>633537205</v>
      </c>
      <c r="B669" t="s">
        <v>42</v>
      </c>
      <c r="C669" t="s">
        <v>159</v>
      </c>
      <c r="D669" t="s">
        <v>564</v>
      </c>
      <c r="E669" s="8">
        <v>0.1</v>
      </c>
      <c r="F669" t="s">
        <v>487</v>
      </c>
      <c r="G669">
        <v>211</v>
      </c>
      <c r="H669" t="s">
        <v>35</v>
      </c>
      <c r="I669" t="s">
        <v>36</v>
      </c>
      <c r="J669" t="s">
        <v>37</v>
      </c>
      <c r="K669" t="s">
        <v>28</v>
      </c>
      <c r="L669">
        <v>2017</v>
      </c>
      <c r="M669" t="s">
        <v>38</v>
      </c>
      <c r="N669" t="s">
        <v>32</v>
      </c>
    </row>
    <row r="670" spans="1:14" x14ac:dyDescent="0.2">
      <c r="A670">
        <v>633537205</v>
      </c>
      <c r="B670" t="s">
        <v>42</v>
      </c>
      <c r="C670" t="s">
        <v>135</v>
      </c>
      <c r="D670" t="s">
        <v>565</v>
      </c>
      <c r="E670" s="8">
        <v>0.36</v>
      </c>
      <c r="F670" t="s">
        <v>487</v>
      </c>
      <c r="G670">
        <v>211</v>
      </c>
      <c r="H670" t="s">
        <v>35</v>
      </c>
      <c r="I670" t="s">
        <v>36</v>
      </c>
      <c r="J670" t="s">
        <v>37</v>
      </c>
      <c r="K670" t="s">
        <v>28</v>
      </c>
      <c r="L670">
        <v>2017</v>
      </c>
      <c r="M670" t="s">
        <v>38</v>
      </c>
      <c r="N670" t="s">
        <v>32</v>
      </c>
    </row>
    <row r="671" spans="1:14" x14ac:dyDescent="0.2">
      <c r="A671">
        <v>633537205</v>
      </c>
      <c r="B671" t="s">
        <v>42</v>
      </c>
      <c r="C671" t="s">
        <v>56</v>
      </c>
      <c r="D671" t="s">
        <v>565</v>
      </c>
      <c r="E671" s="8">
        <v>0.36000000000000004</v>
      </c>
      <c r="F671" t="s">
        <v>487</v>
      </c>
      <c r="G671">
        <v>211</v>
      </c>
      <c r="H671" t="s">
        <v>35</v>
      </c>
      <c r="I671" t="s">
        <v>36</v>
      </c>
      <c r="J671" t="s">
        <v>37</v>
      </c>
      <c r="K671" t="s">
        <v>28</v>
      </c>
      <c r="L671">
        <v>2017</v>
      </c>
      <c r="M671" t="s">
        <v>38</v>
      </c>
      <c r="N671" t="s">
        <v>32</v>
      </c>
    </row>
    <row r="672" spans="1:14" x14ac:dyDescent="0.2">
      <c r="A672">
        <v>633537205</v>
      </c>
      <c r="B672" t="s">
        <v>42</v>
      </c>
      <c r="C672" t="s">
        <v>155</v>
      </c>
      <c r="D672" t="s">
        <v>564</v>
      </c>
      <c r="E672" s="8">
        <v>0.1</v>
      </c>
      <c r="F672" t="s">
        <v>487</v>
      </c>
      <c r="G672">
        <v>211</v>
      </c>
      <c r="H672" t="s">
        <v>35</v>
      </c>
      <c r="I672" t="s">
        <v>36</v>
      </c>
      <c r="J672" t="s">
        <v>37</v>
      </c>
      <c r="K672" t="s">
        <v>28</v>
      </c>
      <c r="L672">
        <v>2017</v>
      </c>
      <c r="M672" t="s">
        <v>38</v>
      </c>
      <c r="N672" t="s">
        <v>32</v>
      </c>
    </row>
    <row r="673" spans="1:14" x14ac:dyDescent="0.2">
      <c r="A673">
        <v>633537205</v>
      </c>
      <c r="B673" t="s">
        <v>479</v>
      </c>
      <c r="C673" t="s">
        <v>57</v>
      </c>
      <c r="D673" t="s">
        <v>566</v>
      </c>
      <c r="E673" s="8">
        <v>0.25888888888888889</v>
      </c>
      <c r="F673" t="s">
        <v>487</v>
      </c>
      <c r="G673">
        <v>211</v>
      </c>
      <c r="H673" t="s">
        <v>35</v>
      </c>
      <c r="I673" t="s">
        <v>36</v>
      </c>
      <c r="J673" t="s">
        <v>37</v>
      </c>
      <c r="K673" t="s">
        <v>28</v>
      </c>
      <c r="L673">
        <v>2017</v>
      </c>
      <c r="M673" t="s">
        <v>38</v>
      </c>
      <c r="N673" t="s">
        <v>32</v>
      </c>
    </row>
    <row r="674" spans="1:14" x14ac:dyDescent="0.2">
      <c r="A674">
        <v>633537205</v>
      </c>
      <c r="B674" t="s">
        <v>479</v>
      </c>
      <c r="C674" t="s">
        <v>58</v>
      </c>
      <c r="D674" t="s">
        <v>567</v>
      </c>
      <c r="E674" s="8">
        <v>0.1</v>
      </c>
      <c r="F674" t="s">
        <v>487</v>
      </c>
      <c r="G674">
        <v>211</v>
      </c>
      <c r="H674" t="s">
        <v>35</v>
      </c>
      <c r="I674" t="s">
        <v>36</v>
      </c>
      <c r="J674" t="s">
        <v>37</v>
      </c>
      <c r="K674" t="s">
        <v>28</v>
      </c>
      <c r="L674">
        <v>2017</v>
      </c>
      <c r="M674" t="s">
        <v>38</v>
      </c>
      <c r="N674" t="s">
        <v>32</v>
      </c>
    </row>
    <row r="675" spans="1:14" x14ac:dyDescent="0.2">
      <c r="A675">
        <v>633537205</v>
      </c>
      <c r="B675" t="s">
        <v>480</v>
      </c>
      <c r="C675" t="s">
        <v>456</v>
      </c>
      <c r="D675" t="s">
        <v>568</v>
      </c>
      <c r="E675" s="8">
        <v>0.27333333333333332</v>
      </c>
      <c r="F675" t="s">
        <v>487</v>
      </c>
      <c r="G675">
        <v>211</v>
      </c>
      <c r="H675" t="s">
        <v>35</v>
      </c>
      <c r="I675" t="s">
        <v>36</v>
      </c>
      <c r="J675" t="s">
        <v>37</v>
      </c>
      <c r="K675" t="s">
        <v>28</v>
      </c>
      <c r="L675">
        <v>2017</v>
      </c>
      <c r="M675" t="s">
        <v>38</v>
      </c>
      <c r="N675" t="s">
        <v>32</v>
      </c>
    </row>
    <row r="676" spans="1:14" x14ac:dyDescent="0.2">
      <c r="A676">
        <v>633537205</v>
      </c>
      <c r="B676" t="s">
        <v>480</v>
      </c>
      <c r="C676" t="s">
        <v>452</v>
      </c>
      <c r="D676" t="s">
        <v>568</v>
      </c>
      <c r="E676" s="8">
        <v>0.27333333333333332</v>
      </c>
      <c r="F676" t="s">
        <v>487</v>
      </c>
      <c r="G676">
        <v>211</v>
      </c>
      <c r="H676" t="s">
        <v>35</v>
      </c>
      <c r="I676" t="s">
        <v>36</v>
      </c>
      <c r="J676" t="s">
        <v>37</v>
      </c>
      <c r="K676" t="s">
        <v>28</v>
      </c>
      <c r="L676">
        <v>2017</v>
      </c>
      <c r="M676" t="s">
        <v>38</v>
      </c>
      <c r="N676" t="s">
        <v>32</v>
      </c>
    </row>
    <row r="677" spans="1:14" x14ac:dyDescent="0.2">
      <c r="A677">
        <v>633537205</v>
      </c>
      <c r="B677" t="s">
        <v>481</v>
      </c>
      <c r="C677" t="s">
        <v>533</v>
      </c>
      <c r="D677" t="s">
        <v>569</v>
      </c>
      <c r="E677" s="8">
        <v>0.1</v>
      </c>
      <c r="F677" t="s">
        <v>487</v>
      </c>
      <c r="G677">
        <v>211</v>
      </c>
      <c r="H677" t="s">
        <v>35</v>
      </c>
      <c r="I677" t="s">
        <v>36</v>
      </c>
      <c r="J677" t="s">
        <v>37</v>
      </c>
      <c r="K677" t="s">
        <v>28</v>
      </c>
      <c r="L677">
        <v>2017</v>
      </c>
      <c r="M677" t="s">
        <v>38</v>
      </c>
      <c r="N677" t="s">
        <v>32</v>
      </c>
    </row>
    <row r="678" spans="1:14" x14ac:dyDescent="0.2">
      <c r="A678">
        <v>633537205</v>
      </c>
      <c r="B678" t="s">
        <v>481</v>
      </c>
      <c r="C678" t="s">
        <v>106</v>
      </c>
      <c r="D678" t="s">
        <v>569</v>
      </c>
      <c r="E678" s="8">
        <v>0.1</v>
      </c>
      <c r="F678" t="s">
        <v>487</v>
      </c>
      <c r="G678">
        <v>211</v>
      </c>
      <c r="H678" t="s">
        <v>35</v>
      </c>
      <c r="I678" t="s">
        <v>36</v>
      </c>
      <c r="J678" t="s">
        <v>37</v>
      </c>
      <c r="K678" t="s">
        <v>28</v>
      </c>
      <c r="L678">
        <v>2017</v>
      </c>
      <c r="M678" t="s">
        <v>38</v>
      </c>
      <c r="N678" t="s">
        <v>32</v>
      </c>
    </row>
    <row r="679" spans="1:14" x14ac:dyDescent="0.2">
      <c r="A679">
        <v>633537205</v>
      </c>
      <c r="B679" t="s">
        <v>43</v>
      </c>
      <c r="C679" t="s">
        <v>59</v>
      </c>
      <c r="D679" t="s">
        <v>570</v>
      </c>
      <c r="E679" s="8">
        <v>0.20399999999999999</v>
      </c>
      <c r="F679" t="s">
        <v>487</v>
      </c>
      <c r="G679">
        <v>211</v>
      </c>
      <c r="H679" t="s">
        <v>35</v>
      </c>
      <c r="I679" t="s">
        <v>36</v>
      </c>
      <c r="J679" t="s">
        <v>37</v>
      </c>
      <c r="K679" t="s">
        <v>28</v>
      </c>
      <c r="L679">
        <v>2017</v>
      </c>
      <c r="M679" t="s">
        <v>38</v>
      </c>
      <c r="N679" t="s">
        <v>32</v>
      </c>
    </row>
    <row r="680" spans="1:14" x14ac:dyDescent="0.2">
      <c r="A680">
        <v>633537205</v>
      </c>
      <c r="B680" t="s">
        <v>482</v>
      </c>
      <c r="C680" t="s">
        <v>436</v>
      </c>
      <c r="D680" t="s">
        <v>561</v>
      </c>
      <c r="E680" s="8">
        <v>0.31</v>
      </c>
      <c r="F680" t="s">
        <v>487</v>
      </c>
      <c r="G680">
        <v>211</v>
      </c>
      <c r="H680" t="s">
        <v>35</v>
      </c>
      <c r="I680" t="s">
        <v>36</v>
      </c>
      <c r="J680" t="s">
        <v>37</v>
      </c>
      <c r="K680" t="s">
        <v>28</v>
      </c>
      <c r="L680">
        <v>2017</v>
      </c>
      <c r="M680" t="s">
        <v>38</v>
      </c>
      <c r="N680" t="s">
        <v>32</v>
      </c>
    </row>
    <row r="681" spans="1:14" x14ac:dyDescent="0.2">
      <c r="A681">
        <v>633537205</v>
      </c>
      <c r="B681" t="s">
        <v>482</v>
      </c>
      <c r="C681" t="s">
        <v>436</v>
      </c>
      <c r="D681" t="s">
        <v>561</v>
      </c>
      <c r="E681" s="8">
        <v>0.28800000000000003</v>
      </c>
      <c r="F681" t="s">
        <v>487</v>
      </c>
      <c r="G681">
        <v>211</v>
      </c>
      <c r="H681" t="s">
        <v>35</v>
      </c>
      <c r="I681" t="s">
        <v>36</v>
      </c>
      <c r="J681" t="s">
        <v>37</v>
      </c>
      <c r="K681" t="s">
        <v>28</v>
      </c>
      <c r="L681">
        <v>2017</v>
      </c>
      <c r="M681" t="s">
        <v>38</v>
      </c>
      <c r="N681" t="s">
        <v>32</v>
      </c>
    </row>
    <row r="682" spans="1:14" x14ac:dyDescent="0.2">
      <c r="A682">
        <v>633537205</v>
      </c>
      <c r="B682" t="s">
        <v>483</v>
      </c>
      <c r="C682" t="s">
        <v>197</v>
      </c>
      <c r="D682" t="s">
        <v>556</v>
      </c>
      <c r="E682" s="8">
        <v>0.36</v>
      </c>
      <c r="F682" t="s">
        <v>487</v>
      </c>
      <c r="G682">
        <v>211</v>
      </c>
      <c r="H682" t="s">
        <v>35</v>
      </c>
      <c r="I682" t="s">
        <v>36</v>
      </c>
      <c r="J682" t="s">
        <v>37</v>
      </c>
      <c r="K682" t="s">
        <v>28</v>
      </c>
      <c r="L682">
        <v>2017</v>
      </c>
      <c r="M682" t="s">
        <v>38</v>
      </c>
      <c r="N682" t="s">
        <v>32</v>
      </c>
    </row>
    <row r="683" spans="1:14" x14ac:dyDescent="0.2">
      <c r="A683">
        <v>633537205</v>
      </c>
      <c r="B683" t="s">
        <v>483</v>
      </c>
      <c r="C683" t="s">
        <v>196</v>
      </c>
      <c r="D683" t="s">
        <v>557</v>
      </c>
      <c r="E683" s="8">
        <v>0.1</v>
      </c>
      <c r="F683" t="s">
        <v>487</v>
      </c>
      <c r="G683">
        <v>211</v>
      </c>
      <c r="H683" t="s">
        <v>35</v>
      </c>
      <c r="I683" t="s">
        <v>36</v>
      </c>
      <c r="J683" t="s">
        <v>37</v>
      </c>
      <c r="K683" t="s">
        <v>28</v>
      </c>
      <c r="L683">
        <v>2017</v>
      </c>
      <c r="M683" t="s">
        <v>38</v>
      </c>
      <c r="N683" t="s">
        <v>32</v>
      </c>
    </row>
    <row r="684" spans="1:14" x14ac:dyDescent="0.2">
      <c r="A684">
        <v>633537205</v>
      </c>
      <c r="B684" t="s">
        <v>483</v>
      </c>
      <c r="C684" t="s">
        <v>197</v>
      </c>
      <c r="D684" t="s">
        <v>556</v>
      </c>
      <c r="E684" s="8">
        <v>0.27333333333333332</v>
      </c>
      <c r="F684" t="s">
        <v>487</v>
      </c>
      <c r="G684">
        <v>211</v>
      </c>
      <c r="H684" t="s">
        <v>35</v>
      </c>
      <c r="I684" t="s">
        <v>36</v>
      </c>
      <c r="J684" t="s">
        <v>37</v>
      </c>
      <c r="K684" t="s">
        <v>28</v>
      </c>
      <c r="L684">
        <v>2017</v>
      </c>
      <c r="M684" t="s">
        <v>38</v>
      </c>
      <c r="N684" t="s">
        <v>32</v>
      </c>
    </row>
    <row r="685" spans="1:14" x14ac:dyDescent="0.2">
      <c r="A685">
        <v>633537205</v>
      </c>
      <c r="B685" t="s">
        <v>483</v>
      </c>
      <c r="C685" t="s">
        <v>196</v>
      </c>
      <c r="D685" t="s">
        <v>557</v>
      </c>
      <c r="E685" s="8">
        <v>0.12</v>
      </c>
      <c r="F685" t="s">
        <v>487</v>
      </c>
      <c r="G685">
        <v>211</v>
      </c>
      <c r="H685" t="s">
        <v>35</v>
      </c>
      <c r="I685" t="s">
        <v>36</v>
      </c>
      <c r="J685" t="s">
        <v>37</v>
      </c>
      <c r="K685" t="s">
        <v>28</v>
      </c>
      <c r="L685">
        <v>2017</v>
      </c>
      <c r="M685" t="s">
        <v>38</v>
      </c>
      <c r="N685" t="s">
        <v>32</v>
      </c>
    </row>
    <row r="686" spans="1:14" x14ac:dyDescent="0.2">
      <c r="A686">
        <v>633537205</v>
      </c>
      <c r="B686" t="s">
        <v>483</v>
      </c>
      <c r="C686" t="s">
        <v>197</v>
      </c>
      <c r="D686" t="s">
        <v>556</v>
      </c>
      <c r="E686" s="8">
        <v>0.13333333333333333</v>
      </c>
      <c r="F686" t="s">
        <v>487</v>
      </c>
      <c r="G686">
        <v>211</v>
      </c>
      <c r="H686" t="s">
        <v>35</v>
      </c>
      <c r="I686" t="s">
        <v>36</v>
      </c>
      <c r="J686" t="s">
        <v>37</v>
      </c>
      <c r="K686" t="s">
        <v>28</v>
      </c>
      <c r="L686">
        <v>2017</v>
      </c>
      <c r="M686" t="s">
        <v>38</v>
      </c>
      <c r="N686" t="s">
        <v>32</v>
      </c>
    </row>
    <row r="687" spans="1:14" x14ac:dyDescent="0.2">
      <c r="A687">
        <v>633537205</v>
      </c>
      <c r="B687" t="s">
        <v>484</v>
      </c>
      <c r="C687" t="s">
        <v>497</v>
      </c>
      <c r="D687" t="s">
        <v>558</v>
      </c>
      <c r="E687" s="8">
        <v>0.27333333333333332</v>
      </c>
      <c r="F687" t="s">
        <v>487</v>
      </c>
      <c r="G687">
        <v>211</v>
      </c>
      <c r="H687" t="s">
        <v>35</v>
      </c>
      <c r="I687" t="s">
        <v>36</v>
      </c>
      <c r="J687" t="s">
        <v>37</v>
      </c>
      <c r="K687" t="s">
        <v>28</v>
      </c>
      <c r="L687">
        <v>2017</v>
      </c>
      <c r="M687" t="s">
        <v>38</v>
      </c>
      <c r="N687" t="s">
        <v>32</v>
      </c>
    </row>
    <row r="688" spans="1:14" x14ac:dyDescent="0.2">
      <c r="A688">
        <v>633537205</v>
      </c>
      <c r="B688" t="s">
        <v>484</v>
      </c>
      <c r="C688" t="s">
        <v>500</v>
      </c>
      <c r="D688" t="s">
        <v>558</v>
      </c>
      <c r="E688" s="8">
        <v>0.45750000000000002</v>
      </c>
      <c r="F688" t="s">
        <v>487</v>
      </c>
      <c r="G688">
        <v>211</v>
      </c>
      <c r="H688" t="s">
        <v>35</v>
      </c>
      <c r="I688" t="s">
        <v>36</v>
      </c>
      <c r="J688" t="s">
        <v>37</v>
      </c>
      <c r="K688" t="s">
        <v>28</v>
      </c>
      <c r="L688">
        <v>2017</v>
      </c>
      <c r="M688" t="s">
        <v>38</v>
      </c>
      <c r="N688" t="s">
        <v>32</v>
      </c>
    </row>
    <row r="689" spans="1:14" x14ac:dyDescent="0.2">
      <c r="A689">
        <v>633537205</v>
      </c>
      <c r="B689" t="s">
        <v>484</v>
      </c>
      <c r="C689" t="s">
        <v>501</v>
      </c>
      <c r="D689" t="s">
        <v>558</v>
      </c>
      <c r="E689" s="8">
        <v>0.28375</v>
      </c>
      <c r="F689" t="s">
        <v>487</v>
      </c>
      <c r="G689">
        <v>211</v>
      </c>
      <c r="H689" t="s">
        <v>35</v>
      </c>
      <c r="I689" t="s">
        <v>36</v>
      </c>
      <c r="J689" t="s">
        <v>37</v>
      </c>
      <c r="K689" t="s">
        <v>28</v>
      </c>
      <c r="L689">
        <v>2017</v>
      </c>
      <c r="M689" t="s">
        <v>38</v>
      </c>
      <c r="N689" t="s">
        <v>32</v>
      </c>
    </row>
    <row r="690" spans="1:14" x14ac:dyDescent="0.2">
      <c r="A690">
        <v>633537205</v>
      </c>
      <c r="B690" t="s">
        <v>485</v>
      </c>
      <c r="C690" t="s">
        <v>346</v>
      </c>
      <c r="D690" t="s">
        <v>559</v>
      </c>
      <c r="E690" s="8">
        <v>0.1</v>
      </c>
      <c r="F690" t="s">
        <v>487</v>
      </c>
      <c r="G690">
        <v>211</v>
      </c>
      <c r="H690" t="s">
        <v>35</v>
      </c>
      <c r="I690" t="s">
        <v>36</v>
      </c>
      <c r="J690" t="s">
        <v>37</v>
      </c>
      <c r="K690" t="s">
        <v>28</v>
      </c>
      <c r="L690">
        <v>2017</v>
      </c>
      <c r="M690" t="s">
        <v>38</v>
      </c>
      <c r="N690" t="s">
        <v>32</v>
      </c>
    </row>
    <row r="691" spans="1:14" x14ac:dyDescent="0.2">
      <c r="A691">
        <v>633537205</v>
      </c>
      <c r="B691" t="s">
        <v>485</v>
      </c>
      <c r="C691" t="s">
        <v>342</v>
      </c>
      <c r="D691" t="s">
        <v>559</v>
      </c>
      <c r="E691" s="8">
        <v>0.125</v>
      </c>
      <c r="F691" t="s">
        <v>487</v>
      </c>
      <c r="G691">
        <v>211</v>
      </c>
      <c r="H691" t="s">
        <v>35</v>
      </c>
      <c r="I691" t="s">
        <v>36</v>
      </c>
      <c r="J691" t="s">
        <v>37</v>
      </c>
      <c r="K691" t="s">
        <v>28</v>
      </c>
      <c r="L691">
        <v>2017</v>
      </c>
      <c r="M691" t="s">
        <v>38</v>
      </c>
      <c r="N691" t="s">
        <v>32</v>
      </c>
    </row>
    <row r="692" spans="1:14" x14ac:dyDescent="0.2">
      <c r="A692">
        <v>684014860</v>
      </c>
      <c r="B692" t="s">
        <v>478</v>
      </c>
      <c r="C692" t="s">
        <v>276</v>
      </c>
      <c r="D692" t="s">
        <v>546</v>
      </c>
      <c r="E692" s="8">
        <v>0.54000000000000015</v>
      </c>
      <c r="F692" t="s">
        <v>487</v>
      </c>
      <c r="G692">
        <v>211</v>
      </c>
      <c r="H692" t="s">
        <v>35</v>
      </c>
      <c r="I692" t="s">
        <v>36</v>
      </c>
      <c r="J692" t="s">
        <v>37</v>
      </c>
      <c r="K692" t="s">
        <v>28</v>
      </c>
      <c r="L692">
        <v>2017</v>
      </c>
      <c r="M692" t="s">
        <v>38</v>
      </c>
      <c r="N692" t="s">
        <v>32</v>
      </c>
    </row>
    <row r="693" spans="1:14" x14ac:dyDescent="0.2">
      <c r="A693">
        <v>684014860</v>
      </c>
      <c r="B693" t="s">
        <v>478</v>
      </c>
      <c r="C693" t="s">
        <v>247</v>
      </c>
      <c r="D693" t="s">
        <v>546</v>
      </c>
      <c r="E693" s="8">
        <v>0.68200000000000005</v>
      </c>
      <c r="F693" t="s">
        <v>487</v>
      </c>
      <c r="G693">
        <v>211</v>
      </c>
      <c r="H693" t="s">
        <v>35</v>
      </c>
      <c r="I693" t="s">
        <v>36</v>
      </c>
      <c r="J693" t="s">
        <v>37</v>
      </c>
      <c r="K693" t="s">
        <v>28</v>
      </c>
      <c r="L693">
        <v>2017</v>
      </c>
      <c r="M693" t="s">
        <v>38</v>
      </c>
      <c r="N693" t="s">
        <v>32</v>
      </c>
    </row>
    <row r="694" spans="1:14" x14ac:dyDescent="0.2">
      <c r="A694">
        <v>684014860</v>
      </c>
      <c r="B694" t="s">
        <v>40</v>
      </c>
      <c r="C694" t="s">
        <v>435</v>
      </c>
      <c r="D694" t="s">
        <v>560</v>
      </c>
      <c r="E694" s="8">
        <v>0.56000000000000005</v>
      </c>
      <c r="F694" t="s">
        <v>487</v>
      </c>
      <c r="G694">
        <v>211</v>
      </c>
      <c r="H694" t="s">
        <v>35</v>
      </c>
      <c r="I694" t="s">
        <v>36</v>
      </c>
      <c r="J694" t="s">
        <v>37</v>
      </c>
      <c r="K694" t="s">
        <v>28</v>
      </c>
      <c r="L694">
        <v>2017</v>
      </c>
      <c r="M694" t="s">
        <v>38</v>
      </c>
      <c r="N694" t="s">
        <v>32</v>
      </c>
    </row>
    <row r="695" spans="1:14" x14ac:dyDescent="0.2">
      <c r="A695">
        <v>684014860</v>
      </c>
      <c r="B695" t="s">
        <v>40</v>
      </c>
      <c r="C695" t="s">
        <v>393</v>
      </c>
      <c r="D695" t="s">
        <v>560</v>
      </c>
      <c r="E695" s="8">
        <v>0.28333333333333333</v>
      </c>
      <c r="F695" t="s">
        <v>487</v>
      </c>
      <c r="G695">
        <v>211</v>
      </c>
      <c r="H695" t="s">
        <v>35</v>
      </c>
      <c r="I695" t="s">
        <v>36</v>
      </c>
      <c r="J695" t="s">
        <v>37</v>
      </c>
      <c r="K695" t="s">
        <v>28</v>
      </c>
      <c r="L695">
        <v>2017</v>
      </c>
      <c r="M695" t="s">
        <v>38</v>
      </c>
      <c r="N695" t="s">
        <v>32</v>
      </c>
    </row>
    <row r="696" spans="1:14" x14ac:dyDescent="0.2">
      <c r="A696">
        <v>684014860</v>
      </c>
      <c r="B696" t="s">
        <v>41</v>
      </c>
      <c r="C696" t="s">
        <v>212</v>
      </c>
      <c r="D696" t="s">
        <v>562</v>
      </c>
      <c r="E696" s="8">
        <v>0.56000000000000005</v>
      </c>
      <c r="F696" t="s">
        <v>487</v>
      </c>
      <c r="G696">
        <v>211</v>
      </c>
      <c r="H696" t="s">
        <v>35</v>
      </c>
      <c r="I696" t="s">
        <v>36</v>
      </c>
      <c r="J696" t="s">
        <v>37</v>
      </c>
      <c r="K696" t="s">
        <v>28</v>
      </c>
      <c r="L696">
        <v>2017</v>
      </c>
      <c r="M696" t="s">
        <v>38</v>
      </c>
      <c r="N696" t="s">
        <v>32</v>
      </c>
    </row>
    <row r="697" spans="1:14" x14ac:dyDescent="0.2">
      <c r="A697">
        <v>684014860</v>
      </c>
      <c r="B697" t="s">
        <v>41</v>
      </c>
      <c r="C697" t="s">
        <v>207</v>
      </c>
      <c r="D697" t="s">
        <v>562</v>
      </c>
      <c r="E697" s="8">
        <v>0.42166666666666675</v>
      </c>
      <c r="F697" t="s">
        <v>487</v>
      </c>
      <c r="G697">
        <v>211</v>
      </c>
      <c r="H697" t="s">
        <v>35</v>
      </c>
      <c r="I697" t="s">
        <v>36</v>
      </c>
      <c r="J697" t="s">
        <v>37</v>
      </c>
      <c r="K697" t="s">
        <v>28</v>
      </c>
      <c r="L697">
        <v>2017</v>
      </c>
      <c r="M697" t="s">
        <v>38</v>
      </c>
      <c r="N697" t="s">
        <v>32</v>
      </c>
    </row>
    <row r="698" spans="1:14" x14ac:dyDescent="0.2">
      <c r="A698">
        <v>684014860</v>
      </c>
      <c r="B698" t="s">
        <v>41</v>
      </c>
      <c r="C698" t="s">
        <v>221</v>
      </c>
      <c r="D698" t="s">
        <v>563</v>
      </c>
      <c r="E698" s="8">
        <v>0.64000000000000012</v>
      </c>
      <c r="F698" t="s">
        <v>487</v>
      </c>
      <c r="G698">
        <v>211</v>
      </c>
      <c r="H698" t="s">
        <v>35</v>
      </c>
      <c r="I698" t="s">
        <v>36</v>
      </c>
      <c r="J698" t="s">
        <v>37</v>
      </c>
      <c r="K698" t="s">
        <v>28</v>
      </c>
      <c r="L698">
        <v>2017</v>
      </c>
      <c r="M698" t="s">
        <v>38</v>
      </c>
      <c r="N698" t="s">
        <v>32</v>
      </c>
    </row>
    <row r="699" spans="1:14" x14ac:dyDescent="0.2">
      <c r="A699">
        <v>684014860</v>
      </c>
      <c r="B699" t="s">
        <v>42</v>
      </c>
      <c r="C699" t="s">
        <v>159</v>
      </c>
      <c r="D699" t="s">
        <v>564</v>
      </c>
      <c r="E699" s="8">
        <v>0.56000000000000005</v>
      </c>
      <c r="F699" t="s">
        <v>487</v>
      </c>
      <c r="G699">
        <v>211</v>
      </c>
      <c r="H699" t="s">
        <v>35</v>
      </c>
      <c r="I699" t="s">
        <v>36</v>
      </c>
      <c r="J699" t="s">
        <v>37</v>
      </c>
      <c r="K699" t="s">
        <v>28</v>
      </c>
      <c r="L699">
        <v>2017</v>
      </c>
      <c r="M699" t="s">
        <v>38</v>
      </c>
      <c r="N699" t="s">
        <v>32</v>
      </c>
    </row>
    <row r="700" spans="1:14" x14ac:dyDescent="0.2">
      <c r="A700">
        <v>684014860</v>
      </c>
      <c r="B700" t="s">
        <v>42</v>
      </c>
      <c r="C700" t="s">
        <v>135</v>
      </c>
      <c r="D700" t="s">
        <v>565</v>
      </c>
      <c r="E700" s="8">
        <v>0.56000000000000005</v>
      </c>
      <c r="F700" t="s">
        <v>487</v>
      </c>
      <c r="G700">
        <v>211</v>
      </c>
      <c r="H700" t="s">
        <v>35</v>
      </c>
      <c r="I700" t="s">
        <v>36</v>
      </c>
      <c r="J700" t="s">
        <v>37</v>
      </c>
      <c r="K700" t="s">
        <v>28</v>
      </c>
      <c r="L700">
        <v>2017</v>
      </c>
      <c r="M700" t="s">
        <v>38</v>
      </c>
      <c r="N700" t="s">
        <v>32</v>
      </c>
    </row>
    <row r="701" spans="1:14" x14ac:dyDescent="0.2">
      <c r="A701">
        <v>684014860</v>
      </c>
      <c r="B701" t="s">
        <v>42</v>
      </c>
      <c r="C701" t="s">
        <v>56</v>
      </c>
      <c r="D701" t="s">
        <v>565</v>
      </c>
      <c r="E701" s="8">
        <v>0.56000000000000005</v>
      </c>
      <c r="F701" t="s">
        <v>487</v>
      </c>
      <c r="G701">
        <v>211</v>
      </c>
      <c r="H701" t="s">
        <v>35</v>
      </c>
      <c r="I701" t="s">
        <v>36</v>
      </c>
      <c r="J701" t="s">
        <v>37</v>
      </c>
      <c r="K701" t="s">
        <v>28</v>
      </c>
      <c r="L701">
        <v>2017</v>
      </c>
      <c r="M701" t="s">
        <v>38</v>
      </c>
      <c r="N701" t="s">
        <v>32</v>
      </c>
    </row>
    <row r="702" spans="1:14" x14ac:dyDescent="0.2">
      <c r="A702">
        <v>684014860</v>
      </c>
      <c r="B702" t="s">
        <v>42</v>
      </c>
      <c r="C702" t="s">
        <v>155</v>
      </c>
      <c r="D702" t="s">
        <v>564</v>
      </c>
      <c r="E702" s="8">
        <v>0.56000000000000005</v>
      </c>
      <c r="F702" t="s">
        <v>487</v>
      </c>
      <c r="G702">
        <v>211</v>
      </c>
      <c r="H702" t="s">
        <v>35</v>
      </c>
      <c r="I702" t="s">
        <v>36</v>
      </c>
      <c r="J702" t="s">
        <v>37</v>
      </c>
      <c r="K702" t="s">
        <v>28</v>
      </c>
      <c r="L702">
        <v>2017</v>
      </c>
      <c r="M702" t="s">
        <v>38</v>
      </c>
      <c r="N702" t="s">
        <v>32</v>
      </c>
    </row>
    <row r="703" spans="1:14" x14ac:dyDescent="0.2">
      <c r="A703">
        <v>684014860</v>
      </c>
      <c r="B703" t="s">
        <v>479</v>
      </c>
      <c r="C703" t="s">
        <v>57</v>
      </c>
      <c r="D703" t="s">
        <v>566</v>
      </c>
      <c r="E703" s="8">
        <v>0.4933333333333334</v>
      </c>
      <c r="F703" t="s">
        <v>487</v>
      </c>
      <c r="G703">
        <v>211</v>
      </c>
      <c r="H703" t="s">
        <v>35</v>
      </c>
      <c r="I703" t="s">
        <v>36</v>
      </c>
      <c r="J703" t="s">
        <v>37</v>
      </c>
      <c r="K703" t="s">
        <v>28</v>
      </c>
      <c r="L703">
        <v>2017</v>
      </c>
      <c r="M703" t="s">
        <v>38</v>
      </c>
      <c r="N703" t="s">
        <v>32</v>
      </c>
    </row>
    <row r="704" spans="1:14" x14ac:dyDescent="0.2">
      <c r="A704">
        <v>684014860</v>
      </c>
      <c r="B704" t="s">
        <v>479</v>
      </c>
      <c r="C704" t="s">
        <v>58</v>
      </c>
      <c r="D704" t="s">
        <v>567</v>
      </c>
      <c r="E704" s="8">
        <v>0.56000000000000005</v>
      </c>
      <c r="F704" t="s">
        <v>487</v>
      </c>
      <c r="G704">
        <v>211</v>
      </c>
      <c r="H704" t="s">
        <v>35</v>
      </c>
      <c r="I704" t="s">
        <v>36</v>
      </c>
      <c r="J704" t="s">
        <v>37</v>
      </c>
      <c r="K704" t="s">
        <v>28</v>
      </c>
      <c r="L704">
        <v>2017</v>
      </c>
      <c r="M704" t="s">
        <v>38</v>
      </c>
      <c r="N704" t="s">
        <v>32</v>
      </c>
    </row>
    <row r="705" spans="1:14" x14ac:dyDescent="0.2">
      <c r="A705">
        <v>684014860</v>
      </c>
      <c r="B705" t="s">
        <v>480</v>
      </c>
      <c r="C705" t="s">
        <v>456</v>
      </c>
      <c r="D705" t="s">
        <v>568</v>
      </c>
      <c r="E705" s="8">
        <v>0.56000000000000005</v>
      </c>
      <c r="F705" t="s">
        <v>487</v>
      </c>
      <c r="G705">
        <v>211</v>
      </c>
      <c r="H705" t="s">
        <v>35</v>
      </c>
      <c r="I705" t="s">
        <v>36</v>
      </c>
      <c r="J705" t="s">
        <v>37</v>
      </c>
      <c r="K705" t="s">
        <v>28</v>
      </c>
      <c r="L705">
        <v>2017</v>
      </c>
      <c r="M705" t="s">
        <v>38</v>
      </c>
      <c r="N705" t="s">
        <v>32</v>
      </c>
    </row>
    <row r="706" spans="1:14" x14ac:dyDescent="0.2">
      <c r="A706">
        <v>684014860</v>
      </c>
      <c r="B706" t="s">
        <v>480</v>
      </c>
      <c r="C706" t="s">
        <v>452</v>
      </c>
      <c r="D706" t="s">
        <v>568</v>
      </c>
      <c r="E706" s="8">
        <v>0.56000000000000005</v>
      </c>
      <c r="F706" t="s">
        <v>487</v>
      </c>
      <c r="G706">
        <v>211</v>
      </c>
      <c r="H706" t="s">
        <v>35</v>
      </c>
      <c r="I706" t="s">
        <v>36</v>
      </c>
      <c r="J706" t="s">
        <v>37</v>
      </c>
      <c r="K706" t="s">
        <v>28</v>
      </c>
      <c r="L706">
        <v>2017</v>
      </c>
      <c r="M706" t="s">
        <v>38</v>
      </c>
      <c r="N706" t="s">
        <v>32</v>
      </c>
    </row>
    <row r="707" spans="1:14" x14ac:dyDescent="0.2">
      <c r="A707">
        <v>684014860</v>
      </c>
      <c r="B707" t="s">
        <v>481</v>
      </c>
      <c r="C707" t="s">
        <v>533</v>
      </c>
      <c r="D707" t="s">
        <v>569</v>
      </c>
      <c r="E707" s="8">
        <v>0.56000000000000005</v>
      </c>
      <c r="F707" t="s">
        <v>487</v>
      </c>
      <c r="G707">
        <v>211</v>
      </c>
      <c r="H707" t="s">
        <v>35</v>
      </c>
      <c r="I707" t="s">
        <v>36</v>
      </c>
      <c r="J707" t="s">
        <v>37</v>
      </c>
      <c r="K707" t="s">
        <v>28</v>
      </c>
      <c r="L707">
        <v>2017</v>
      </c>
      <c r="M707" t="s">
        <v>38</v>
      </c>
      <c r="N707" t="s">
        <v>32</v>
      </c>
    </row>
    <row r="708" spans="1:14" x14ac:dyDescent="0.2">
      <c r="A708">
        <v>684014860</v>
      </c>
      <c r="B708" t="s">
        <v>481</v>
      </c>
      <c r="C708" t="s">
        <v>106</v>
      </c>
      <c r="D708" t="s">
        <v>569</v>
      </c>
      <c r="E708" s="8">
        <v>0.56000000000000005</v>
      </c>
      <c r="F708" t="s">
        <v>487</v>
      </c>
      <c r="G708">
        <v>211</v>
      </c>
      <c r="H708" t="s">
        <v>35</v>
      </c>
      <c r="I708" t="s">
        <v>36</v>
      </c>
      <c r="J708" t="s">
        <v>37</v>
      </c>
      <c r="K708" t="s">
        <v>28</v>
      </c>
      <c r="L708">
        <v>2017</v>
      </c>
      <c r="M708" t="s">
        <v>38</v>
      </c>
      <c r="N708" t="s">
        <v>32</v>
      </c>
    </row>
    <row r="709" spans="1:14" x14ac:dyDescent="0.2">
      <c r="A709">
        <v>684014860</v>
      </c>
      <c r="B709" t="s">
        <v>43</v>
      </c>
      <c r="C709" t="s">
        <v>59</v>
      </c>
      <c r="D709" t="s">
        <v>570</v>
      </c>
      <c r="E709" s="8">
        <v>0.56000000000000005</v>
      </c>
      <c r="F709" t="s">
        <v>487</v>
      </c>
      <c r="G709">
        <v>211</v>
      </c>
      <c r="H709" t="s">
        <v>35</v>
      </c>
      <c r="I709" t="s">
        <v>36</v>
      </c>
      <c r="J709" t="s">
        <v>37</v>
      </c>
      <c r="K709" t="s">
        <v>28</v>
      </c>
      <c r="L709">
        <v>2017</v>
      </c>
      <c r="M709" t="s">
        <v>38</v>
      </c>
      <c r="N709" t="s">
        <v>32</v>
      </c>
    </row>
    <row r="710" spans="1:14" x14ac:dyDescent="0.2">
      <c r="A710">
        <v>684014860</v>
      </c>
      <c r="B710" t="s">
        <v>482</v>
      </c>
      <c r="C710" t="s">
        <v>436</v>
      </c>
      <c r="D710" t="s">
        <v>561</v>
      </c>
      <c r="E710" s="8">
        <v>0.6457142857142858</v>
      </c>
      <c r="F710" t="s">
        <v>487</v>
      </c>
      <c r="G710">
        <v>211</v>
      </c>
      <c r="H710" t="s">
        <v>35</v>
      </c>
      <c r="I710" t="s">
        <v>36</v>
      </c>
      <c r="J710" t="s">
        <v>37</v>
      </c>
      <c r="K710" t="s">
        <v>28</v>
      </c>
      <c r="L710">
        <v>2017</v>
      </c>
      <c r="M710" t="s">
        <v>38</v>
      </c>
      <c r="N710" t="s">
        <v>32</v>
      </c>
    </row>
    <row r="711" spans="1:14" x14ac:dyDescent="0.2">
      <c r="A711">
        <v>684014860</v>
      </c>
      <c r="B711" t="s">
        <v>482</v>
      </c>
      <c r="C711" t="s">
        <v>436</v>
      </c>
      <c r="D711" t="s">
        <v>561</v>
      </c>
      <c r="E711" s="8">
        <v>0.48800000000000004</v>
      </c>
      <c r="F711" t="s">
        <v>487</v>
      </c>
      <c r="G711">
        <v>211</v>
      </c>
      <c r="H711" t="s">
        <v>35</v>
      </c>
      <c r="I711" t="s">
        <v>36</v>
      </c>
      <c r="J711" t="s">
        <v>37</v>
      </c>
      <c r="K711" t="s">
        <v>28</v>
      </c>
      <c r="L711">
        <v>2017</v>
      </c>
      <c r="M711" t="s">
        <v>38</v>
      </c>
      <c r="N711" t="s">
        <v>32</v>
      </c>
    </row>
    <row r="712" spans="1:14" x14ac:dyDescent="0.2">
      <c r="A712">
        <v>684014860</v>
      </c>
      <c r="B712" t="s">
        <v>483</v>
      </c>
      <c r="C712" t="s">
        <v>197</v>
      </c>
      <c r="D712" t="s">
        <v>556</v>
      </c>
      <c r="E712" s="8">
        <v>0.56000000000000005</v>
      </c>
      <c r="F712" t="s">
        <v>487</v>
      </c>
      <c r="G712">
        <v>211</v>
      </c>
      <c r="H712" t="s">
        <v>35</v>
      </c>
      <c r="I712" t="s">
        <v>36</v>
      </c>
      <c r="J712" t="s">
        <v>37</v>
      </c>
      <c r="K712" t="s">
        <v>28</v>
      </c>
      <c r="L712">
        <v>2017</v>
      </c>
      <c r="M712" t="s">
        <v>38</v>
      </c>
      <c r="N712" t="s">
        <v>32</v>
      </c>
    </row>
    <row r="713" spans="1:14" x14ac:dyDescent="0.2">
      <c r="A713">
        <v>684014860</v>
      </c>
      <c r="B713" t="s">
        <v>483</v>
      </c>
      <c r="C713" t="s">
        <v>196</v>
      </c>
      <c r="D713" t="s">
        <v>557</v>
      </c>
      <c r="E713" s="8">
        <v>0.56000000000000005</v>
      </c>
      <c r="F713" t="s">
        <v>487</v>
      </c>
      <c r="G713">
        <v>211</v>
      </c>
      <c r="H713" t="s">
        <v>35</v>
      </c>
      <c r="I713" t="s">
        <v>36</v>
      </c>
      <c r="J713" t="s">
        <v>37</v>
      </c>
      <c r="K713" t="s">
        <v>28</v>
      </c>
      <c r="L713">
        <v>2017</v>
      </c>
      <c r="M713" t="s">
        <v>38</v>
      </c>
      <c r="N713" t="s">
        <v>32</v>
      </c>
    </row>
    <row r="714" spans="1:14" x14ac:dyDescent="0.2">
      <c r="A714">
        <v>684014860</v>
      </c>
      <c r="B714" t="s">
        <v>483</v>
      </c>
      <c r="C714" t="s">
        <v>197</v>
      </c>
      <c r="D714" t="s">
        <v>556</v>
      </c>
      <c r="E714" s="8">
        <v>0.56000000000000005</v>
      </c>
      <c r="F714" t="s">
        <v>487</v>
      </c>
      <c r="G714">
        <v>211</v>
      </c>
      <c r="H714" t="s">
        <v>35</v>
      </c>
      <c r="I714" t="s">
        <v>36</v>
      </c>
      <c r="J714" t="s">
        <v>37</v>
      </c>
      <c r="K714" t="s">
        <v>28</v>
      </c>
      <c r="L714">
        <v>2017</v>
      </c>
      <c r="M714" t="s">
        <v>38</v>
      </c>
      <c r="N714" t="s">
        <v>32</v>
      </c>
    </row>
    <row r="715" spans="1:14" x14ac:dyDescent="0.2">
      <c r="A715">
        <v>684014860</v>
      </c>
      <c r="B715" t="s">
        <v>483</v>
      </c>
      <c r="C715" t="s">
        <v>196</v>
      </c>
      <c r="D715" t="s">
        <v>557</v>
      </c>
      <c r="E715" s="8">
        <v>0.6080000000000001</v>
      </c>
      <c r="F715" t="s">
        <v>487</v>
      </c>
      <c r="G715">
        <v>211</v>
      </c>
      <c r="H715" t="s">
        <v>35</v>
      </c>
      <c r="I715" t="s">
        <v>36</v>
      </c>
      <c r="J715" t="s">
        <v>37</v>
      </c>
      <c r="K715" t="s">
        <v>28</v>
      </c>
      <c r="L715">
        <v>2017</v>
      </c>
      <c r="M715" t="s">
        <v>38</v>
      </c>
      <c r="N715" t="s">
        <v>32</v>
      </c>
    </row>
    <row r="716" spans="1:14" x14ac:dyDescent="0.2">
      <c r="A716">
        <v>684014860</v>
      </c>
      <c r="B716" t="s">
        <v>483</v>
      </c>
      <c r="C716" t="s">
        <v>197</v>
      </c>
      <c r="D716" t="s">
        <v>556</v>
      </c>
      <c r="E716" s="8">
        <v>0.64000000000000012</v>
      </c>
      <c r="F716" t="s">
        <v>487</v>
      </c>
      <c r="G716">
        <v>211</v>
      </c>
      <c r="H716" t="s">
        <v>35</v>
      </c>
      <c r="I716" t="s">
        <v>36</v>
      </c>
      <c r="J716" t="s">
        <v>37</v>
      </c>
      <c r="K716" t="s">
        <v>28</v>
      </c>
      <c r="L716">
        <v>2017</v>
      </c>
      <c r="M716" t="s">
        <v>38</v>
      </c>
      <c r="N716" t="s">
        <v>32</v>
      </c>
    </row>
    <row r="717" spans="1:14" x14ac:dyDescent="0.2">
      <c r="A717">
        <v>684014860</v>
      </c>
      <c r="B717" t="s">
        <v>484</v>
      </c>
      <c r="C717" t="s">
        <v>497</v>
      </c>
      <c r="D717" t="s">
        <v>558</v>
      </c>
      <c r="E717" s="8">
        <v>0.56000000000000005</v>
      </c>
      <c r="F717" t="s">
        <v>487</v>
      </c>
      <c r="G717">
        <v>211</v>
      </c>
      <c r="H717" t="s">
        <v>35</v>
      </c>
      <c r="I717" t="s">
        <v>36</v>
      </c>
      <c r="J717" t="s">
        <v>37</v>
      </c>
      <c r="K717" t="s">
        <v>28</v>
      </c>
      <c r="L717">
        <v>2017</v>
      </c>
      <c r="M717" t="s">
        <v>38</v>
      </c>
      <c r="N717" t="s">
        <v>32</v>
      </c>
    </row>
    <row r="718" spans="1:14" x14ac:dyDescent="0.2">
      <c r="A718">
        <v>684014860</v>
      </c>
      <c r="B718" t="s">
        <v>484</v>
      </c>
      <c r="C718" t="s">
        <v>500</v>
      </c>
      <c r="D718" t="s">
        <v>558</v>
      </c>
      <c r="E718" s="8">
        <v>0.44250000000000006</v>
      </c>
      <c r="F718" t="s">
        <v>487</v>
      </c>
      <c r="G718">
        <v>211</v>
      </c>
      <c r="H718" t="s">
        <v>35</v>
      </c>
      <c r="I718" t="s">
        <v>36</v>
      </c>
      <c r="J718" t="s">
        <v>37</v>
      </c>
      <c r="K718" t="s">
        <v>28</v>
      </c>
      <c r="L718">
        <v>2017</v>
      </c>
      <c r="M718" t="s">
        <v>38</v>
      </c>
      <c r="N718" t="s">
        <v>32</v>
      </c>
    </row>
    <row r="719" spans="1:14" x14ac:dyDescent="0.2">
      <c r="A719">
        <v>684014860</v>
      </c>
      <c r="B719" t="s">
        <v>484</v>
      </c>
      <c r="C719" t="s">
        <v>501</v>
      </c>
      <c r="D719" t="s">
        <v>558</v>
      </c>
      <c r="E719" s="8">
        <v>0.63625000000000009</v>
      </c>
      <c r="F719" t="s">
        <v>487</v>
      </c>
      <c r="G719">
        <v>211</v>
      </c>
      <c r="H719" t="s">
        <v>35</v>
      </c>
      <c r="I719" t="s">
        <v>36</v>
      </c>
      <c r="J719" t="s">
        <v>37</v>
      </c>
      <c r="K719" t="s">
        <v>28</v>
      </c>
      <c r="L719">
        <v>2017</v>
      </c>
      <c r="M719" t="s">
        <v>38</v>
      </c>
      <c r="N719" t="s">
        <v>32</v>
      </c>
    </row>
    <row r="720" spans="1:14" x14ac:dyDescent="0.2">
      <c r="A720">
        <v>684014860</v>
      </c>
      <c r="B720" t="s">
        <v>485</v>
      </c>
      <c r="C720" t="s">
        <v>346</v>
      </c>
      <c r="D720" t="s">
        <v>559</v>
      </c>
      <c r="E720" s="8">
        <v>0.56000000000000005</v>
      </c>
      <c r="F720" t="s">
        <v>487</v>
      </c>
      <c r="G720">
        <v>211</v>
      </c>
      <c r="H720" t="s">
        <v>35</v>
      </c>
      <c r="I720" t="s">
        <v>36</v>
      </c>
      <c r="J720" t="s">
        <v>37</v>
      </c>
      <c r="K720" t="s">
        <v>28</v>
      </c>
      <c r="L720">
        <v>2017</v>
      </c>
      <c r="M720" t="s">
        <v>38</v>
      </c>
      <c r="N720" t="s">
        <v>32</v>
      </c>
    </row>
    <row r="721" spans="1:14" x14ac:dyDescent="0.2">
      <c r="A721">
        <v>684014860</v>
      </c>
      <c r="B721" t="s">
        <v>485</v>
      </c>
      <c r="C721" t="s">
        <v>342</v>
      </c>
      <c r="D721" t="s">
        <v>559</v>
      </c>
      <c r="E721" s="8">
        <v>0.61750000000000005</v>
      </c>
      <c r="F721" t="s">
        <v>487</v>
      </c>
      <c r="G721">
        <v>211</v>
      </c>
      <c r="H721" t="s">
        <v>35</v>
      </c>
      <c r="I721" t="s">
        <v>36</v>
      </c>
      <c r="J721" t="s">
        <v>37</v>
      </c>
      <c r="K721" t="s">
        <v>28</v>
      </c>
      <c r="L721">
        <v>2017</v>
      </c>
      <c r="M721" t="s">
        <v>38</v>
      </c>
      <c r="N721" t="s">
        <v>32</v>
      </c>
    </row>
    <row r="722" spans="1:14" x14ac:dyDescent="0.2">
      <c r="A722">
        <v>684291511</v>
      </c>
      <c r="B722" t="s">
        <v>478</v>
      </c>
      <c r="C722" t="s">
        <v>276</v>
      </c>
      <c r="D722" t="s">
        <v>546</v>
      </c>
      <c r="E722" s="8">
        <v>0.46333333333333326</v>
      </c>
      <c r="F722" t="s">
        <v>487</v>
      </c>
      <c r="G722">
        <v>211</v>
      </c>
      <c r="H722" t="s">
        <v>35</v>
      </c>
      <c r="I722" t="s">
        <v>36</v>
      </c>
      <c r="J722" t="s">
        <v>37</v>
      </c>
      <c r="K722" t="s">
        <v>28</v>
      </c>
      <c r="L722">
        <v>2017</v>
      </c>
      <c r="M722" t="s">
        <v>38</v>
      </c>
      <c r="N722" t="s">
        <v>32</v>
      </c>
    </row>
    <row r="723" spans="1:14" x14ac:dyDescent="0.2">
      <c r="A723">
        <v>684291511</v>
      </c>
      <c r="B723" t="s">
        <v>478</v>
      </c>
      <c r="C723" t="s">
        <v>247</v>
      </c>
      <c r="D723" t="s">
        <v>546</v>
      </c>
      <c r="E723" s="8">
        <v>0.34600000000000003</v>
      </c>
      <c r="F723" t="s">
        <v>487</v>
      </c>
      <c r="G723">
        <v>211</v>
      </c>
      <c r="H723" t="s">
        <v>35</v>
      </c>
      <c r="I723" t="s">
        <v>36</v>
      </c>
      <c r="J723" t="s">
        <v>37</v>
      </c>
      <c r="K723" t="s">
        <v>28</v>
      </c>
      <c r="L723">
        <v>2017</v>
      </c>
      <c r="M723" t="s">
        <v>38</v>
      </c>
      <c r="N723" t="s">
        <v>32</v>
      </c>
    </row>
    <row r="724" spans="1:14" x14ac:dyDescent="0.2">
      <c r="A724">
        <v>684291511</v>
      </c>
      <c r="B724" t="s">
        <v>40</v>
      </c>
      <c r="C724" t="s">
        <v>435</v>
      </c>
      <c r="D724" t="s">
        <v>560</v>
      </c>
      <c r="E724" s="8">
        <v>0.37</v>
      </c>
      <c r="F724" t="s">
        <v>487</v>
      </c>
      <c r="G724">
        <v>211</v>
      </c>
      <c r="H724" t="s">
        <v>35</v>
      </c>
      <c r="I724" t="s">
        <v>36</v>
      </c>
      <c r="J724" t="s">
        <v>37</v>
      </c>
      <c r="K724" t="s">
        <v>28</v>
      </c>
      <c r="L724">
        <v>2017</v>
      </c>
      <c r="M724" t="s">
        <v>38</v>
      </c>
      <c r="N724" t="s">
        <v>32</v>
      </c>
    </row>
    <row r="725" spans="1:14" x14ac:dyDescent="0.2">
      <c r="A725">
        <v>684291511</v>
      </c>
      <c r="B725" t="s">
        <v>40</v>
      </c>
      <c r="C725" t="s">
        <v>393</v>
      </c>
      <c r="D725" t="s">
        <v>560</v>
      </c>
      <c r="E725" s="8">
        <v>0.69666666666666677</v>
      </c>
      <c r="F725" t="s">
        <v>487</v>
      </c>
      <c r="G725">
        <v>211</v>
      </c>
      <c r="H725" t="s">
        <v>35</v>
      </c>
      <c r="I725" t="s">
        <v>36</v>
      </c>
      <c r="J725" t="s">
        <v>37</v>
      </c>
      <c r="K725" t="s">
        <v>28</v>
      </c>
      <c r="L725">
        <v>2017</v>
      </c>
      <c r="M725" t="s">
        <v>38</v>
      </c>
      <c r="N725" t="s">
        <v>32</v>
      </c>
    </row>
    <row r="726" spans="1:14" x14ac:dyDescent="0.2">
      <c r="A726">
        <v>684291511</v>
      </c>
      <c r="B726" t="s">
        <v>41</v>
      </c>
      <c r="C726" t="s">
        <v>212</v>
      </c>
      <c r="D726" t="s">
        <v>562</v>
      </c>
      <c r="E726" s="8">
        <v>0.40750000000000003</v>
      </c>
      <c r="F726" t="s">
        <v>487</v>
      </c>
      <c r="G726">
        <v>211</v>
      </c>
      <c r="H726" t="s">
        <v>35</v>
      </c>
      <c r="I726" t="s">
        <v>36</v>
      </c>
      <c r="J726" t="s">
        <v>37</v>
      </c>
      <c r="K726" t="s">
        <v>28</v>
      </c>
      <c r="L726">
        <v>2017</v>
      </c>
      <c r="M726" t="s">
        <v>38</v>
      </c>
      <c r="N726" t="s">
        <v>32</v>
      </c>
    </row>
    <row r="727" spans="1:14" x14ac:dyDescent="0.2">
      <c r="A727">
        <v>684291511</v>
      </c>
      <c r="B727" t="s">
        <v>41</v>
      </c>
      <c r="C727" t="s">
        <v>207</v>
      </c>
      <c r="D727" t="s">
        <v>562</v>
      </c>
      <c r="E727" s="8">
        <v>0.58333333333333337</v>
      </c>
      <c r="F727" t="s">
        <v>487</v>
      </c>
      <c r="G727">
        <v>211</v>
      </c>
      <c r="H727" t="s">
        <v>35</v>
      </c>
      <c r="I727" t="s">
        <v>36</v>
      </c>
      <c r="J727" t="s">
        <v>37</v>
      </c>
      <c r="K727" t="s">
        <v>28</v>
      </c>
      <c r="L727">
        <v>2017</v>
      </c>
      <c r="M727" t="s">
        <v>38</v>
      </c>
      <c r="N727" t="s">
        <v>32</v>
      </c>
    </row>
    <row r="728" spans="1:14" x14ac:dyDescent="0.2">
      <c r="A728">
        <v>684291511</v>
      </c>
      <c r="B728" t="s">
        <v>41</v>
      </c>
      <c r="C728" t="s">
        <v>221</v>
      </c>
      <c r="D728" t="s">
        <v>563</v>
      </c>
      <c r="E728" s="8">
        <v>0.48000000000000004</v>
      </c>
      <c r="F728" t="s">
        <v>487</v>
      </c>
      <c r="G728">
        <v>211</v>
      </c>
      <c r="H728" t="s">
        <v>35</v>
      </c>
      <c r="I728" t="s">
        <v>36</v>
      </c>
      <c r="J728" t="s">
        <v>37</v>
      </c>
      <c r="K728" t="s">
        <v>28</v>
      </c>
      <c r="L728">
        <v>2017</v>
      </c>
      <c r="M728" t="s">
        <v>38</v>
      </c>
      <c r="N728" t="s">
        <v>32</v>
      </c>
    </row>
    <row r="729" spans="1:14" x14ac:dyDescent="0.2">
      <c r="A729">
        <v>684291511</v>
      </c>
      <c r="B729" t="s">
        <v>42</v>
      </c>
      <c r="C729" t="s">
        <v>159</v>
      </c>
      <c r="D729" t="s">
        <v>564</v>
      </c>
      <c r="E729" s="8">
        <v>0.52</v>
      </c>
      <c r="F729" t="s">
        <v>487</v>
      </c>
      <c r="G729">
        <v>211</v>
      </c>
      <c r="H729" t="s">
        <v>35</v>
      </c>
      <c r="I729" t="s">
        <v>36</v>
      </c>
      <c r="J729" t="s">
        <v>37</v>
      </c>
      <c r="K729" t="s">
        <v>28</v>
      </c>
      <c r="L729">
        <v>2017</v>
      </c>
      <c r="M729" t="s">
        <v>38</v>
      </c>
      <c r="N729" t="s">
        <v>32</v>
      </c>
    </row>
    <row r="730" spans="1:14" x14ac:dyDescent="0.2">
      <c r="A730">
        <v>684291511</v>
      </c>
      <c r="B730" t="s">
        <v>42</v>
      </c>
      <c r="C730" t="s">
        <v>135</v>
      </c>
      <c r="D730" t="s">
        <v>565</v>
      </c>
      <c r="E730" s="8">
        <v>0.37</v>
      </c>
      <c r="F730" t="s">
        <v>487</v>
      </c>
      <c r="G730">
        <v>211</v>
      </c>
      <c r="H730" t="s">
        <v>35</v>
      </c>
      <c r="I730" t="s">
        <v>36</v>
      </c>
      <c r="J730" t="s">
        <v>37</v>
      </c>
      <c r="K730" t="s">
        <v>28</v>
      </c>
      <c r="L730">
        <v>2017</v>
      </c>
      <c r="M730" t="s">
        <v>38</v>
      </c>
      <c r="N730" t="s">
        <v>32</v>
      </c>
    </row>
    <row r="731" spans="1:14" x14ac:dyDescent="0.2">
      <c r="A731">
        <v>684291511</v>
      </c>
      <c r="B731" t="s">
        <v>42</v>
      </c>
      <c r="C731" t="s">
        <v>56</v>
      </c>
      <c r="D731" t="s">
        <v>565</v>
      </c>
      <c r="E731" s="8">
        <v>0.37000000000000005</v>
      </c>
      <c r="F731" t="s">
        <v>487</v>
      </c>
      <c r="G731">
        <v>211</v>
      </c>
      <c r="H731" t="s">
        <v>35</v>
      </c>
      <c r="I731" t="s">
        <v>36</v>
      </c>
      <c r="J731" t="s">
        <v>37</v>
      </c>
      <c r="K731" t="s">
        <v>28</v>
      </c>
      <c r="L731">
        <v>2017</v>
      </c>
      <c r="M731" t="s">
        <v>38</v>
      </c>
      <c r="N731" t="s">
        <v>32</v>
      </c>
    </row>
    <row r="732" spans="1:14" x14ac:dyDescent="0.2">
      <c r="A732">
        <v>684291511</v>
      </c>
      <c r="B732" t="s">
        <v>42</v>
      </c>
      <c r="C732" t="s">
        <v>155</v>
      </c>
      <c r="D732" t="s">
        <v>564</v>
      </c>
      <c r="E732" s="8">
        <v>0.52</v>
      </c>
      <c r="F732" t="s">
        <v>487</v>
      </c>
      <c r="G732">
        <v>211</v>
      </c>
      <c r="H732" t="s">
        <v>35</v>
      </c>
      <c r="I732" t="s">
        <v>36</v>
      </c>
      <c r="J732" t="s">
        <v>37</v>
      </c>
      <c r="K732" t="s">
        <v>28</v>
      </c>
      <c r="L732">
        <v>2017</v>
      </c>
      <c r="M732" t="s">
        <v>38</v>
      </c>
      <c r="N732" t="s">
        <v>32</v>
      </c>
    </row>
    <row r="733" spans="1:14" x14ac:dyDescent="0.2">
      <c r="A733">
        <v>684291511</v>
      </c>
      <c r="B733" t="s">
        <v>479</v>
      </c>
      <c r="C733" t="s">
        <v>57</v>
      </c>
      <c r="D733" t="s">
        <v>566</v>
      </c>
      <c r="E733" s="8">
        <v>0.51888888888888896</v>
      </c>
      <c r="F733" t="s">
        <v>487</v>
      </c>
      <c r="G733">
        <v>211</v>
      </c>
      <c r="H733" t="s">
        <v>35</v>
      </c>
      <c r="I733" t="s">
        <v>36</v>
      </c>
      <c r="J733" t="s">
        <v>37</v>
      </c>
      <c r="K733" t="s">
        <v>28</v>
      </c>
      <c r="L733">
        <v>2017</v>
      </c>
      <c r="M733" t="s">
        <v>38</v>
      </c>
      <c r="N733" t="s">
        <v>32</v>
      </c>
    </row>
    <row r="734" spans="1:14" x14ac:dyDescent="0.2">
      <c r="A734">
        <v>684291511</v>
      </c>
      <c r="B734" t="s">
        <v>479</v>
      </c>
      <c r="C734" t="s">
        <v>58</v>
      </c>
      <c r="D734" t="s">
        <v>567</v>
      </c>
      <c r="E734" s="8">
        <v>0.52</v>
      </c>
      <c r="F734" t="s">
        <v>487</v>
      </c>
      <c r="G734">
        <v>211</v>
      </c>
      <c r="H734" t="s">
        <v>35</v>
      </c>
      <c r="I734" t="s">
        <v>36</v>
      </c>
      <c r="J734" t="s">
        <v>37</v>
      </c>
      <c r="K734" t="s">
        <v>28</v>
      </c>
      <c r="L734">
        <v>2017</v>
      </c>
      <c r="M734" t="s">
        <v>38</v>
      </c>
      <c r="N734" t="s">
        <v>32</v>
      </c>
    </row>
    <row r="735" spans="1:14" x14ac:dyDescent="0.2">
      <c r="A735">
        <v>684291511</v>
      </c>
      <c r="B735" t="s">
        <v>480</v>
      </c>
      <c r="C735" t="s">
        <v>456</v>
      </c>
      <c r="D735" t="s">
        <v>568</v>
      </c>
      <c r="E735" s="8">
        <v>0.42000000000000004</v>
      </c>
      <c r="F735" t="s">
        <v>487</v>
      </c>
      <c r="G735">
        <v>211</v>
      </c>
      <c r="H735" t="s">
        <v>35</v>
      </c>
      <c r="I735" t="s">
        <v>36</v>
      </c>
      <c r="J735" t="s">
        <v>37</v>
      </c>
      <c r="K735" t="s">
        <v>28</v>
      </c>
      <c r="L735">
        <v>2017</v>
      </c>
      <c r="M735" t="s">
        <v>38</v>
      </c>
      <c r="N735" t="s">
        <v>32</v>
      </c>
    </row>
    <row r="736" spans="1:14" x14ac:dyDescent="0.2">
      <c r="A736">
        <v>684291511</v>
      </c>
      <c r="B736" t="s">
        <v>480</v>
      </c>
      <c r="C736" t="s">
        <v>452</v>
      </c>
      <c r="D736" t="s">
        <v>568</v>
      </c>
      <c r="E736" s="8">
        <v>0.42000000000000004</v>
      </c>
      <c r="F736" t="s">
        <v>487</v>
      </c>
      <c r="G736">
        <v>211</v>
      </c>
      <c r="H736" t="s">
        <v>35</v>
      </c>
      <c r="I736" t="s">
        <v>36</v>
      </c>
      <c r="J736" t="s">
        <v>37</v>
      </c>
      <c r="K736" t="s">
        <v>28</v>
      </c>
      <c r="L736">
        <v>2017</v>
      </c>
      <c r="M736" t="s">
        <v>38</v>
      </c>
      <c r="N736" t="s">
        <v>32</v>
      </c>
    </row>
    <row r="737" spans="1:14" x14ac:dyDescent="0.2">
      <c r="A737">
        <v>684291511</v>
      </c>
      <c r="B737" t="s">
        <v>481</v>
      </c>
      <c r="C737" t="s">
        <v>533</v>
      </c>
      <c r="D737" t="s">
        <v>569</v>
      </c>
      <c r="E737" s="8">
        <v>0.52</v>
      </c>
      <c r="F737" t="s">
        <v>487</v>
      </c>
      <c r="G737">
        <v>211</v>
      </c>
      <c r="H737" t="s">
        <v>35</v>
      </c>
      <c r="I737" t="s">
        <v>36</v>
      </c>
      <c r="J737" t="s">
        <v>37</v>
      </c>
      <c r="K737" t="s">
        <v>28</v>
      </c>
      <c r="L737">
        <v>2017</v>
      </c>
      <c r="M737" t="s">
        <v>38</v>
      </c>
      <c r="N737" t="s">
        <v>32</v>
      </c>
    </row>
    <row r="738" spans="1:14" x14ac:dyDescent="0.2">
      <c r="A738">
        <v>684291511</v>
      </c>
      <c r="B738" t="s">
        <v>481</v>
      </c>
      <c r="C738" t="s">
        <v>106</v>
      </c>
      <c r="D738" t="s">
        <v>569</v>
      </c>
      <c r="E738" s="8">
        <v>0.52</v>
      </c>
      <c r="F738" t="s">
        <v>487</v>
      </c>
      <c r="G738">
        <v>211</v>
      </c>
      <c r="H738" t="s">
        <v>35</v>
      </c>
      <c r="I738" t="s">
        <v>36</v>
      </c>
      <c r="J738" t="s">
        <v>37</v>
      </c>
      <c r="K738" t="s">
        <v>28</v>
      </c>
      <c r="L738">
        <v>2017</v>
      </c>
      <c r="M738" t="s">
        <v>38</v>
      </c>
      <c r="N738" t="s">
        <v>32</v>
      </c>
    </row>
    <row r="739" spans="1:14" x14ac:dyDescent="0.2">
      <c r="A739">
        <v>684291511</v>
      </c>
      <c r="B739" t="s">
        <v>43</v>
      </c>
      <c r="C739" t="s">
        <v>59</v>
      </c>
      <c r="D739" t="s">
        <v>570</v>
      </c>
      <c r="E739" s="8">
        <v>0.46</v>
      </c>
      <c r="F739" t="s">
        <v>487</v>
      </c>
      <c r="G739">
        <v>211</v>
      </c>
      <c r="H739" t="s">
        <v>35</v>
      </c>
      <c r="I739" t="s">
        <v>36</v>
      </c>
      <c r="J739" t="s">
        <v>37</v>
      </c>
      <c r="K739" t="s">
        <v>28</v>
      </c>
      <c r="L739">
        <v>2017</v>
      </c>
      <c r="M739" t="s">
        <v>38</v>
      </c>
      <c r="N739" t="s">
        <v>32</v>
      </c>
    </row>
    <row r="740" spans="1:14" x14ac:dyDescent="0.2">
      <c r="A740">
        <v>684291511</v>
      </c>
      <c r="B740" t="s">
        <v>482</v>
      </c>
      <c r="C740" t="s">
        <v>436</v>
      </c>
      <c r="D740" t="s">
        <v>561</v>
      </c>
      <c r="E740" s="8">
        <v>0.35714285714285715</v>
      </c>
      <c r="F740" t="s">
        <v>487</v>
      </c>
      <c r="G740">
        <v>211</v>
      </c>
      <c r="H740" t="s">
        <v>35</v>
      </c>
      <c r="I740" t="s">
        <v>36</v>
      </c>
      <c r="J740" t="s">
        <v>37</v>
      </c>
      <c r="K740" t="s">
        <v>28</v>
      </c>
      <c r="L740">
        <v>2017</v>
      </c>
      <c r="M740" t="s">
        <v>38</v>
      </c>
      <c r="N740" t="s">
        <v>32</v>
      </c>
    </row>
    <row r="741" spans="1:14" x14ac:dyDescent="0.2">
      <c r="A741">
        <v>684291511</v>
      </c>
      <c r="B741" t="s">
        <v>482</v>
      </c>
      <c r="C741" t="s">
        <v>436</v>
      </c>
      <c r="D741" t="s">
        <v>561</v>
      </c>
      <c r="E741" s="8">
        <v>0.47599999999999992</v>
      </c>
      <c r="F741" t="s">
        <v>487</v>
      </c>
      <c r="G741">
        <v>211</v>
      </c>
      <c r="H741" t="s">
        <v>35</v>
      </c>
      <c r="I741" t="s">
        <v>36</v>
      </c>
      <c r="J741" t="s">
        <v>37</v>
      </c>
      <c r="K741" t="s">
        <v>28</v>
      </c>
      <c r="L741">
        <v>2017</v>
      </c>
      <c r="M741" t="s">
        <v>38</v>
      </c>
      <c r="N741" t="s">
        <v>32</v>
      </c>
    </row>
    <row r="742" spans="1:14" x14ac:dyDescent="0.2">
      <c r="A742">
        <v>684291511</v>
      </c>
      <c r="B742" t="s">
        <v>483</v>
      </c>
      <c r="C742" t="s">
        <v>197</v>
      </c>
      <c r="D742" t="s">
        <v>556</v>
      </c>
      <c r="E742" s="8">
        <v>0.37</v>
      </c>
      <c r="F742" t="s">
        <v>487</v>
      </c>
      <c r="G742">
        <v>211</v>
      </c>
      <c r="H742" t="s">
        <v>35</v>
      </c>
      <c r="I742" t="s">
        <v>36</v>
      </c>
      <c r="J742" t="s">
        <v>37</v>
      </c>
      <c r="K742" t="s">
        <v>28</v>
      </c>
      <c r="L742">
        <v>2017</v>
      </c>
      <c r="M742" t="s">
        <v>38</v>
      </c>
      <c r="N742" t="s">
        <v>32</v>
      </c>
    </row>
    <row r="743" spans="1:14" x14ac:dyDescent="0.2">
      <c r="A743">
        <v>684291511</v>
      </c>
      <c r="B743" t="s">
        <v>483</v>
      </c>
      <c r="C743" t="s">
        <v>196</v>
      </c>
      <c r="D743" t="s">
        <v>557</v>
      </c>
      <c r="E743" s="8">
        <v>0.52</v>
      </c>
      <c r="F743" t="s">
        <v>487</v>
      </c>
      <c r="G743">
        <v>211</v>
      </c>
      <c r="H743" t="s">
        <v>35</v>
      </c>
      <c r="I743" t="s">
        <v>36</v>
      </c>
      <c r="J743" t="s">
        <v>37</v>
      </c>
      <c r="K743" t="s">
        <v>28</v>
      </c>
      <c r="L743">
        <v>2017</v>
      </c>
      <c r="M743" t="s">
        <v>38</v>
      </c>
      <c r="N743" t="s">
        <v>32</v>
      </c>
    </row>
    <row r="744" spans="1:14" x14ac:dyDescent="0.2">
      <c r="A744">
        <v>684291511</v>
      </c>
      <c r="B744" t="s">
        <v>483</v>
      </c>
      <c r="C744" t="s">
        <v>197</v>
      </c>
      <c r="D744" t="s">
        <v>556</v>
      </c>
      <c r="E744" s="8">
        <v>0.42000000000000004</v>
      </c>
      <c r="F744" t="s">
        <v>487</v>
      </c>
      <c r="G744">
        <v>211</v>
      </c>
      <c r="H744" t="s">
        <v>35</v>
      </c>
      <c r="I744" t="s">
        <v>36</v>
      </c>
      <c r="J744" t="s">
        <v>37</v>
      </c>
      <c r="K744" t="s">
        <v>28</v>
      </c>
      <c r="L744">
        <v>2017</v>
      </c>
      <c r="M744" t="s">
        <v>38</v>
      </c>
      <c r="N744" t="s">
        <v>32</v>
      </c>
    </row>
    <row r="745" spans="1:14" x14ac:dyDescent="0.2">
      <c r="A745">
        <v>684291511</v>
      </c>
      <c r="B745" t="s">
        <v>483</v>
      </c>
      <c r="C745" t="s">
        <v>196</v>
      </c>
      <c r="D745" t="s">
        <v>557</v>
      </c>
      <c r="E745" s="8">
        <v>0.496</v>
      </c>
      <c r="F745" t="s">
        <v>487</v>
      </c>
      <c r="G745">
        <v>211</v>
      </c>
      <c r="H745" t="s">
        <v>35</v>
      </c>
      <c r="I745" t="s">
        <v>36</v>
      </c>
      <c r="J745" t="s">
        <v>37</v>
      </c>
      <c r="K745" t="s">
        <v>28</v>
      </c>
      <c r="L745">
        <v>2017</v>
      </c>
      <c r="M745" t="s">
        <v>38</v>
      </c>
      <c r="N745" t="s">
        <v>32</v>
      </c>
    </row>
    <row r="746" spans="1:14" x14ac:dyDescent="0.2">
      <c r="A746">
        <v>684291511</v>
      </c>
      <c r="B746" t="s">
        <v>483</v>
      </c>
      <c r="C746" t="s">
        <v>197</v>
      </c>
      <c r="D746" t="s">
        <v>556</v>
      </c>
      <c r="E746" s="8">
        <v>0.48000000000000004</v>
      </c>
      <c r="F746" t="s">
        <v>487</v>
      </c>
      <c r="G746">
        <v>211</v>
      </c>
      <c r="H746" t="s">
        <v>35</v>
      </c>
      <c r="I746" t="s">
        <v>36</v>
      </c>
      <c r="J746" t="s">
        <v>37</v>
      </c>
      <c r="K746" t="s">
        <v>28</v>
      </c>
      <c r="L746">
        <v>2017</v>
      </c>
      <c r="M746" t="s">
        <v>38</v>
      </c>
      <c r="N746" t="s">
        <v>32</v>
      </c>
    </row>
    <row r="747" spans="1:14" x14ac:dyDescent="0.2">
      <c r="A747">
        <v>684291511</v>
      </c>
      <c r="B747" t="s">
        <v>484</v>
      </c>
      <c r="C747" t="s">
        <v>497</v>
      </c>
      <c r="D747" t="s">
        <v>558</v>
      </c>
      <c r="E747" s="8">
        <v>0.42000000000000004</v>
      </c>
      <c r="F747" t="s">
        <v>487</v>
      </c>
      <c r="G747">
        <v>211</v>
      </c>
      <c r="H747" t="s">
        <v>35</v>
      </c>
      <c r="I747" t="s">
        <v>36</v>
      </c>
      <c r="J747" t="s">
        <v>37</v>
      </c>
      <c r="K747" t="s">
        <v>28</v>
      </c>
      <c r="L747">
        <v>2017</v>
      </c>
      <c r="M747" t="s">
        <v>38</v>
      </c>
      <c r="N747" t="s">
        <v>32</v>
      </c>
    </row>
    <row r="748" spans="1:14" x14ac:dyDescent="0.2">
      <c r="A748">
        <v>684291511</v>
      </c>
      <c r="B748" t="s">
        <v>484</v>
      </c>
      <c r="C748" t="s">
        <v>500</v>
      </c>
      <c r="D748" t="s">
        <v>558</v>
      </c>
      <c r="E748" s="8">
        <v>0.4825000000000001</v>
      </c>
      <c r="F748" t="s">
        <v>487</v>
      </c>
      <c r="G748">
        <v>211</v>
      </c>
      <c r="H748" t="s">
        <v>35</v>
      </c>
      <c r="I748" t="s">
        <v>36</v>
      </c>
      <c r="J748" t="s">
        <v>37</v>
      </c>
      <c r="K748" t="s">
        <v>28</v>
      </c>
      <c r="L748">
        <v>2017</v>
      </c>
      <c r="M748" t="s">
        <v>38</v>
      </c>
      <c r="N748" t="s">
        <v>32</v>
      </c>
    </row>
    <row r="749" spans="1:14" x14ac:dyDescent="0.2">
      <c r="A749">
        <v>684291511</v>
      </c>
      <c r="B749" t="s">
        <v>484</v>
      </c>
      <c r="C749" t="s">
        <v>501</v>
      </c>
      <c r="D749" t="s">
        <v>558</v>
      </c>
      <c r="E749" s="8">
        <v>0.39249999999999996</v>
      </c>
      <c r="F749" t="s">
        <v>487</v>
      </c>
      <c r="G749">
        <v>211</v>
      </c>
      <c r="H749" t="s">
        <v>35</v>
      </c>
      <c r="I749" t="s">
        <v>36</v>
      </c>
      <c r="J749" t="s">
        <v>37</v>
      </c>
      <c r="K749" t="s">
        <v>28</v>
      </c>
      <c r="L749">
        <v>2017</v>
      </c>
      <c r="M749" t="s">
        <v>38</v>
      </c>
      <c r="N749" t="s">
        <v>32</v>
      </c>
    </row>
    <row r="750" spans="1:14" x14ac:dyDescent="0.2">
      <c r="A750">
        <v>684291511</v>
      </c>
      <c r="B750" t="s">
        <v>485</v>
      </c>
      <c r="C750" t="s">
        <v>346</v>
      </c>
      <c r="D750" t="s">
        <v>559</v>
      </c>
      <c r="E750" s="8">
        <v>0.52</v>
      </c>
      <c r="F750" t="s">
        <v>487</v>
      </c>
      <c r="G750">
        <v>211</v>
      </c>
      <c r="H750" t="s">
        <v>35</v>
      </c>
      <c r="I750" t="s">
        <v>36</v>
      </c>
      <c r="J750" t="s">
        <v>37</v>
      </c>
      <c r="K750" t="s">
        <v>28</v>
      </c>
      <c r="L750">
        <v>2017</v>
      </c>
      <c r="M750" t="s">
        <v>38</v>
      </c>
      <c r="N750" t="s">
        <v>32</v>
      </c>
    </row>
    <row r="751" spans="1:14" x14ac:dyDescent="0.2">
      <c r="A751">
        <v>684291511</v>
      </c>
      <c r="B751" t="s">
        <v>485</v>
      </c>
      <c r="C751" t="s">
        <v>342</v>
      </c>
      <c r="D751" t="s">
        <v>559</v>
      </c>
      <c r="E751" s="8">
        <v>0.45999999999999996</v>
      </c>
      <c r="F751" t="s">
        <v>487</v>
      </c>
      <c r="G751">
        <v>211</v>
      </c>
      <c r="H751" t="s">
        <v>35</v>
      </c>
      <c r="I751" t="s">
        <v>36</v>
      </c>
      <c r="J751" t="s">
        <v>37</v>
      </c>
      <c r="K751" t="s">
        <v>28</v>
      </c>
      <c r="L751">
        <v>2017</v>
      </c>
      <c r="M751" t="s">
        <v>38</v>
      </c>
      <c r="N751" t="s">
        <v>32</v>
      </c>
    </row>
    <row r="752" spans="1:14" x14ac:dyDescent="0.2">
      <c r="A752">
        <v>769635714</v>
      </c>
      <c r="B752" t="s">
        <v>478</v>
      </c>
      <c r="C752" t="s">
        <v>276</v>
      </c>
      <c r="D752" t="s">
        <v>546</v>
      </c>
      <c r="E752" s="8">
        <v>0.80333333333333334</v>
      </c>
      <c r="F752" t="s">
        <v>487</v>
      </c>
      <c r="G752">
        <v>211</v>
      </c>
      <c r="H752" t="s">
        <v>35</v>
      </c>
      <c r="I752" t="s">
        <v>36</v>
      </c>
      <c r="J752" t="s">
        <v>37</v>
      </c>
      <c r="K752" t="s">
        <v>28</v>
      </c>
      <c r="L752">
        <v>2017</v>
      </c>
      <c r="M752" t="s">
        <v>38</v>
      </c>
      <c r="N752" t="s">
        <v>32</v>
      </c>
    </row>
    <row r="753" spans="1:14" x14ac:dyDescent="0.2">
      <c r="A753">
        <v>769635714</v>
      </c>
      <c r="B753" t="s">
        <v>478</v>
      </c>
      <c r="C753" t="s">
        <v>247</v>
      </c>
      <c r="D753" t="s">
        <v>546</v>
      </c>
      <c r="E753" s="8">
        <v>0.75800000000000012</v>
      </c>
      <c r="F753" t="s">
        <v>487</v>
      </c>
      <c r="G753">
        <v>211</v>
      </c>
      <c r="H753" t="s">
        <v>35</v>
      </c>
      <c r="I753" t="s">
        <v>36</v>
      </c>
      <c r="J753" t="s">
        <v>37</v>
      </c>
      <c r="K753" t="s">
        <v>28</v>
      </c>
      <c r="L753">
        <v>2017</v>
      </c>
      <c r="M753" t="s">
        <v>38</v>
      </c>
      <c r="N753" t="s">
        <v>32</v>
      </c>
    </row>
    <row r="754" spans="1:14" x14ac:dyDescent="0.2">
      <c r="A754">
        <v>769635714</v>
      </c>
      <c r="B754" t="s">
        <v>40</v>
      </c>
      <c r="C754" t="s">
        <v>435</v>
      </c>
      <c r="D754" t="s">
        <v>560</v>
      </c>
      <c r="E754" s="8">
        <v>0.88000000000000012</v>
      </c>
      <c r="F754" t="s">
        <v>487</v>
      </c>
      <c r="G754">
        <v>211</v>
      </c>
      <c r="H754" t="s">
        <v>35</v>
      </c>
      <c r="I754" t="s">
        <v>36</v>
      </c>
      <c r="J754" t="s">
        <v>37</v>
      </c>
      <c r="K754" t="s">
        <v>28</v>
      </c>
      <c r="L754">
        <v>2017</v>
      </c>
      <c r="M754" t="s">
        <v>38</v>
      </c>
      <c r="N754" t="s">
        <v>32</v>
      </c>
    </row>
    <row r="755" spans="1:14" x14ac:dyDescent="0.2">
      <c r="A755">
        <v>769635714</v>
      </c>
      <c r="B755" t="s">
        <v>40</v>
      </c>
      <c r="C755" t="s">
        <v>393</v>
      </c>
      <c r="D755" t="s">
        <v>560</v>
      </c>
      <c r="E755" s="8">
        <v>0.65666666666666673</v>
      </c>
      <c r="F755" t="s">
        <v>487</v>
      </c>
      <c r="G755">
        <v>211</v>
      </c>
      <c r="H755" t="s">
        <v>35</v>
      </c>
      <c r="I755" t="s">
        <v>36</v>
      </c>
      <c r="J755" t="s">
        <v>37</v>
      </c>
      <c r="K755" t="s">
        <v>28</v>
      </c>
      <c r="L755">
        <v>2017</v>
      </c>
      <c r="M755" t="s">
        <v>38</v>
      </c>
      <c r="N755" t="s">
        <v>32</v>
      </c>
    </row>
    <row r="756" spans="1:14" x14ac:dyDescent="0.2">
      <c r="A756">
        <v>769635714</v>
      </c>
      <c r="B756" t="s">
        <v>41</v>
      </c>
      <c r="C756" t="s">
        <v>212</v>
      </c>
      <c r="D756" t="s">
        <v>562</v>
      </c>
      <c r="E756" s="8">
        <v>0.82000000000000006</v>
      </c>
      <c r="F756" t="s">
        <v>487</v>
      </c>
      <c r="G756">
        <v>211</v>
      </c>
      <c r="H756" t="s">
        <v>35</v>
      </c>
      <c r="I756" t="s">
        <v>36</v>
      </c>
      <c r="J756" t="s">
        <v>37</v>
      </c>
      <c r="K756" t="s">
        <v>28</v>
      </c>
      <c r="L756">
        <v>2017</v>
      </c>
      <c r="M756" t="s">
        <v>38</v>
      </c>
      <c r="N756" t="s">
        <v>32</v>
      </c>
    </row>
    <row r="757" spans="1:14" x14ac:dyDescent="0.2">
      <c r="A757">
        <v>769635714</v>
      </c>
      <c r="B757" t="s">
        <v>41</v>
      </c>
      <c r="C757" t="s">
        <v>207</v>
      </c>
      <c r="D757" t="s">
        <v>562</v>
      </c>
      <c r="E757" s="8">
        <v>0.68833333333333335</v>
      </c>
      <c r="F757" t="s">
        <v>487</v>
      </c>
      <c r="G757">
        <v>211</v>
      </c>
      <c r="H757" t="s">
        <v>35</v>
      </c>
      <c r="I757" t="s">
        <v>36</v>
      </c>
      <c r="J757" t="s">
        <v>37</v>
      </c>
      <c r="K757" t="s">
        <v>28</v>
      </c>
      <c r="L757">
        <v>2017</v>
      </c>
      <c r="M757" t="s">
        <v>38</v>
      </c>
      <c r="N757" t="s">
        <v>32</v>
      </c>
    </row>
    <row r="758" spans="1:14" x14ac:dyDescent="0.2">
      <c r="A758">
        <v>769635714</v>
      </c>
      <c r="B758" t="s">
        <v>41</v>
      </c>
      <c r="C758" t="s">
        <v>221</v>
      </c>
      <c r="D758" t="s">
        <v>563</v>
      </c>
      <c r="E758" s="8">
        <v>0.56000000000000005</v>
      </c>
      <c r="F758" t="s">
        <v>487</v>
      </c>
      <c r="G758">
        <v>211</v>
      </c>
      <c r="H758" t="s">
        <v>35</v>
      </c>
      <c r="I758" t="s">
        <v>36</v>
      </c>
      <c r="J758" t="s">
        <v>37</v>
      </c>
      <c r="K758" t="s">
        <v>28</v>
      </c>
      <c r="L758">
        <v>2017</v>
      </c>
      <c r="M758" t="s">
        <v>38</v>
      </c>
      <c r="N758" t="s">
        <v>32</v>
      </c>
    </row>
    <row r="759" spans="1:14" x14ac:dyDescent="0.2">
      <c r="A759">
        <v>769635714</v>
      </c>
      <c r="B759" t="s">
        <v>42</v>
      </c>
      <c r="C759" t="s">
        <v>159</v>
      </c>
      <c r="D759" t="s">
        <v>564</v>
      </c>
      <c r="E759" s="8">
        <v>0.64</v>
      </c>
      <c r="F759" t="s">
        <v>487</v>
      </c>
      <c r="G759">
        <v>211</v>
      </c>
      <c r="H759" t="s">
        <v>35</v>
      </c>
      <c r="I759" t="s">
        <v>36</v>
      </c>
      <c r="J759" t="s">
        <v>37</v>
      </c>
      <c r="K759" t="s">
        <v>28</v>
      </c>
      <c r="L759">
        <v>2017</v>
      </c>
      <c r="M759" t="s">
        <v>38</v>
      </c>
      <c r="N759" t="s">
        <v>32</v>
      </c>
    </row>
    <row r="760" spans="1:14" x14ac:dyDescent="0.2">
      <c r="A760">
        <v>769635714</v>
      </c>
      <c r="B760" t="s">
        <v>42</v>
      </c>
      <c r="C760" t="s">
        <v>135</v>
      </c>
      <c r="D760" t="s">
        <v>565</v>
      </c>
      <c r="E760" s="8">
        <v>0.88000000000000012</v>
      </c>
      <c r="F760" t="s">
        <v>487</v>
      </c>
      <c r="G760">
        <v>211</v>
      </c>
      <c r="H760" t="s">
        <v>35</v>
      </c>
      <c r="I760" t="s">
        <v>36</v>
      </c>
      <c r="J760" t="s">
        <v>37</v>
      </c>
      <c r="K760" t="s">
        <v>28</v>
      </c>
      <c r="L760">
        <v>2017</v>
      </c>
      <c r="M760" t="s">
        <v>38</v>
      </c>
      <c r="N760" t="s">
        <v>32</v>
      </c>
    </row>
    <row r="761" spans="1:14" x14ac:dyDescent="0.2">
      <c r="A761">
        <v>769635714</v>
      </c>
      <c r="B761" t="s">
        <v>42</v>
      </c>
      <c r="C761" t="s">
        <v>56</v>
      </c>
      <c r="D761" t="s">
        <v>565</v>
      </c>
      <c r="E761" s="8">
        <v>0.88000000000000012</v>
      </c>
      <c r="F761" t="s">
        <v>487</v>
      </c>
      <c r="G761">
        <v>211</v>
      </c>
      <c r="H761" t="s">
        <v>35</v>
      </c>
      <c r="I761" t="s">
        <v>36</v>
      </c>
      <c r="J761" t="s">
        <v>37</v>
      </c>
      <c r="K761" t="s">
        <v>28</v>
      </c>
      <c r="L761">
        <v>2017</v>
      </c>
      <c r="M761" t="s">
        <v>38</v>
      </c>
      <c r="N761" t="s">
        <v>32</v>
      </c>
    </row>
    <row r="762" spans="1:14" x14ac:dyDescent="0.2">
      <c r="A762">
        <v>769635714</v>
      </c>
      <c r="B762" t="s">
        <v>42</v>
      </c>
      <c r="C762" t="s">
        <v>155</v>
      </c>
      <c r="D762" t="s">
        <v>564</v>
      </c>
      <c r="E762" s="8">
        <v>0.64</v>
      </c>
      <c r="F762" t="s">
        <v>487</v>
      </c>
      <c r="G762">
        <v>211</v>
      </c>
      <c r="H762" t="s">
        <v>35</v>
      </c>
      <c r="I762" t="s">
        <v>36</v>
      </c>
      <c r="J762" t="s">
        <v>37</v>
      </c>
      <c r="K762" t="s">
        <v>28</v>
      </c>
      <c r="L762">
        <v>2017</v>
      </c>
      <c r="M762" t="s">
        <v>38</v>
      </c>
      <c r="N762" t="s">
        <v>32</v>
      </c>
    </row>
    <row r="763" spans="1:14" x14ac:dyDescent="0.2">
      <c r="A763">
        <v>769635714</v>
      </c>
      <c r="B763" t="s">
        <v>479</v>
      </c>
      <c r="C763" t="s">
        <v>57</v>
      </c>
      <c r="D763" t="s">
        <v>566</v>
      </c>
      <c r="E763" s="8">
        <v>0.60388888888888903</v>
      </c>
      <c r="F763" t="s">
        <v>487</v>
      </c>
      <c r="G763">
        <v>211</v>
      </c>
      <c r="H763" t="s">
        <v>35</v>
      </c>
      <c r="I763" t="s">
        <v>36</v>
      </c>
      <c r="J763" t="s">
        <v>37</v>
      </c>
      <c r="K763" t="s">
        <v>28</v>
      </c>
      <c r="L763">
        <v>2017</v>
      </c>
      <c r="M763" t="s">
        <v>38</v>
      </c>
      <c r="N763" t="s">
        <v>32</v>
      </c>
    </row>
    <row r="764" spans="1:14" x14ac:dyDescent="0.2">
      <c r="A764">
        <v>769635714</v>
      </c>
      <c r="B764" t="s">
        <v>479</v>
      </c>
      <c r="C764" t="s">
        <v>58</v>
      </c>
      <c r="D764" t="s">
        <v>567</v>
      </c>
      <c r="E764" s="8">
        <v>0.64</v>
      </c>
      <c r="F764" t="s">
        <v>487</v>
      </c>
      <c r="G764">
        <v>211</v>
      </c>
      <c r="H764" t="s">
        <v>35</v>
      </c>
      <c r="I764" t="s">
        <v>36</v>
      </c>
      <c r="J764" t="s">
        <v>37</v>
      </c>
      <c r="K764" t="s">
        <v>28</v>
      </c>
      <c r="L764">
        <v>2017</v>
      </c>
      <c r="M764" t="s">
        <v>38</v>
      </c>
      <c r="N764" t="s">
        <v>32</v>
      </c>
    </row>
    <row r="765" spans="1:14" x14ac:dyDescent="0.2">
      <c r="A765">
        <v>769635714</v>
      </c>
      <c r="B765" t="s">
        <v>480</v>
      </c>
      <c r="C765" t="s">
        <v>456</v>
      </c>
      <c r="D765" t="s">
        <v>568</v>
      </c>
      <c r="E765" s="8">
        <v>0.8</v>
      </c>
      <c r="F765" t="s">
        <v>487</v>
      </c>
      <c r="G765">
        <v>211</v>
      </c>
      <c r="H765" t="s">
        <v>35</v>
      </c>
      <c r="I765" t="s">
        <v>36</v>
      </c>
      <c r="J765" t="s">
        <v>37</v>
      </c>
      <c r="K765" t="s">
        <v>28</v>
      </c>
      <c r="L765">
        <v>2017</v>
      </c>
      <c r="M765" t="s">
        <v>38</v>
      </c>
      <c r="N765" t="s">
        <v>32</v>
      </c>
    </row>
    <row r="766" spans="1:14" x14ac:dyDescent="0.2">
      <c r="A766">
        <v>769635714</v>
      </c>
      <c r="B766" t="s">
        <v>480</v>
      </c>
      <c r="C766" t="s">
        <v>452</v>
      </c>
      <c r="D766" t="s">
        <v>568</v>
      </c>
      <c r="E766" s="8">
        <v>0.8</v>
      </c>
      <c r="F766" t="s">
        <v>487</v>
      </c>
      <c r="G766">
        <v>211</v>
      </c>
      <c r="H766" t="s">
        <v>35</v>
      </c>
      <c r="I766" t="s">
        <v>36</v>
      </c>
      <c r="J766" t="s">
        <v>37</v>
      </c>
      <c r="K766" t="s">
        <v>28</v>
      </c>
      <c r="L766">
        <v>2017</v>
      </c>
      <c r="M766" t="s">
        <v>38</v>
      </c>
      <c r="N766" t="s">
        <v>32</v>
      </c>
    </row>
    <row r="767" spans="1:14" x14ac:dyDescent="0.2">
      <c r="A767">
        <v>769635714</v>
      </c>
      <c r="B767" t="s">
        <v>481</v>
      </c>
      <c r="C767" t="s">
        <v>533</v>
      </c>
      <c r="D767" t="s">
        <v>569</v>
      </c>
      <c r="E767" s="8">
        <v>0.64</v>
      </c>
      <c r="F767" t="s">
        <v>487</v>
      </c>
      <c r="G767">
        <v>211</v>
      </c>
      <c r="H767" t="s">
        <v>35</v>
      </c>
      <c r="I767" t="s">
        <v>36</v>
      </c>
      <c r="J767" t="s">
        <v>37</v>
      </c>
      <c r="K767" t="s">
        <v>28</v>
      </c>
      <c r="L767">
        <v>2017</v>
      </c>
      <c r="M767" t="s">
        <v>38</v>
      </c>
      <c r="N767" t="s">
        <v>32</v>
      </c>
    </row>
    <row r="768" spans="1:14" x14ac:dyDescent="0.2">
      <c r="A768">
        <v>769635714</v>
      </c>
      <c r="B768" t="s">
        <v>481</v>
      </c>
      <c r="C768" t="s">
        <v>106</v>
      </c>
      <c r="D768" t="s">
        <v>569</v>
      </c>
      <c r="E768" s="8">
        <v>0.64</v>
      </c>
      <c r="F768" t="s">
        <v>487</v>
      </c>
      <c r="G768">
        <v>211</v>
      </c>
      <c r="H768" t="s">
        <v>35</v>
      </c>
      <c r="I768" t="s">
        <v>36</v>
      </c>
      <c r="J768" t="s">
        <v>37</v>
      </c>
      <c r="K768" t="s">
        <v>28</v>
      </c>
      <c r="L768">
        <v>2017</v>
      </c>
      <c r="M768" t="s">
        <v>38</v>
      </c>
      <c r="N768" t="s">
        <v>32</v>
      </c>
    </row>
    <row r="769" spans="1:14" x14ac:dyDescent="0.2">
      <c r="A769">
        <v>769635714</v>
      </c>
      <c r="B769" t="s">
        <v>43</v>
      </c>
      <c r="C769" t="s">
        <v>59</v>
      </c>
      <c r="D769" t="s">
        <v>570</v>
      </c>
      <c r="E769" s="8">
        <v>0.7360000000000001</v>
      </c>
      <c r="F769" t="s">
        <v>487</v>
      </c>
      <c r="G769">
        <v>211</v>
      </c>
      <c r="H769" t="s">
        <v>35</v>
      </c>
      <c r="I769" t="s">
        <v>36</v>
      </c>
      <c r="J769" t="s">
        <v>37</v>
      </c>
      <c r="K769" t="s">
        <v>28</v>
      </c>
      <c r="L769">
        <v>2017</v>
      </c>
      <c r="M769" t="s">
        <v>38</v>
      </c>
      <c r="N769" t="s">
        <v>32</v>
      </c>
    </row>
    <row r="770" spans="1:14" x14ac:dyDescent="0.2">
      <c r="A770">
        <v>769635714</v>
      </c>
      <c r="B770" t="s">
        <v>482</v>
      </c>
      <c r="C770" t="s">
        <v>436</v>
      </c>
      <c r="D770" t="s">
        <v>561</v>
      </c>
      <c r="E770" s="8">
        <v>0.67071428571428571</v>
      </c>
      <c r="F770" t="s">
        <v>487</v>
      </c>
      <c r="G770">
        <v>211</v>
      </c>
      <c r="H770" t="s">
        <v>35</v>
      </c>
      <c r="I770" t="s">
        <v>36</v>
      </c>
      <c r="J770" t="s">
        <v>37</v>
      </c>
      <c r="K770" t="s">
        <v>28</v>
      </c>
      <c r="L770">
        <v>2017</v>
      </c>
      <c r="M770" t="s">
        <v>38</v>
      </c>
      <c r="N770" t="s">
        <v>32</v>
      </c>
    </row>
    <row r="771" spans="1:14" x14ac:dyDescent="0.2">
      <c r="A771">
        <v>769635714</v>
      </c>
      <c r="B771" t="s">
        <v>482</v>
      </c>
      <c r="C771" t="s">
        <v>436</v>
      </c>
      <c r="D771" t="s">
        <v>561</v>
      </c>
      <c r="E771" s="8">
        <v>0.88400000000000001</v>
      </c>
      <c r="F771" t="s">
        <v>487</v>
      </c>
      <c r="G771">
        <v>211</v>
      </c>
      <c r="H771" t="s">
        <v>35</v>
      </c>
      <c r="I771" t="s">
        <v>36</v>
      </c>
      <c r="J771" t="s">
        <v>37</v>
      </c>
      <c r="K771" t="s">
        <v>28</v>
      </c>
      <c r="L771">
        <v>2017</v>
      </c>
      <c r="M771" t="s">
        <v>38</v>
      </c>
      <c r="N771" t="s">
        <v>32</v>
      </c>
    </row>
    <row r="772" spans="1:14" x14ac:dyDescent="0.2">
      <c r="A772">
        <v>769635714</v>
      </c>
      <c r="B772" t="s">
        <v>483</v>
      </c>
      <c r="C772" t="s">
        <v>197</v>
      </c>
      <c r="D772" t="s">
        <v>556</v>
      </c>
      <c r="E772" s="8">
        <v>0.88000000000000012</v>
      </c>
      <c r="F772" t="s">
        <v>487</v>
      </c>
      <c r="G772">
        <v>211</v>
      </c>
      <c r="H772" t="s">
        <v>35</v>
      </c>
      <c r="I772" t="s">
        <v>36</v>
      </c>
      <c r="J772" t="s">
        <v>37</v>
      </c>
      <c r="K772" t="s">
        <v>28</v>
      </c>
      <c r="L772">
        <v>2017</v>
      </c>
      <c r="M772" t="s">
        <v>38</v>
      </c>
      <c r="N772" t="s">
        <v>32</v>
      </c>
    </row>
    <row r="773" spans="1:14" x14ac:dyDescent="0.2">
      <c r="A773">
        <v>769635714</v>
      </c>
      <c r="B773" t="s">
        <v>483</v>
      </c>
      <c r="C773" t="s">
        <v>196</v>
      </c>
      <c r="D773" t="s">
        <v>557</v>
      </c>
      <c r="E773" s="8">
        <v>0.64</v>
      </c>
      <c r="F773" t="s">
        <v>487</v>
      </c>
      <c r="G773">
        <v>211</v>
      </c>
      <c r="H773" t="s">
        <v>35</v>
      </c>
      <c r="I773" t="s">
        <v>36</v>
      </c>
      <c r="J773" t="s">
        <v>37</v>
      </c>
      <c r="K773" t="s">
        <v>28</v>
      </c>
      <c r="L773">
        <v>2017</v>
      </c>
      <c r="M773" t="s">
        <v>38</v>
      </c>
      <c r="N773" t="s">
        <v>32</v>
      </c>
    </row>
    <row r="774" spans="1:14" x14ac:dyDescent="0.2">
      <c r="A774">
        <v>769635714</v>
      </c>
      <c r="B774" t="s">
        <v>483</v>
      </c>
      <c r="C774" t="s">
        <v>197</v>
      </c>
      <c r="D774" t="s">
        <v>556</v>
      </c>
      <c r="E774" s="8">
        <v>0.8</v>
      </c>
      <c r="F774" t="s">
        <v>487</v>
      </c>
      <c r="G774">
        <v>211</v>
      </c>
      <c r="H774" t="s">
        <v>35</v>
      </c>
      <c r="I774" t="s">
        <v>36</v>
      </c>
      <c r="J774" t="s">
        <v>37</v>
      </c>
      <c r="K774" t="s">
        <v>28</v>
      </c>
      <c r="L774">
        <v>2017</v>
      </c>
      <c r="M774" t="s">
        <v>38</v>
      </c>
      <c r="N774" t="s">
        <v>32</v>
      </c>
    </row>
    <row r="775" spans="1:14" x14ac:dyDescent="0.2">
      <c r="A775">
        <v>769635714</v>
      </c>
      <c r="B775" t="s">
        <v>483</v>
      </c>
      <c r="C775" t="s">
        <v>196</v>
      </c>
      <c r="D775" t="s">
        <v>557</v>
      </c>
      <c r="E775" s="8">
        <v>0.59200000000000008</v>
      </c>
      <c r="F775" t="s">
        <v>487</v>
      </c>
      <c r="G775">
        <v>211</v>
      </c>
      <c r="H775" t="s">
        <v>35</v>
      </c>
      <c r="I775" t="s">
        <v>36</v>
      </c>
      <c r="J775" t="s">
        <v>37</v>
      </c>
      <c r="K775" t="s">
        <v>28</v>
      </c>
      <c r="L775">
        <v>2017</v>
      </c>
      <c r="M775" t="s">
        <v>38</v>
      </c>
      <c r="N775" t="s">
        <v>32</v>
      </c>
    </row>
    <row r="776" spans="1:14" x14ac:dyDescent="0.2">
      <c r="A776">
        <v>769635714</v>
      </c>
      <c r="B776" t="s">
        <v>483</v>
      </c>
      <c r="C776" t="s">
        <v>197</v>
      </c>
      <c r="D776" t="s">
        <v>556</v>
      </c>
      <c r="E776" s="8">
        <v>0.56000000000000005</v>
      </c>
      <c r="F776" t="s">
        <v>487</v>
      </c>
      <c r="G776">
        <v>211</v>
      </c>
      <c r="H776" t="s">
        <v>35</v>
      </c>
      <c r="I776" t="s">
        <v>36</v>
      </c>
      <c r="J776" t="s">
        <v>37</v>
      </c>
      <c r="K776" t="s">
        <v>28</v>
      </c>
      <c r="L776">
        <v>2017</v>
      </c>
      <c r="M776" t="s">
        <v>38</v>
      </c>
      <c r="N776" t="s">
        <v>32</v>
      </c>
    </row>
    <row r="777" spans="1:14" x14ac:dyDescent="0.2">
      <c r="A777">
        <v>769635714</v>
      </c>
      <c r="B777" t="s">
        <v>484</v>
      </c>
      <c r="C777" t="s">
        <v>497</v>
      </c>
      <c r="D777" t="s">
        <v>558</v>
      </c>
      <c r="E777" s="8">
        <v>0.8</v>
      </c>
      <c r="F777" t="s">
        <v>487</v>
      </c>
      <c r="G777">
        <v>211</v>
      </c>
      <c r="H777" t="s">
        <v>35</v>
      </c>
      <c r="I777" t="s">
        <v>36</v>
      </c>
      <c r="J777" t="s">
        <v>37</v>
      </c>
      <c r="K777" t="s">
        <v>28</v>
      </c>
      <c r="L777">
        <v>2017</v>
      </c>
      <c r="M777" t="s">
        <v>38</v>
      </c>
      <c r="N777" t="s">
        <v>32</v>
      </c>
    </row>
    <row r="778" spans="1:14" x14ac:dyDescent="0.2">
      <c r="A778">
        <v>769635714</v>
      </c>
      <c r="B778" t="s">
        <v>484</v>
      </c>
      <c r="C778" t="s">
        <v>500</v>
      </c>
      <c r="D778" t="s">
        <v>558</v>
      </c>
      <c r="E778" s="8">
        <v>0.70750000000000013</v>
      </c>
      <c r="F778" t="s">
        <v>487</v>
      </c>
      <c r="G778">
        <v>211</v>
      </c>
      <c r="H778" t="s">
        <v>35</v>
      </c>
      <c r="I778" t="s">
        <v>36</v>
      </c>
      <c r="J778" t="s">
        <v>37</v>
      </c>
      <c r="K778" t="s">
        <v>28</v>
      </c>
      <c r="L778">
        <v>2017</v>
      </c>
      <c r="M778" t="s">
        <v>38</v>
      </c>
      <c r="N778" t="s">
        <v>32</v>
      </c>
    </row>
    <row r="779" spans="1:14" x14ac:dyDescent="0.2">
      <c r="A779">
        <v>769635714</v>
      </c>
      <c r="B779" t="s">
        <v>484</v>
      </c>
      <c r="C779" t="s">
        <v>501</v>
      </c>
      <c r="D779" t="s">
        <v>558</v>
      </c>
      <c r="E779" s="8">
        <v>0.74375000000000002</v>
      </c>
      <c r="F779" t="s">
        <v>487</v>
      </c>
      <c r="G779">
        <v>211</v>
      </c>
      <c r="H779" t="s">
        <v>35</v>
      </c>
      <c r="I779" t="s">
        <v>36</v>
      </c>
      <c r="J779" t="s">
        <v>37</v>
      </c>
      <c r="K779" t="s">
        <v>28</v>
      </c>
      <c r="L779">
        <v>2017</v>
      </c>
      <c r="M779" t="s">
        <v>38</v>
      </c>
      <c r="N779" t="s">
        <v>32</v>
      </c>
    </row>
    <row r="780" spans="1:14" x14ac:dyDescent="0.2">
      <c r="A780">
        <v>769635714</v>
      </c>
      <c r="B780" t="s">
        <v>485</v>
      </c>
      <c r="C780" t="s">
        <v>346</v>
      </c>
      <c r="D780" t="s">
        <v>559</v>
      </c>
      <c r="E780" s="8">
        <v>0.64</v>
      </c>
      <c r="F780" t="s">
        <v>487</v>
      </c>
      <c r="G780">
        <v>211</v>
      </c>
      <c r="H780" t="s">
        <v>35</v>
      </c>
      <c r="I780" t="s">
        <v>36</v>
      </c>
      <c r="J780" t="s">
        <v>37</v>
      </c>
      <c r="K780" t="s">
        <v>28</v>
      </c>
      <c r="L780">
        <v>2017</v>
      </c>
      <c r="M780" t="s">
        <v>38</v>
      </c>
      <c r="N780" t="s">
        <v>32</v>
      </c>
    </row>
    <row r="781" spans="1:14" x14ac:dyDescent="0.2">
      <c r="A781">
        <v>769635714</v>
      </c>
      <c r="B781" t="s">
        <v>485</v>
      </c>
      <c r="C781" t="s">
        <v>342</v>
      </c>
      <c r="D781" t="s">
        <v>559</v>
      </c>
      <c r="E781" s="8">
        <v>0.42625000000000002</v>
      </c>
      <c r="F781" t="s">
        <v>487</v>
      </c>
      <c r="G781">
        <v>211</v>
      </c>
      <c r="H781" t="s">
        <v>35</v>
      </c>
      <c r="I781" t="s">
        <v>36</v>
      </c>
      <c r="J781" t="s">
        <v>37</v>
      </c>
      <c r="K781" t="s">
        <v>28</v>
      </c>
      <c r="L781">
        <v>2017</v>
      </c>
      <c r="M781" t="s">
        <v>38</v>
      </c>
      <c r="N781" t="s">
        <v>32</v>
      </c>
    </row>
    <row r="782" spans="1:14" x14ac:dyDescent="0.2">
      <c r="A782">
        <v>815854164</v>
      </c>
      <c r="B782" t="s">
        <v>478</v>
      </c>
      <c r="C782" t="s">
        <v>276</v>
      </c>
      <c r="D782" t="s">
        <v>546</v>
      </c>
      <c r="E782" s="8">
        <v>0.67666666666666664</v>
      </c>
      <c r="F782" t="s">
        <v>487</v>
      </c>
      <c r="G782">
        <v>211</v>
      </c>
      <c r="H782" t="s">
        <v>35</v>
      </c>
      <c r="I782" t="s">
        <v>36</v>
      </c>
      <c r="J782" t="s">
        <v>37</v>
      </c>
      <c r="K782" t="s">
        <v>28</v>
      </c>
      <c r="L782">
        <v>2017</v>
      </c>
      <c r="M782" t="s">
        <v>38</v>
      </c>
      <c r="N782" t="s">
        <v>32</v>
      </c>
    </row>
    <row r="783" spans="1:14" x14ac:dyDescent="0.2">
      <c r="A783">
        <v>815854164</v>
      </c>
      <c r="B783" t="s">
        <v>478</v>
      </c>
      <c r="C783" t="s">
        <v>247</v>
      </c>
      <c r="D783" t="s">
        <v>546</v>
      </c>
      <c r="E783" s="8">
        <v>0.73</v>
      </c>
      <c r="F783" t="s">
        <v>487</v>
      </c>
      <c r="G783">
        <v>211</v>
      </c>
      <c r="H783" t="s">
        <v>35</v>
      </c>
      <c r="I783" t="s">
        <v>36</v>
      </c>
      <c r="J783" t="s">
        <v>37</v>
      </c>
      <c r="K783" t="s">
        <v>28</v>
      </c>
      <c r="L783">
        <v>2017</v>
      </c>
      <c r="M783" t="s">
        <v>38</v>
      </c>
      <c r="N783" t="s">
        <v>32</v>
      </c>
    </row>
    <row r="784" spans="1:14" x14ac:dyDescent="0.2">
      <c r="A784">
        <v>815854164</v>
      </c>
      <c r="B784" t="s">
        <v>40</v>
      </c>
      <c r="C784" t="s">
        <v>435</v>
      </c>
      <c r="D784" t="s">
        <v>560</v>
      </c>
      <c r="E784" s="8">
        <v>0.89</v>
      </c>
      <c r="F784" t="s">
        <v>487</v>
      </c>
      <c r="G784">
        <v>211</v>
      </c>
      <c r="H784" t="s">
        <v>35</v>
      </c>
      <c r="I784" t="s">
        <v>36</v>
      </c>
      <c r="J784" t="s">
        <v>37</v>
      </c>
      <c r="K784" t="s">
        <v>28</v>
      </c>
      <c r="L784">
        <v>2017</v>
      </c>
      <c r="M784" t="s">
        <v>38</v>
      </c>
      <c r="N784" t="s">
        <v>32</v>
      </c>
    </row>
    <row r="785" spans="1:14" x14ac:dyDescent="0.2">
      <c r="A785">
        <v>815854164</v>
      </c>
      <c r="B785" t="s">
        <v>40</v>
      </c>
      <c r="C785" t="s">
        <v>393</v>
      </c>
      <c r="D785" t="s">
        <v>560</v>
      </c>
      <c r="E785" s="8">
        <v>0.47</v>
      </c>
      <c r="F785" t="s">
        <v>487</v>
      </c>
      <c r="G785">
        <v>211</v>
      </c>
      <c r="H785" t="s">
        <v>35</v>
      </c>
      <c r="I785" t="s">
        <v>36</v>
      </c>
      <c r="J785" t="s">
        <v>37</v>
      </c>
      <c r="K785" t="s">
        <v>28</v>
      </c>
      <c r="L785">
        <v>2017</v>
      </c>
      <c r="M785" t="s">
        <v>38</v>
      </c>
      <c r="N785" t="s">
        <v>32</v>
      </c>
    </row>
    <row r="786" spans="1:14" x14ac:dyDescent="0.2">
      <c r="A786">
        <v>815854164</v>
      </c>
      <c r="B786" t="s">
        <v>41</v>
      </c>
      <c r="C786" t="s">
        <v>212</v>
      </c>
      <c r="D786" t="s">
        <v>562</v>
      </c>
      <c r="E786" s="8">
        <v>0.82250000000000012</v>
      </c>
      <c r="F786" t="s">
        <v>487</v>
      </c>
      <c r="G786">
        <v>211</v>
      </c>
      <c r="H786" t="s">
        <v>35</v>
      </c>
      <c r="I786" t="s">
        <v>36</v>
      </c>
      <c r="J786" t="s">
        <v>37</v>
      </c>
      <c r="K786" t="s">
        <v>28</v>
      </c>
      <c r="L786">
        <v>2017</v>
      </c>
      <c r="M786" t="s">
        <v>38</v>
      </c>
      <c r="N786" t="s">
        <v>32</v>
      </c>
    </row>
    <row r="787" spans="1:14" x14ac:dyDescent="0.2">
      <c r="A787">
        <v>815854164</v>
      </c>
      <c r="B787" t="s">
        <v>41</v>
      </c>
      <c r="C787" t="s">
        <v>207</v>
      </c>
      <c r="D787" t="s">
        <v>562</v>
      </c>
      <c r="E787" s="8">
        <v>0.59000000000000008</v>
      </c>
      <c r="F787" t="s">
        <v>487</v>
      </c>
      <c r="G787">
        <v>211</v>
      </c>
      <c r="H787" t="s">
        <v>35</v>
      </c>
      <c r="I787" t="s">
        <v>36</v>
      </c>
      <c r="J787" t="s">
        <v>37</v>
      </c>
      <c r="K787" t="s">
        <v>28</v>
      </c>
      <c r="L787">
        <v>2017</v>
      </c>
      <c r="M787" t="s">
        <v>38</v>
      </c>
      <c r="N787" t="s">
        <v>32</v>
      </c>
    </row>
    <row r="788" spans="1:14" x14ac:dyDescent="0.2">
      <c r="A788">
        <v>815854164</v>
      </c>
      <c r="B788" t="s">
        <v>41</v>
      </c>
      <c r="C788" t="s">
        <v>221</v>
      </c>
      <c r="D788" t="s">
        <v>563</v>
      </c>
      <c r="E788" s="8">
        <v>0.41333333333333333</v>
      </c>
      <c r="F788" t="s">
        <v>487</v>
      </c>
      <c r="G788">
        <v>211</v>
      </c>
      <c r="H788" t="s">
        <v>35</v>
      </c>
      <c r="I788" t="s">
        <v>36</v>
      </c>
      <c r="J788" t="s">
        <v>37</v>
      </c>
      <c r="K788" t="s">
        <v>28</v>
      </c>
      <c r="L788">
        <v>2017</v>
      </c>
      <c r="M788" t="s">
        <v>38</v>
      </c>
      <c r="N788" t="s">
        <v>32</v>
      </c>
    </row>
    <row r="789" spans="1:14" x14ac:dyDescent="0.2">
      <c r="A789">
        <v>815854164</v>
      </c>
      <c r="B789" t="s">
        <v>42</v>
      </c>
      <c r="C789" t="s">
        <v>159</v>
      </c>
      <c r="D789" t="s">
        <v>564</v>
      </c>
      <c r="E789" s="8">
        <v>0.62</v>
      </c>
      <c r="F789" t="s">
        <v>487</v>
      </c>
      <c r="G789">
        <v>211</v>
      </c>
      <c r="H789" t="s">
        <v>35</v>
      </c>
      <c r="I789" t="s">
        <v>36</v>
      </c>
      <c r="J789" t="s">
        <v>37</v>
      </c>
      <c r="K789" t="s">
        <v>28</v>
      </c>
      <c r="L789">
        <v>2017</v>
      </c>
      <c r="M789" t="s">
        <v>38</v>
      </c>
      <c r="N789" t="s">
        <v>32</v>
      </c>
    </row>
    <row r="790" spans="1:14" x14ac:dyDescent="0.2">
      <c r="A790">
        <v>815854164</v>
      </c>
      <c r="B790" t="s">
        <v>42</v>
      </c>
      <c r="C790" t="s">
        <v>135</v>
      </c>
      <c r="D790" t="s">
        <v>565</v>
      </c>
      <c r="E790" s="8">
        <v>0.89</v>
      </c>
      <c r="F790" t="s">
        <v>487</v>
      </c>
      <c r="G790">
        <v>211</v>
      </c>
      <c r="H790" t="s">
        <v>35</v>
      </c>
      <c r="I790" t="s">
        <v>36</v>
      </c>
      <c r="J790" t="s">
        <v>37</v>
      </c>
      <c r="K790" t="s">
        <v>28</v>
      </c>
      <c r="L790">
        <v>2017</v>
      </c>
      <c r="M790" t="s">
        <v>38</v>
      </c>
      <c r="N790" t="s">
        <v>32</v>
      </c>
    </row>
    <row r="791" spans="1:14" x14ac:dyDescent="0.2">
      <c r="A791">
        <v>815854164</v>
      </c>
      <c r="B791" t="s">
        <v>42</v>
      </c>
      <c r="C791" t="s">
        <v>56</v>
      </c>
      <c r="D791" t="s">
        <v>565</v>
      </c>
      <c r="E791" s="8">
        <v>0.89000000000000012</v>
      </c>
      <c r="F791" t="s">
        <v>487</v>
      </c>
      <c r="G791">
        <v>211</v>
      </c>
      <c r="H791" t="s">
        <v>35</v>
      </c>
      <c r="I791" t="s">
        <v>36</v>
      </c>
      <c r="J791" t="s">
        <v>37</v>
      </c>
      <c r="K791" t="s">
        <v>28</v>
      </c>
      <c r="L791">
        <v>2017</v>
      </c>
      <c r="M791" t="s">
        <v>38</v>
      </c>
      <c r="N791" t="s">
        <v>32</v>
      </c>
    </row>
    <row r="792" spans="1:14" x14ac:dyDescent="0.2">
      <c r="A792">
        <v>815854164</v>
      </c>
      <c r="B792" t="s">
        <v>42</v>
      </c>
      <c r="C792" t="s">
        <v>155</v>
      </c>
      <c r="D792" t="s">
        <v>564</v>
      </c>
      <c r="E792" s="8">
        <v>0.62</v>
      </c>
      <c r="F792" t="s">
        <v>487</v>
      </c>
      <c r="G792">
        <v>211</v>
      </c>
      <c r="H792" t="s">
        <v>35</v>
      </c>
      <c r="I792" t="s">
        <v>36</v>
      </c>
      <c r="J792" t="s">
        <v>37</v>
      </c>
      <c r="K792" t="s">
        <v>28</v>
      </c>
      <c r="L792">
        <v>2017</v>
      </c>
      <c r="M792" t="s">
        <v>38</v>
      </c>
      <c r="N792" t="s">
        <v>32</v>
      </c>
    </row>
    <row r="793" spans="1:14" x14ac:dyDescent="0.2">
      <c r="A793">
        <v>815854164</v>
      </c>
      <c r="B793" t="s">
        <v>479</v>
      </c>
      <c r="C793" t="s">
        <v>57</v>
      </c>
      <c r="D793" t="s">
        <v>566</v>
      </c>
      <c r="E793" s="8">
        <v>0.51444444444444448</v>
      </c>
      <c r="F793" t="s">
        <v>487</v>
      </c>
      <c r="G793">
        <v>211</v>
      </c>
      <c r="H793" t="s">
        <v>35</v>
      </c>
      <c r="I793" t="s">
        <v>36</v>
      </c>
      <c r="J793" t="s">
        <v>37</v>
      </c>
      <c r="K793" t="s">
        <v>28</v>
      </c>
      <c r="L793">
        <v>2017</v>
      </c>
      <c r="M793" t="s">
        <v>38</v>
      </c>
      <c r="N793" t="s">
        <v>32</v>
      </c>
    </row>
    <row r="794" spans="1:14" x14ac:dyDescent="0.2">
      <c r="A794">
        <v>815854164</v>
      </c>
      <c r="B794" t="s">
        <v>479</v>
      </c>
      <c r="C794" t="s">
        <v>58</v>
      </c>
      <c r="D794" t="s">
        <v>567</v>
      </c>
      <c r="E794" s="8">
        <v>0.62</v>
      </c>
      <c r="F794" t="s">
        <v>487</v>
      </c>
      <c r="G794">
        <v>211</v>
      </c>
      <c r="H794" t="s">
        <v>35</v>
      </c>
      <c r="I794" t="s">
        <v>36</v>
      </c>
      <c r="J794" t="s">
        <v>37</v>
      </c>
      <c r="K794" t="s">
        <v>28</v>
      </c>
      <c r="L794">
        <v>2017</v>
      </c>
      <c r="M794" t="s">
        <v>38</v>
      </c>
      <c r="N794" t="s">
        <v>32</v>
      </c>
    </row>
    <row r="795" spans="1:14" x14ac:dyDescent="0.2">
      <c r="A795">
        <v>815854164</v>
      </c>
      <c r="B795" t="s">
        <v>480</v>
      </c>
      <c r="C795" t="s">
        <v>456</v>
      </c>
      <c r="D795" t="s">
        <v>568</v>
      </c>
      <c r="E795" s="8">
        <v>0.8</v>
      </c>
      <c r="F795" t="s">
        <v>487</v>
      </c>
      <c r="G795">
        <v>211</v>
      </c>
      <c r="H795" t="s">
        <v>35</v>
      </c>
      <c r="I795" t="s">
        <v>36</v>
      </c>
      <c r="J795" t="s">
        <v>37</v>
      </c>
      <c r="K795" t="s">
        <v>28</v>
      </c>
      <c r="L795">
        <v>2017</v>
      </c>
      <c r="M795" t="s">
        <v>38</v>
      </c>
      <c r="N795" t="s">
        <v>32</v>
      </c>
    </row>
    <row r="796" spans="1:14" x14ac:dyDescent="0.2">
      <c r="A796">
        <v>815854164</v>
      </c>
      <c r="B796" t="s">
        <v>480</v>
      </c>
      <c r="C796" t="s">
        <v>452</v>
      </c>
      <c r="D796" t="s">
        <v>568</v>
      </c>
      <c r="E796" s="8">
        <v>0.8</v>
      </c>
      <c r="F796" t="s">
        <v>487</v>
      </c>
      <c r="G796">
        <v>211</v>
      </c>
      <c r="H796" t="s">
        <v>35</v>
      </c>
      <c r="I796" t="s">
        <v>36</v>
      </c>
      <c r="J796" t="s">
        <v>37</v>
      </c>
      <c r="K796" t="s">
        <v>28</v>
      </c>
      <c r="L796">
        <v>2017</v>
      </c>
      <c r="M796" t="s">
        <v>38</v>
      </c>
      <c r="N796" t="s">
        <v>32</v>
      </c>
    </row>
    <row r="797" spans="1:14" x14ac:dyDescent="0.2">
      <c r="A797">
        <v>815854164</v>
      </c>
      <c r="B797" t="s">
        <v>481</v>
      </c>
      <c r="C797" t="s">
        <v>533</v>
      </c>
      <c r="D797" t="s">
        <v>569</v>
      </c>
      <c r="E797" s="8">
        <v>0.62</v>
      </c>
      <c r="F797" t="s">
        <v>487</v>
      </c>
      <c r="G797">
        <v>211</v>
      </c>
      <c r="H797" t="s">
        <v>35</v>
      </c>
      <c r="I797" t="s">
        <v>36</v>
      </c>
      <c r="J797" t="s">
        <v>37</v>
      </c>
      <c r="K797" t="s">
        <v>28</v>
      </c>
      <c r="L797">
        <v>2017</v>
      </c>
      <c r="M797" t="s">
        <v>38</v>
      </c>
      <c r="N797" t="s">
        <v>32</v>
      </c>
    </row>
    <row r="798" spans="1:14" x14ac:dyDescent="0.2">
      <c r="A798">
        <v>815854164</v>
      </c>
      <c r="B798" t="s">
        <v>481</v>
      </c>
      <c r="C798" t="s">
        <v>106</v>
      </c>
      <c r="D798" t="s">
        <v>569</v>
      </c>
      <c r="E798" s="8">
        <v>0.62</v>
      </c>
      <c r="F798" t="s">
        <v>487</v>
      </c>
      <c r="G798">
        <v>211</v>
      </c>
      <c r="H798" t="s">
        <v>35</v>
      </c>
      <c r="I798" t="s">
        <v>36</v>
      </c>
      <c r="J798" t="s">
        <v>37</v>
      </c>
      <c r="K798" t="s">
        <v>28</v>
      </c>
      <c r="L798">
        <v>2017</v>
      </c>
      <c r="M798" t="s">
        <v>38</v>
      </c>
      <c r="N798" t="s">
        <v>32</v>
      </c>
    </row>
    <row r="799" spans="1:14" x14ac:dyDescent="0.2">
      <c r="A799">
        <v>815854164</v>
      </c>
      <c r="B799" t="s">
        <v>43</v>
      </c>
      <c r="C799" t="s">
        <v>59</v>
      </c>
      <c r="D799" t="s">
        <v>570</v>
      </c>
      <c r="E799" s="8">
        <v>0.72800000000000009</v>
      </c>
      <c r="F799" t="s">
        <v>487</v>
      </c>
      <c r="G799">
        <v>211</v>
      </c>
      <c r="H799" t="s">
        <v>35</v>
      </c>
      <c r="I799" t="s">
        <v>36</v>
      </c>
      <c r="J799" t="s">
        <v>37</v>
      </c>
      <c r="K799" t="s">
        <v>28</v>
      </c>
      <c r="L799">
        <v>2017</v>
      </c>
      <c r="M799" t="s">
        <v>38</v>
      </c>
      <c r="N799" t="s">
        <v>32</v>
      </c>
    </row>
    <row r="800" spans="1:14" x14ac:dyDescent="0.2">
      <c r="A800">
        <v>815854164</v>
      </c>
      <c r="B800" t="s">
        <v>482</v>
      </c>
      <c r="C800" t="s">
        <v>436</v>
      </c>
      <c r="D800" t="s">
        <v>561</v>
      </c>
      <c r="E800" s="8">
        <v>0.67714285714285727</v>
      </c>
      <c r="F800" t="s">
        <v>487</v>
      </c>
      <c r="G800">
        <v>211</v>
      </c>
      <c r="H800" t="s">
        <v>35</v>
      </c>
      <c r="I800" t="s">
        <v>36</v>
      </c>
      <c r="J800" t="s">
        <v>37</v>
      </c>
      <c r="K800" t="s">
        <v>28</v>
      </c>
      <c r="L800">
        <v>2017</v>
      </c>
      <c r="M800" t="s">
        <v>38</v>
      </c>
      <c r="N800" t="s">
        <v>32</v>
      </c>
    </row>
    <row r="801" spans="1:14" x14ac:dyDescent="0.2">
      <c r="A801">
        <v>815854164</v>
      </c>
      <c r="B801" t="s">
        <v>482</v>
      </c>
      <c r="C801" t="s">
        <v>436</v>
      </c>
      <c r="D801" t="s">
        <v>561</v>
      </c>
      <c r="E801" s="8">
        <v>0.81200000000000006</v>
      </c>
      <c r="F801" t="s">
        <v>487</v>
      </c>
      <c r="G801">
        <v>211</v>
      </c>
      <c r="H801" t="s">
        <v>35</v>
      </c>
      <c r="I801" t="s">
        <v>36</v>
      </c>
      <c r="J801" t="s">
        <v>37</v>
      </c>
      <c r="K801" t="s">
        <v>28</v>
      </c>
      <c r="L801">
        <v>2017</v>
      </c>
      <c r="M801" t="s">
        <v>38</v>
      </c>
      <c r="N801" t="s">
        <v>32</v>
      </c>
    </row>
    <row r="802" spans="1:14" x14ac:dyDescent="0.2">
      <c r="A802">
        <v>815854164</v>
      </c>
      <c r="B802" t="s">
        <v>483</v>
      </c>
      <c r="C802" t="s">
        <v>197</v>
      </c>
      <c r="D802" t="s">
        <v>556</v>
      </c>
      <c r="E802" s="8">
        <v>0.89</v>
      </c>
      <c r="F802" t="s">
        <v>487</v>
      </c>
      <c r="G802">
        <v>211</v>
      </c>
      <c r="H802" t="s">
        <v>35</v>
      </c>
      <c r="I802" t="s">
        <v>36</v>
      </c>
      <c r="J802" t="s">
        <v>37</v>
      </c>
      <c r="K802" t="s">
        <v>28</v>
      </c>
      <c r="L802">
        <v>2017</v>
      </c>
      <c r="M802" t="s">
        <v>38</v>
      </c>
      <c r="N802" t="s">
        <v>32</v>
      </c>
    </row>
    <row r="803" spans="1:14" x14ac:dyDescent="0.2">
      <c r="A803">
        <v>815854164</v>
      </c>
      <c r="B803" t="s">
        <v>483</v>
      </c>
      <c r="C803" t="s">
        <v>196</v>
      </c>
      <c r="D803" t="s">
        <v>557</v>
      </c>
      <c r="E803" s="8">
        <v>0.62</v>
      </c>
      <c r="F803" t="s">
        <v>487</v>
      </c>
      <c r="G803">
        <v>211</v>
      </c>
      <c r="H803" t="s">
        <v>35</v>
      </c>
      <c r="I803" t="s">
        <v>36</v>
      </c>
      <c r="J803" t="s">
        <v>37</v>
      </c>
      <c r="K803" t="s">
        <v>28</v>
      </c>
      <c r="L803">
        <v>2017</v>
      </c>
      <c r="M803" t="s">
        <v>38</v>
      </c>
      <c r="N803" t="s">
        <v>32</v>
      </c>
    </row>
    <row r="804" spans="1:14" x14ac:dyDescent="0.2">
      <c r="A804">
        <v>815854164</v>
      </c>
      <c r="B804" t="s">
        <v>483</v>
      </c>
      <c r="C804" t="s">
        <v>197</v>
      </c>
      <c r="D804" t="s">
        <v>556</v>
      </c>
      <c r="E804" s="8">
        <v>0.8</v>
      </c>
      <c r="F804" t="s">
        <v>487</v>
      </c>
      <c r="G804">
        <v>211</v>
      </c>
      <c r="H804" t="s">
        <v>35</v>
      </c>
      <c r="I804" t="s">
        <v>36</v>
      </c>
      <c r="J804" t="s">
        <v>37</v>
      </c>
      <c r="K804" t="s">
        <v>28</v>
      </c>
      <c r="L804">
        <v>2017</v>
      </c>
      <c r="M804" t="s">
        <v>38</v>
      </c>
      <c r="N804" t="s">
        <v>32</v>
      </c>
    </row>
    <row r="805" spans="1:14" x14ac:dyDescent="0.2">
      <c r="A805">
        <v>815854164</v>
      </c>
      <c r="B805" t="s">
        <v>483</v>
      </c>
      <c r="C805" t="s">
        <v>196</v>
      </c>
      <c r="D805" t="s">
        <v>557</v>
      </c>
      <c r="E805" s="8">
        <v>0.496</v>
      </c>
      <c r="F805" t="s">
        <v>487</v>
      </c>
      <c r="G805">
        <v>211</v>
      </c>
      <c r="H805" t="s">
        <v>35</v>
      </c>
      <c r="I805" t="s">
        <v>36</v>
      </c>
      <c r="J805" t="s">
        <v>37</v>
      </c>
      <c r="K805" t="s">
        <v>28</v>
      </c>
      <c r="L805">
        <v>2017</v>
      </c>
      <c r="M805" t="s">
        <v>38</v>
      </c>
      <c r="N805" t="s">
        <v>32</v>
      </c>
    </row>
    <row r="806" spans="1:14" x14ac:dyDescent="0.2">
      <c r="A806">
        <v>815854164</v>
      </c>
      <c r="B806" t="s">
        <v>483</v>
      </c>
      <c r="C806" t="s">
        <v>197</v>
      </c>
      <c r="D806" t="s">
        <v>556</v>
      </c>
      <c r="E806" s="8">
        <v>0.41333333333333333</v>
      </c>
      <c r="F806" t="s">
        <v>487</v>
      </c>
      <c r="G806">
        <v>211</v>
      </c>
      <c r="H806" t="s">
        <v>35</v>
      </c>
      <c r="I806" t="s">
        <v>36</v>
      </c>
      <c r="J806" t="s">
        <v>37</v>
      </c>
      <c r="K806" t="s">
        <v>28</v>
      </c>
      <c r="L806">
        <v>2017</v>
      </c>
      <c r="M806" t="s">
        <v>38</v>
      </c>
      <c r="N806" t="s">
        <v>32</v>
      </c>
    </row>
    <row r="807" spans="1:14" x14ac:dyDescent="0.2">
      <c r="A807">
        <v>815854164</v>
      </c>
      <c r="B807" t="s">
        <v>484</v>
      </c>
      <c r="C807" t="s">
        <v>497</v>
      </c>
      <c r="D807" t="s">
        <v>558</v>
      </c>
      <c r="E807" s="8">
        <v>0.8</v>
      </c>
      <c r="F807" t="s">
        <v>487</v>
      </c>
      <c r="G807">
        <v>211</v>
      </c>
      <c r="H807" t="s">
        <v>35</v>
      </c>
      <c r="I807" t="s">
        <v>36</v>
      </c>
      <c r="J807" t="s">
        <v>37</v>
      </c>
      <c r="K807" t="s">
        <v>28</v>
      </c>
      <c r="L807">
        <v>2017</v>
      </c>
      <c r="M807" t="s">
        <v>38</v>
      </c>
      <c r="N807" t="s">
        <v>32</v>
      </c>
    </row>
    <row r="808" spans="1:14" x14ac:dyDescent="0.2">
      <c r="A808">
        <v>815854164</v>
      </c>
      <c r="B808" t="s">
        <v>484</v>
      </c>
      <c r="C808" t="s">
        <v>500</v>
      </c>
      <c r="D808" t="s">
        <v>558</v>
      </c>
      <c r="E808" s="8">
        <v>0.67249999999999999</v>
      </c>
      <c r="F808" t="s">
        <v>487</v>
      </c>
      <c r="G808">
        <v>211</v>
      </c>
      <c r="H808" t="s">
        <v>35</v>
      </c>
      <c r="I808" t="s">
        <v>36</v>
      </c>
      <c r="J808" t="s">
        <v>37</v>
      </c>
      <c r="K808" t="s">
        <v>28</v>
      </c>
      <c r="L808">
        <v>2017</v>
      </c>
      <c r="M808" t="s">
        <v>38</v>
      </c>
      <c r="N808" t="s">
        <v>32</v>
      </c>
    </row>
    <row r="809" spans="1:14" x14ac:dyDescent="0.2">
      <c r="A809">
        <v>815854164</v>
      </c>
      <c r="B809" t="s">
        <v>484</v>
      </c>
      <c r="C809" t="s">
        <v>501</v>
      </c>
      <c r="D809" t="s">
        <v>558</v>
      </c>
      <c r="E809" s="8">
        <v>0.72250000000000003</v>
      </c>
      <c r="F809" t="s">
        <v>487</v>
      </c>
      <c r="G809">
        <v>211</v>
      </c>
      <c r="H809" t="s">
        <v>35</v>
      </c>
      <c r="I809" t="s">
        <v>36</v>
      </c>
      <c r="J809" t="s">
        <v>37</v>
      </c>
      <c r="K809" t="s">
        <v>28</v>
      </c>
      <c r="L809">
        <v>2017</v>
      </c>
      <c r="M809" t="s">
        <v>38</v>
      </c>
      <c r="N809" t="s">
        <v>32</v>
      </c>
    </row>
    <row r="810" spans="1:14" x14ac:dyDescent="0.2">
      <c r="A810">
        <v>815854164</v>
      </c>
      <c r="B810" t="s">
        <v>485</v>
      </c>
      <c r="C810" t="s">
        <v>346</v>
      </c>
      <c r="D810" t="s">
        <v>559</v>
      </c>
      <c r="E810" s="8">
        <v>0.62</v>
      </c>
      <c r="F810" t="s">
        <v>487</v>
      </c>
      <c r="G810">
        <v>211</v>
      </c>
      <c r="H810" t="s">
        <v>35</v>
      </c>
      <c r="I810" t="s">
        <v>36</v>
      </c>
      <c r="J810" t="s">
        <v>37</v>
      </c>
      <c r="K810" t="s">
        <v>28</v>
      </c>
      <c r="L810">
        <v>2017</v>
      </c>
      <c r="M810" t="s">
        <v>38</v>
      </c>
      <c r="N810" t="s">
        <v>32</v>
      </c>
    </row>
    <row r="811" spans="1:14" x14ac:dyDescent="0.2">
      <c r="A811">
        <v>815854164</v>
      </c>
      <c r="B811" t="s">
        <v>485</v>
      </c>
      <c r="C811" t="s">
        <v>342</v>
      </c>
      <c r="D811" t="s">
        <v>559</v>
      </c>
      <c r="E811" s="8">
        <v>0.36</v>
      </c>
      <c r="F811" t="s">
        <v>487</v>
      </c>
      <c r="G811">
        <v>211</v>
      </c>
      <c r="H811" t="s">
        <v>35</v>
      </c>
      <c r="I811" t="s">
        <v>36</v>
      </c>
      <c r="J811" t="s">
        <v>37</v>
      </c>
      <c r="K811" t="s">
        <v>28</v>
      </c>
      <c r="L811">
        <v>2017</v>
      </c>
      <c r="M811" t="s">
        <v>38</v>
      </c>
      <c r="N811" t="s">
        <v>32</v>
      </c>
    </row>
    <row r="812" spans="1:14" x14ac:dyDescent="0.2">
      <c r="A812">
        <v>816787809</v>
      </c>
      <c r="B812" t="s">
        <v>478</v>
      </c>
      <c r="C812" t="s">
        <v>276</v>
      </c>
      <c r="D812" t="s">
        <v>546</v>
      </c>
      <c r="E812" s="8">
        <v>0.61333333333333329</v>
      </c>
      <c r="F812" t="s">
        <v>487</v>
      </c>
      <c r="G812">
        <v>211</v>
      </c>
      <c r="H812" t="s">
        <v>35</v>
      </c>
      <c r="I812" t="s">
        <v>36</v>
      </c>
      <c r="J812" t="s">
        <v>37</v>
      </c>
      <c r="K812" t="s">
        <v>28</v>
      </c>
      <c r="L812">
        <v>2017</v>
      </c>
      <c r="M812" t="s">
        <v>38</v>
      </c>
      <c r="N812" t="s">
        <v>32</v>
      </c>
    </row>
    <row r="813" spans="1:14" x14ac:dyDescent="0.2">
      <c r="A813">
        <v>816787809</v>
      </c>
      <c r="B813" t="s">
        <v>478</v>
      </c>
      <c r="C813" t="s">
        <v>247</v>
      </c>
      <c r="D813" t="s">
        <v>546</v>
      </c>
      <c r="E813" s="8">
        <v>0.53799999999999992</v>
      </c>
      <c r="F813" t="s">
        <v>487</v>
      </c>
      <c r="G813">
        <v>211</v>
      </c>
      <c r="H813" t="s">
        <v>35</v>
      </c>
      <c r="I813" t="s">
        <v>36</v>
      </c>
      <c r="J813" t="s">
        <v>37</v>
      </c>
      <c r="K813" t="s">
        <v>28</v>
      </c>
      <c r="L813">
        <v>2017</v>
      </c>
      <c r="M813" t="s">
        <v>38</v>
      </c>
      <c r="N813" t="s">
        <v>32</v>
      </c>
    </row>
    <row r="814" spans="1:14" x14ac:dyDescent="0.2">
      <c r="A814">
        <v>816787809</v>
      </c>
      <c r="B814" t="s">
        <v>40</v>
      </c>
      <c r="C814" t="s">
        <v>435</v>
      </c>
      <c r="D814" t="s">
        <v>560</v>
      </c>
      <c r="E814" s="8">
        <v>0.47000000000000003</v>
      </c>
      <c r="F814" t="s">
        <v>487</v>
      </c>
      <c r="G814">
        <v>211</v>
      </c>
      <c r="H814" t="s">
        <v>35</v>
      </c>
      <c r="I814" t="s">
        <v>36</v>
      </c>
      <c r="J814" t="s">
        <v>37</v>
      </c>
      <c r="K814" t="s">
        <v>28</v>
      </c>
      <c r="L814">
        <v>2017</v>
      </c>
      <c r="M814" t="s">
        <v>38</v>
      </c>
      <c r="N814" t="s">
        <v>32</v>
      </c>
    </row>
    <row r="815" spans="1:14" x14ac:dyDescent="0.2">
      <c r="A815">
        <v>816787809</v>
      </c>
      <c r="B815" t="s">
        <v>40</v>
      </c>
      <c r="C815" t="s">
        <v>393</v>
      </c>
      <c r="D815" t="s">
        <v>560</v>
      </c>
      <c r="E815" s="8">
        <v>0.55000000000000004</v>
      </c>
      <c r="F815" t="s">
        <v>487</v>
      </c>
      <c r="G815">
        <v>211</v>
      </c>
      <c r="H815" t="s">
        <v>35</v>
      </c>
      <c r="I815" t="s">
        <v>36</v>
      </c>
      <c r="J815" t="s">
        <v>37</v>
      </c>
      <c r="K815" t="s">
        <v>28</v>
      </c>
      <c r="L815">
        <v>2017</v>
      </c>
      <c r="M815" t="s">
        <v>38</v>
      </c>
      <c r="N815" t="s">
        <v>32</v>
      </c>
    </row>
    <row r="816" spans="1:14" x14ac:dyDescent="0.2">
      <c r="A816">
        <v>816787809</v>
      </c>
      <c r="B816" t="s">
        <v>41</v>
      </c>
      <c r="C816" t="s">
        <v>212</v>
      </c>
      <c r="D816" t="s">
        <v>562</v>
      </c>
      <c r="E816" s="8">
        <v>0.51249999999999996</v>
      </c>
      <c r="F816" t="s">
        <v>487</v>
      </c>
      <c r="G816">
        <v>211</v>
      </c>
      <c r="H816" t="s">
        <v>35</v>
      </c>
      <c r="I816" t="s">
        <v>36</v>
      </c>
      <c r="J816" t="s">
        <v>37</v>
      </c>
      <c r="K816" t="s">
        <v>28</v>
      </c>
      <c r="L816">
        <v>2017</v>
      </c>
      <c r="M816" t="s">
        <v>38</v>
      </c>
      <c r="N816" t="s">
        <v>32</v>
      </c>
    </row>
    <row r="817" spans="1:14" x14ac:dyDescent="0.2">
      <c r="A817">
        <v>816787809</v>
      </c>
      <c r="B817" t="s">
        <v>41</v>
      </c>
      <c r="C817" t="s">
        <v>207</v>
      </c>
      <c r="D817" t="s">
        <v>562</v>
      </c>
      <c r="E817" s="8">
        <v>0.56666666666666665</v>
      </c>
      <c r="F817" t="s">
        <v>487</v>
      </c>
      <c r="G817">
        <v>211</v>
      </c>
      <c r="H817" t="s">
        <v>35</v>
      </c>
      <c r="I817" t="s">
        <v>36</v>
      </c>
      <c r="J817" t="s">
        <v>37</v>
      </c>
      <c r="K817" t="s">
        <v>28</v>
      </c>
      <c r="L817">
        <v>2017</v>
      </c>
      <c r="M817" t="s">
        <v>38</v>
      </c>
      <c r="N817" t="s">
        <v>32</v>
      </c>
    </row>
    <row r="818" spans="1:14" x14ac:dyDescent="0.2">
      <c r="A818">
        <v>816787809</v>
      </c>
      <c r="B818" t="s">
        <v>41</v>
      </c>
      <c r="C818" t="s">
        <v>221</v>
      </c>
      <c r="D818" t="s">
        <v>563</v>
      </c>
      <c r="E818" s="8">
        <v>0.76</v>
      </c>
      <c r="F818" t="s">
        <v>487</v>
      </c>
      <c r="G818">
        <v>211</v>
      </c>
      <c r="H818" t="s">
        <v>35</v>
      </c>
      <c r="I818" t="s">
        <v>36</v>
      </c>
      <c r="J818" t="s">
        <v>37</v>
      </c>
      <c r="K818" t="s">
        <v>28</v>
      </c>
      <c r="L818">
        <v>2017</v>
      </c>
      <c r="M818" t="s">
        <v>38</v>
      </c>
      <c r="N818" t="s">
        <v>32</v>
      </c>
    </row>
    <row r="819" spans="1:14" x14ac:dyDescent="0.2">
      <c r="A819">
        <v>816787809</v>
      </c>
      <c r="B819" t="s">
        <v>42</v>
      </c>
      <c r="C819" t="s">
        <v>159</v>
      </c>
      <c r="D819" t="s">
        <v>564</v>
      </c>
      <c r="E819" s="8">
        <v>0.64</v>
      </c>
      <c r="F819" t="s">
        <v>487</v>
      </c>
      <c r="G819">
        <v>211</v>
      </c>
      <c r="H819" t="s">
        <v>35</v>
      </c>
      <c r="I819" t="s">
        <v>36</v>
      </c>
      <c r="J819" t="s">
        <v>37</v>
      </c>
      <c r="K819" t="s">
        <v>28</v>
      </c>
      <c r="L819">
        <v>2017</v>
      </c>
      <c r="M819" t="s">
        <v>38</v>
      </c>
      <c r="N819" t="s">
        <v>32</v>
      </c>
    </row>
    <row r="820" spans="1:14" x14ac:dyDescent="0.2">
      <c r="A820">
        <v>816787809</v>
      </c>
      <c r="B820" t="s">
        <v>42</v>
      </c>
      <c r="C820" t="s">
        <v>135</v>
      </c>
      <c r="D820" t="s">
        <v>565</v>
      </c>
      <c r="E820" s="8">
        <v>0.47000000000000003</v>
      </c>
      <c r="F820" t="s">
        <v>487</v>
      </c>
      <c r="G820">
        <v>211</v>
      </c>
      <c r="H820" t="s">
        <v>35</v>
      </c>
      <c r="I820" t="s">
        <v>36</v>
      </c>
      <c r="J820" t="s">
        <v>37</v>
      </c>
      <c r="K820" t="s">
        <v>28</v>
      </c>
      <c r="L820">
        <v>2017</v>
      </c>
      <c r="M820" t="s">
        <v>38</v>
      </c>
      <c r="N820" t="s">
        <v>32</v>
      </c>
    </row>
    <row r="821" spans="1:14" x14ac:dyDescent="0.2">
      <c r="A821">
        <v>816787809</v>
      </c>
      <c r="B821" t="s">
        <v>42</v>
      </c>
      <c r="C821" t="s">
        <v>56</v>
      </c>
      <c r="D821" t="s">
        <v>565</v>
      </c>
      <c r="E821" s="8">
        <v>0.47000000000000003</v>
      </c>
      <c r="F821" t="s">
        <v>487</v>
      </c>
      <c r="G821">
        <v>211</v>
      </c>
      <c r="H821" t="s">
        <v>35</v>
      </c>
      <c r="I821" t="s">
        <v>36</v>
      </c>
      <c r="J821" t="s">
        <v>37</v>
      </c>
      <c r="K821" t="s">
        <v>28</v>
      </c>
      <c r="L821">
        <v>2017</v>
      </c>
      <c r="M821" t="s">
        <v>38</v>
      </c>
      <c r="N821" t="s">
        <v>32</v>
      </c>
    </row>
    <row r="822" spans="1:14" x14ac:dyDescent="0.2">
      <c r="A822">
        <v>816787809</v>
      </c>
      <c r="B822" t="s">
        <v>42</v>
      </c>
      <c r="C822" t="s">
        <v>155</v>
      </c>
      <c r="D822" t="s">
        <v>564</v>
      </c>
      <c r="E822" s="8">
        <v>0.64</v>
      </c>
      <c r="F822" t="s">
        <v>487</v>
      </c>
      <c r="G822">
        <v>211</v>
      </c>
      <c r="H822" t="s">
        <v>35</v>
      </c>
      <c r="I822" t="s">
        <v>36</v>
      </c>
      <c r="J822" t="s">
        <v>37</v>
      </c>
      <c r="K822" t="s">
        <v>28</v>
      </c>
      <c r="L822">
        <v>2017</v>
      </c>
      <c r="M822" t="s">
        <v>38</v>
      </c>
      <c r="N822" t="s">
        <v>32</v>
      </c>
    </row>
    <row r="823" spans="1:14" x14ac:dyDescent="0.2">
      <c r="A823">
        <v>816787809</v>
      </c>
      <c r="B823" t="s">
        <v>479</v>
      </c>
      <c r="C823" t="s">
        <v>57</v>
      </c>
      <c r="D823" t="s">
        <v>566</v>
      </c>
      <c r="E823" s="8">
        <v>0.56611111111111112</v>
      </c>
      <c r="F823" t="s">
        <v>487</v>
      </c>
      <c r="G823">
        <v>211</v>
      </c>
      <c r="H823" t="s">
        <v>35</v>
      </c>
      <c r="I823" t="s">
        <v>36</v>
      </c>
      <c r="J823" t="s">
        <v>37</v>
      </c>
      <c r="K823" t="s">
        <v>28</v>
      </c>
      <c r="L823">
        <v>2017</v>
      </c>
      <c r="M823" t="s">
        <v>38</v>
      </c>
      <c r="N823" t="s">
        <v>32</v>
      </c>
    </row>
    <row r="824" spans="1:14" x14ac:dyDescent="0.2">
      <c r="A824">
        <v>816787809</v>
      </c>
      <c r="B824" t="s">
        <v>479</v>
      </c>
      <c r="C824" t="s">
        <v>58</v>
      </c>
      <c r="D824" t="s">
        <v>567</v>
      </c>
      <c r="E824" s="8">
        <v>0.64</v>
      </c>
      <c r="F824" t="s">
        <v>487</v>
      </c>
      <c r="G824">
        <v>211</v>
      </c>
      <c r="H824" t="s">
        <v>35</v>
      </c>
      <c r="I824" t="s">
        <v>36</v>
      </c>
      <c r="J824" t="s">
        <v>37</v>
      </c>
      <c r="K824" t="s">
        <v>28</v>
      </c>
      <c r="L824">
        <v>2017</v>
      </c>
      <c r="M824" t="s">
        <v>38</v>
      </c>
      <c r="N824" t="s">
        <v>32</v>
      </c>
    </row>
    <row r="825" spans="1:14" x14ac:dyDescent="0.2">
      <c r="A825">
        <v>816787809</v>
      </c>
      <c r="B825" t="s">
        <v>480</v>
      </c>
      <c r="C825" t="s">
        <v>456</v>
      </c>
      <c r="D825" t="s">
        <v>568</v>
      </c>
      <c r="E825" s="8">
        <v>0.52666666666666673</v>
      </c>
      <c r="F825" t="s">
        <v>487</v>
      </c>
      <c r="G825">
        <v>211</v>
      </c>
      <c r="H825" t="s">
        <v>35</v>
      </c>
      <c r="I825" t="s">
        <v>36</v>
      </c>
      <c r="J825" t="s">
        <v>37</v>
      </c>
      <c r="K825" t="s">
        <v>28</v>
      </c>
      <c r="L825">
        <v>2017</v>
      </c>
      <c r="M825" t="s">
        <v>38</v>
      </c>
      <c r="N825" t="s">
        <v>32</v>
      </c>
    </row>
    <row r="826" spans="1:14" x14ac:dyDescent="0.2">
      <c r="A826">
        <v>816787809</v>
      </c>
      <c r="B826" t="s">
        <v>480</v>
      </c>
      <c r="C826" t="s">
        <v>452</v>
      </c>
      <c r="D826" t="s">
        <v>568</v>
      </c>
      <c r="E826" s="8">
        <v>0.52666666666666673</v>
      </c>
      <c r="F826" t="s">
        <v>487</v>
      </c>
      <c r="G826">
        <v>211</v>
      </c>
      <c r="H826" t="s">
        <v>35</v>
      </c>
      <c r="I826" t="s">
        <v>36</v>
      </c>
      <c r="J826" t="s">
        <v>37</v>
      </c>
      <c r="K826" t="s">
        <v>28</v>
      </c>
      <c r="L826">
        <v>2017</v>
      </c>
      <c r="M826" t="s">
        <v>38</v>
      </c>
      <c r="N826" t="s">
        <v>32</v>
      </c>
    </row>
    <row r="827" spans="1:14" x14ac:dyDescent="0.2">
      <c r="A827">
        <v>816787809</v>
      </c>
      <c r="B827" t="s">
        <v>481</v>
      </c>
      <c r="C827" t="s">
        <v>533</v>
      </c>
      <c r="D827" t="s">
        <v>569</v>
      </c>
      <c r="E827" s="8">
        <v>0.64</v>
      </c>
      <c r="F827" t="s">
        <v>487</v>
      </c>
      <c r="G827">
        <v>211</v>
      </c>
      <c r="H827" t="s">
        <v>35</v>
      </c>
      <c r="I827" t="s">
        <v>36</v>
      </c>
      <c r="J827" t="s">
        <v>37</v>
      </c>
      <c r="K827" t="s">
        <v>28</v>
      </c>
      <c r="L827">
        <v>2017</v>
      </c>
      <c r="M827" t="s">
        <v>38</v>
      </c>
      <c r="N827" t="s">
        <v>32</v>
      </c>
    </row>
    <row r="828" spans="1:14" x14ac:dyDescent="0.2">
      <c r="A828">
        <v>816787809</v>
      </c>
      <c r="B828" t="s">
        <v>481</v>
      </c>
      <c r="C828" t="s">
        <v>106</v>
      </c>
      <c r="D828" t="s">
        <v>569</v>
      </c>
      <c r="E828" s="8">
        <v>0.64</v>
      </c>
      <c r="F828" t="s">
        <v>487</v>
      </c>
      <c r="G828">
        <v>211</v>
      </c>
      <c r="H828" t="s">
        <v>35</v>
      </c>
      <c r="I828" t="s">
        <v>36</v>
      </c>
      <c r="J828" t="s">
        <v>37</v>
      </c>
      <c r="K828" t="s">
        <v>28</v>
      </c>
      <c r="L828">
        <v>2017</v>
      </c>
      <c r="M828" t="s">
        <v>38</v>
      </c>
      <c r="N828" t="s">
        <v>32</v>
      </c>
    </row>
    <row r="829" spans="1:14" x14ac:dyDescent="0.2">
      <c r="A829">
        <v>816787809</v>
      </c>
      <c r="B829" t="s">
        <v>43</v>
      </c>
      <c r="C829" t="s">
        <v>59</v>
      </c>
      <c r="D829" t="s">
        <v>570</v>
      </c>
      <c r="E829" s="8">
        <v>0.57200000000000006</v>
      </c>
      <c r="F829" t="s">
        <v>487</v>
      </c>
      <c r="G829">
        <v>211</v>
      </c>
      <c r="H829" t="s">
        <v>35</v>
      </c>
      <c r="I829" t="s">
        <v>36</v>
      </c>
      <c r="J829" t="s">
        <v>37</v>
      </c>
      <c r="K829" t="s">
        <v>28</v>
      </c>
      <c r="L829">
        <v>2017</v>
      </c>
      <c r="M829" t="s">
        <v>38</v>
      </c>
      <c r="N829" t="s">
        <v>32</v>
      </c>
    </row>
    <row r="830" spans="1:14" x14ac:dyDescent="0.2">
      <c r="A830">
        <v>816787809</v>
      </c>
      <c r="B830" t="s">
        <v>482</v>
      </c>
      <c r="C830" t="s">
        <v>436</v>
      </c>
      <c r="D830" t="s">
        <v>561</v>
      </c>
      <c r="E830" s="8">
        <v>0.4835714285714286</v>
      </c>
      <c r="F830" t="s">
        <v>487</v>
      </c>
      <c r="G830">
        <v>211</v>
      </c>
      <c r="H830" t="s">
        <v>35</v>
      </c>
      <c r="I830" t="s">
        <v>36</v>
      </c>
      <c r="J830" t="s">
        <v>37</v>
      </c>
      <c r="K830" t="s">
        <v>28</v>
      </c>
      <c r="L830">
        <v>2017</v>
      </c>
      <c r="M830" t="s">
        <v>38</v>
      </c>
      <c r="N830" t="s">
        <v>32</v>
      </c>
    </row>
    <row r="831" spans="1:14" x14ac:dyDescent="0.2">
      <c r="A831">
        <v>816787809</v>
      </c>
      <c r="B831" t="s">
        <v>482</v>
      </c>
      <c r="C831" t="s">
        <v>436</v>
      </c>
      <c r="D831" t="s">
        <v>561</v>
      </c>
      <c r="E831" s="8">
        <v>0.53599999999999992</v>
      </c>
      <c r="F831" t="s">
        <v>487</v>
      </c>
      <c r="G831">
        <v>211</v>
      </c>
      <c r="H831" t="s">
        <v>35</v>
      </c>
      <c r="I831" t="s">
        <v>36</v>
      </c>
      <c r="J831" t="s">
        <v>37</v>
      </c>
      <c r="K831" t="s">
        <v>28</v>
      </c>
      <c r="L831">
        <v>2017</v>
      </c>
      <c r="M831" t="s">
        <v>38</v>
      </c>
      <c r="N831" t="s">
        <v>32</v>
      </c>
    </row>
    <row r="832" spans="1:14" x14ac:dyDescent="0.2">
      <c r="A832">
        <v>816787809</v>
      </c>
      <c r="B832" t="s">
        <v>483</v>
      </c>
      <c r="C832" t="s">
        <v>197</v>
      </c>
      <c r="D832" t="s">
        <v>556</v>
      </c>
      <c r="E832" s="8">
        <v>0.47000000000000003</v>
      </c>
      <c r="F832" t="s">
        <v>487</v>
      </c>
      <c r="G832">
        <v>211</v>
      </c>
      <c r="H832" t="s">
        <v>35</v>
      </c>
      <c r="I832" t="s">
        <v>36</v>
      </c>
      <c r="J832" t="s">
        <v>37</v>
      </c>
      <c r="K832" t="s">
        <v>28</v>
      </c>
      <c r="L832">
        <v>2017</v>
      </c>
      <c r="M832" t="s">
        <v>38</v>
      </c>
      <c r="N832" t="s">
        <v>32</v>
      </c>
    </row>
    <row r="833" spans="1:14" x14ac:dyDescent="0.2">
      <c r="A833">
        <v>816787809</v>
      </c>
      <c r="B833" t="s">
        <v>483</v>
      </c>
      <c r="C833" t="s">
        <v>196</v>
      </c>
      <c r="D833" t="s">
        <v>557</v>
      </c>
      <c r="E833" s="8">
        <v>0.64</v>
      </c>
      <c r="F833" t="s">
        <v>487</v>
      </c>
      <c r="G833">
        <v>211</v>
      </c>
      <c r="H833" t="s">
        <v>35</v>
      </c>
      <c r="I833" t="s">
        <v>36</v>
      </c>
      <c r="J833" t="s">
        <v>37</v>
      </c>
      <c r="K833" t="s">
        <v>28</v>
      </c>
      <c r="L833">
        <v>2017</v>
      </c>
      <c r="M833" t="s">
        <v>38</v>
      </c>
      <c r="N833" t="s">
        <v>32</v>
      </c>
    </row>
    <row r="834" spans="1:14" x14ac:dyDescent="0.2">
      <c r="A834">
        <v>816787809</v>
      </c>
      <c r="B834" t="s">
        <v>483</v>
      </c>
      <c r="C834" t="s">
        <v>197</v>
      </c>
      <c r="D834" t="s">
        <v>556</v>
      </c>
      <c r="E834" s="8">
        <v>0.52666666666666673</v>
      </c>
      <c r="F834" t="s">
        <v>487</v>
      </c>
      <c r="G834">
        <v>211</v>
      </c>
      <c r="H834" t="s">
        <v>35</v>
      </c>
      <c r="I834" t="s">
        <v>36</v>
      </c>
      <c r="J834" t="s">
        <v>37</v>
      </c>
      <c r="K834" t="s">
        <v>28</v>
      </c>
      <c r="L834">
        <v>2017</v>
      </c>
      <c r="M834" t="s">
        <v>38</v>
      </c>
      <c r="N834" t="s">
        <v>32</v>
      </c>
    </row>
    <row r="835" spans="1:14" x14ac:dyDescent="0.2">
      <c r="A835">
        <v>816787809</v>
      </c>
      <c r="B835" t="s">
        <v>483</v>
      </c>
      <c r="C835" t="s">
        <v>196</v>
      </c>
      <c r="D835" t="s">
        <v>557</v>
      </c>
      <c r="E835" s="8">
        <v>0.71200000000000008</v>
      </c>
      <c r="F835" t="s">
        <v>487</v>
      </c>
      <c r="G835">
        <v>211</v>
      </c>
      <c r="H835" t="s">
        <v>35</v>
      </c>
      <c r="I835" t="s">
        <v>36</v>
      </c>
      <c r="J835" t="s">
        <v>37</v>
      </c>
      <c r="K835" t="s">
        <v>28</v>
      </c>
      <c r="L835">
        <v>2017</v>
      </c>
      <c r="M835" t="s">
        <v>38</v>
      </c>
      <c r="N835" t="s">
        <v>32</v>
      </c>
    </row>
    <row r="836" spans="1:14" x14ac:dyDescent="0.2">
      <c r="A836">
        <v>816787809</v>
      </c>
      <c r="B836" t="s">
        <v>483</v>
      </c>
      <c r="C836" t="s">
        <v>197</v>
      </c>
      <c r="D836" t="s">
        <v>556</v>
      </c>
      <c r="E836" s="8">
        <v>0.76</v>
      </c>
      <c r="F836" t="s">
        <v>487</v>
      </c>
      <c r="G836">
        <v>211</v>
      </c>
      <c r="H836" t="s">
        <v>35</v>
      </c>
      <c r="I836" t="s">
        <v>36</v>
      </c>
      <c r="J836" t="s">
        <v>37</v>
      </c>
      <c r="K836" t="s">
        <v>28</v>
      </c>
      <c r="L836">
        <v>2017</v>
      </c>
      <c r="M836" t="s">
        <v>38</v>
      </c>
      <c r="N836" t="s">
        <v>32</v>
      </c>
    </row>
    <row r="837" spans="1:14" x14ac:dyDescent="0.2">
      <c r="A837">
        <v>816787809</v>
      </c>
      <c r="B837" t="s">
        <v>484</v>
      </c>
      <c r="C837" t="s">
        <v>497</v>
      </c>
      <c r="D837" t="s">
        <v>558</v>
      </c>
      <c r="E837" s="8">
        <v>0.52666666666666673</v>
      </c>
      <c r="F837" t="s">
        <v>487</v>
      </c>
      <c r="G837">
        <v>211</v>
      </c>
      <c r="H837" t="s">
        <v>35</v>
      </c>
      <c r="I837" t="s">
        <v>36</v>
      </c>
      <c r="J837" t="s">
        <v>37</v>
      </c>
      <c r="K837" t="s">
        <v>28</v>
      </c>
      <c r="L837">
        <v>2017</v>
      </c>
      <c r="M837" t="s">
        <v>38</v>
      </c>
      <c r="N837" t="s">
        <v>32</v>
      </c>
    </row>
    <row r="838" spans="1:14" x14ac:dyDescent="0.2">
      <c r="A838">
        <v>816787809</v>
      </c>
      <c r="B838" t="s">
        <v>484</v>
      </c>
      <c r="C838" t="s">
        <v>500</v>
      </c>
      <c r="D838" t="s">
        <v>558</v>
      </c>
      <c r="E838" s="8">
        <v>0.44749999999999995</v>
      </c>
      <c r="F838" t="s">
        <v>487</v>
      </c>
      <c r="G838">
        <v>211</v>
      </c>
      <c r="H838" t="s">
        <v>35</v>
      </c>
      <c r="I838" t="s">
        <v>36</v>
      </c>
      <c r="J838" t="s">
        <v>37</v>
      </c>
      <c r="K838" t="s">
        <v>28</v>
      </c>
      <c r="L838">
        <v>2017</v>
      </c>
      <c r="M838" t="s">
        <v>38</v>
      </c>
      <c r="N838" t="s">
        <v>32</v>
      </c>
    </row>
    <row r="839" spans="1:14" x14ac:dyDescent="0.2">
      <c r="A839">
        <v>816787809</v>
      </c>
      <c r="B839" t="s">
        <v>484</v>
      </c>
      <c r="C839" t="s">
        <v>501</v>
      </c>
      <c r="D839" t="s">
        <v>558</v>
      </c>
      <c r="E839" s="8">
        <v>0.55500000000000005</v>
      </c>
      <c r="F839" t="s">
        <v>487</v>
      </c>
      <c r="G839">
        <v>211</v>
      </c>
      <c r="H839" t="s">
        <v>35</v>
      </c>
      <c r="I839" t="s">
        <v>36</v>
      </c>
      <c r="J839" t="s">
        <v>37</v>
      </c>
      <c r="K839" t="s">
        <v>28</v>
      </c>
      <c r="L839">
        <v>2017</v>
      </c>
      <c r="M839" t="s">
        <v>38</v>
      </c>
      <c r="N839" t="s">
        <v>32</v>
      </c>
    </row>
    <row r="840" spans="1:14" x14ac:dyDescent="0.2">
      <c r="A840">
        <v>816787809</v>
      </c>
      <c r="B840" t="s">
        <v>485</v>
      </c>
      <c r="C840" t="s">
        <v>346</v>
      </c>
      <c r="D840" t="s">
        <v>559</v>
      </c>
      <c r="E840" s="8">
        <v>0.64</v>
      </c>
      <c r="F840" t="s">
        <v>487</v>
      </c>
      <c r="G840">
        <v>211</v>
      </c>
      <c r="H840" t="s">
        <v>35</v>
      </c>
      <c r="I840" t="s">
        <v>36</v>
      </c>
      <c r="J840" t="s">
        <v>37</v>
      </c>
      <c r="K840" t="s">
        <v>28</v>
      </c>
      <c r="L840">
        <v>2017</v>
      </c>
      <c r="M840" t="s">
        <v>38</v>
      </c>
      <c r="N840" t="s">
        <v>32</v>
      </c>
    </row>
    <row r="841" spans="1:14" x14ac:dyDescent="0.2">
      <c r="A841">
        <v>816787809</v>
      </c>
      <c r="B841" t="s">
        <v>485</v>
      </c>
      <c r="C841" t="s">
        <v>342</v>
      </c>
      <c r="D841" t="s">
        <v>559</v>
      </c>
      <c r="E841" s="8">
        <v>0.62624999999999997</v>
      </c>
      <c r="F841" t="s">
        <v>487</v>
      </c>
      <c r="G841">
        <v>211</v>
      </c>
      <c r="H841" t="s">
        <v>35</v>
      </c>
      <c r="I841" t="s">
        <v>36</v>
      </c>
      <c r="J841" t="s">
        <v>37</v>
      </c>
      <c r="K841" t="s">
        <v>28</v>
      </c>
      <c r="L841">
        <v>2017</v>
      </c>
      <c r="M841" t="s">
        <v>38</v>
      </c>
      <c r="N841" t="s">
        <v>32</v>
      </c>
    </row>
    <row r="842" spans="1:14" x14ac:dyDescent="0.2">
      <c r="A842">
        <v>820549378</v>
      </c>
      <c r="B842" t="s">
        <v>478</v>
      </c>
      <c r="C842" t="s">
        <v>276</v>
      </c>
      <c r="D842" t="s">
        <v>546</v>
      </c>
      <c r="E842" s="8">
        <v>0.39666666666666661</v>
      </c>
      <c r="F842" t="s">
        <v>487</v>
      </c>
      <c r="G842">
        <v>211</v>
      </c>
      <c r="H842" t="s">
        <v>35</v>
      </c>
      <c r="I842" t="s">
        <v>36</v>
      </c>
      <c r="J842" t="s">
        <v>37</v>
      </c>
      <c r="K842" t="s">
        <v>28</v>
      </c>
      <c r="L842">
        <v>2017</v>
      </c>
      <c r="M842" t="s">
        <v>38</v>
      </c>
      <c r="N842" t="s">
        <v>32</v>
      </c>
    </row>
    <row r="843" spans="1:14" x14ac:dyDescent="0.2">
      <c r="A843">
        <v>820549378</v>
      </c>
      <c r="B843" t="s">
        <v>478</v>
      </c>
      <c r="C843" t="s">
        <v>247</v>
      </c>
      <c r="D843" t="s">
        <v>546</v>
      </c>
      <c r="E843" s="8">
        <v>0.48</v>
      </c>
      <c r="F843" t="s">
        <v>487</v>
      </c>
      <c r="G843">
        <v>211</v>
      </c>
      <c r="H843" t="s">
        <v>35</v>
      </c>
      <c r="I843" t="s">
        <v>36</v>
      </c>
      <c r="J843" t="s">
        <v>37</v>
      </c>
      <c r="K843" t="s">
        <v>28</v>
      </c>
      <c r="L843">
        <v>2017</v>
      </c>
      <c r="M843" t="s">
        <v>38</v>
      </c>
      <c r="N843" t="s">
        <v>32</v>
      </c>
    </row>
    <row r="844" spans="1:14" x14ac:dyDescent="0.2">
      <c r="A844">
        <v>820549378</v>
      </c>
      <c r="B844" t="s">
        <v>40</v>
      </c>
      <c r="C844" t="s">
        <v>435</v>
      </c>
      <c r="D844" t="s">
        <v>560</v>
      </c>
      <c r="E844" s="8">
        <v>0.32</v>
      </c>
      <c r="F844" t="s">
        <v>487</v>
      </c>
      <c r="G844">
        <v>211</v>
      </c>
      <c r="H844" t="s">
        <v>35</v>
      </c>
      <c r="I844" t="s">
        <v>36</v>
      </c>
      <c r="J844" t="s">
        <v>37</v>
      </c>
      <c r="K844" t="s">
        <v>28</v>
      </c>
      <c r="L844">
        <v>2017</v>
      </c>
      <c r="M844" t="s">
        <v>38</v>
      </c>
      <c r="N844" t="s">
        <v>32</v>
      </c>
    </row>
    <row r="845" spans="1:14" x14ac:dyDescent="0.2">
      <c r="A845">
        <v>820549378</v>
      </c>
      <c r="B845" t="s">
        <v>40</v>
      </c>
      <c r="C845" t="s">
        <v>393</v>
      </c>
      <c r="D845" t="s">
        <v>560</v>
      </c>
      <c r="E845" s="8">
        <v>0.47000000000000003</v>
      </c>
      <c r="F845" t="s">
        <v>487</v>
      </c>
      <c r="G845">
        <v>211</v>
      </c>
      <c r="H845" t="s">
        <v>35</v>
      </c>
      <c r="I845" t="s">
        <v>36</v>
      </c>
      <c r="J845" t="s">
        <v>37</v>
      </c>
      <c r="K845" t="s">
        <v>28</v>
      </c>
      <c r="L845">
        <v>2017</v>
      </c>
      <c r="M845" t="s">
        <v>38</v>
      </c>
      <c r="N845" t="s">
        <v>32</v>
      </c>
    </row>
    <row r="846" spans="1:14" x14ac:dyDescent="0.2">
      <c r="A846">
        <v>820549378</v>
      </c>
      <c r="B846" t="s">
        <v>41</v>
      </c>
      <c r="C846" t="s">
        <v>212</v>
      </c>
      <c r="D846" t="s">
        <v>562</v>
      </c>
      <c r="E846" s="8">
        <v>0.30500000000000005</v>
      </c>
      <c r="F846" t="s">
        <v>487</v>
      </c>
      <c r="G846">
        <v>211</v>
      </c>
      <c r="H846" t="s">
        <v>35</v>
      </c>
      <c r="I846" t="s">
        <v>36</v>
      </c>
      <c r="J846" t="s">
        <v>37</v>
      </c>
      <c r="K846" t="s">
        <v>28</v>
      </c>
      <c r="L846">
        <v>2017</v>
      </c>
      <c r="M846" t="s">
        <v>38</v>
      </c>
      <c r="N846" t="s">
        <v>32</v>
      </c>
    </row>
    <row r="847" spans="1:14" x14ac:dyDescent="0.2">
      <c r="A847">
        <v>820549378</v>
      </c>
      <c r="B847" t="s">
        <v>41</v>
      </c>
      <c r="C847" t="s">
        <v>207</v>
      </c>
      <c r="D847" t="s">
        <v>562</v>
      </c>
      <c r="E847" s="8">
        <v>0.375</v>
      </c>
      <c r="F847" t="s">
        <v>487</v>
      </c>
      <c r="G847">
        <v>211</v>
      </c>
      <c r="H847" t="s">
        <v>35</v>
      </c>
      <c r="I847" t="s">
        <v>36</v>
      </c>
      <c r="J847" t="s">
        <v>37</v>
      </c>
      <c r="K847" t="s">
        <v>28</v>
      </c>
      <c r="L847">
        <v>2017</v>
      </c>
      <c r="M847" t="s">
        <v>38</v>
      </c>
      <c r="N847" t="s">
        <v>32</v>
      </c>
    </row>
    <row r="848" spans="1:14" x14ac:dyDescent="0.2">
      <c r="A848">
        <v>820549378</v>
      </c>
      <c r="B848" t="s">
        <v>41</v>
      </c>
      <c r="C848" t="s">
        <v>221</v>
      </c>
      <c r="D848" t="s">
        <v>563</v>
      </c>
      <c r="E848" s="8">
        <v>0.44</v>
      </c>
      <c r="F848" t="s">
        <v>487</v>
      </c>
      <c r="G848">
        <v>211</v>
      </c>
      <c r="H848" t="s">
        <v>35</v>
      </c>
      <c r="I848" t="s">
        <v>36</v>
      </c>
      <c r="J848" t="s">
        <v>37</v>
      </c>
      <c r="K848" t="s">
        <v>28</v>
      </c>
      <c r="L848">
        <v>2017</v>
      </c>
      <c r="M848" t="s">
        <v>38</v>
      </c>
      <c r="N848" t="s">
        <v>32</v>
      </c>
    </row>
    <row r="849" spans="1:14" x14ac:dyDescent="0.2">
      <c r="A849">
        <v>820549378</v>
      </c>
      <c r="B849" t="s">
        <v>42</v>
      </c>
      <c r="C849" t="s">
        <v>159</v>
      </c>
      <c r="D849" t="s">
        <v>564</v>
      </c>
      <c r="E849" s="8">
        <v>0.26</v>
      </c>
      <c r="F849" t="s">
        <v>487</v>
      </c>
      <c r="G849">
        <v>211</v>
      </c>
      <c r="H849" t="s">
        <v>35</v>
      </c>
      <c r="I849" t="s">
        <v>36</v>
      </c>
      <c r="J849" t="s">
        <v>37</v>
      </c>
      <c r="K849" t="s">
        <v>28</v>
      </c>
      <c r="L849">
        <v>2017</v>
      </c>
      <c r="M849" t="s">
        <v>38</v>
      </c>
      <c r="N849" t="s">
        <v>32</v>
      </c>
    </row>
    <row r="850" spans="1:14" x14ac:dyDescent="0.2">
      <c r="A850">
        <v>820549378</v>
      </c>
      <c r="B850" t="s">
        <v>42</v>
      </c>
      <c r="C850" t="s">
        <v>135</v>
      </c>
      <c r="D850" t="s">
        <v>565</v>
      </c>
      <c r="E850" s="8">
        <v>0.32</v>
      </c>
      <c r="F850" t="s">
        <v>487</v>
      </c>
      <c r="G850">
        <v>211</v>
      </c>
      <c r="H850" t="s">
        <v>35</v>
      </c>
      <c r="I850" t="s">
        <v>36</v>
      </c>
      <c r="J850" t="s">
        <v>37</v>
      </c>
      <c r="K850" t="s">
        <v>28</v>
      </c>
      <c r="L850">
        <v>2017</v>
      </c>
      <c r="M850" t="s">
        <v>38</v>
      </c>
      <c r="N850" t="s">
        <v>32</v>
      </c>
    </row>
    <row r="851" spans="1:14" x14ac:dyDescent="0.2">
      <c r="A851">
        <v>820549378</v>
      </c>
      <c r="B851" t="s">
        <v>42</v>
      </c>
      <c r="C851" t="s">
        <v>56</v>
      </c>
      <c r="D851" t="s">
        <v>565</v>
      </c>
      <c r="E851" s="8">
        <v>0.32000000000000006</v>
      </c>
      <c r="F851" t="s">
        <v>487</v>
      </c>
      <c r="G851">
        <v>211</v>
      </c>
      <c r="H851" t="s">
        <v>35</v>
      </c>
      <c r="I851" t="s">
        <v>36</v>
      </c>
      <c r="J851" t="s">
        <v>37</v>
      </c>
      <c r="K851" t="s">
        <v>28</v>
      </c>
      <c r="L851">
        <v>2017</v>
      </c>
      <c r="M851" t="s">
        <v>38</v>
      </c>
      <c r="N851" t="s">
        <v>32</v>
      </c>
    </row>
    <row r="852" spans="1:14" x14ac:dyDescent="0.2">
      <c r="A852">
        <v>820549378</v>
      </c>
      <c r="B852" t="s">
        <v>42</v>
      </c>
      <c r="C852" t="s">
        <v>155</v>
      </c>
      <c r="D852" t="s">
        <v>564</v>
      </c>
      <c r="E852" s="8">
        <v>0.26</v>
      </c>
      <c r="F852" t="s">
        <v>487</v>
      </c>
      <c r="G852">
        <v>211</v>
      </c>
      <c r="H852" t="s">
        <v>35</v>
      </c>
      <c r="I852" t="s">
        <v>36</v>
      </c>
      <c r="J852" t="s">
        <v>37</v>
      </c>
      <c r="K852" t="s">
        <v>28</v>
      </c>
      <c r="L852">
        <v>2017</v>
      </c>
      <c r="M852" t="s">
        <v>38</v>
      </c>
      <c r="N852" t="s">
        <v>32</v>
      </c>
    </row>
    <row r="853" spans="1:14" x14ac:dyDescent="0.2">
      <c r="A853">
        <v>820549378</v>
      </c>
      <c r="B853" t="s">
        <v>479</v>
      </c>
      <c r="C853" t="s">
        <v>57</v>
      </c>
      <c r="D853" t="s">
        <v>566</v>
      </c>
      <c r="E853" s="8">
        <v>0.46055555555555561</v>
      </c>
      <c r="F853" t="s">
        <v>487</v>
      </c>
      <c r="G853">
        <v>211</v>
      </c>
      <c r="H853" t="s">
        <v>35</v>
      </c>
      <c r="I853" t="s">
        <v>36</v>
      </c>
      <c r="J853" t="s">
        <v>37</v>
      </c>
      <c r="K853" t="s">
        <v>28</v>
      </c>
      <c r="L853">
        <v>2017</v>
      </c>
      <c r="M853" t="s">
        <v>38</v>
      </c>
      <c r="N853" t="s">
        <v>32</v>
      </c>
    </row>
    <row r="854" spans="1:14" x14ac:dyDescent="0.2">
      <c r="A854">
        <v>820549378</v>
      </c>
      <c r="B854" t="s">
        <v>479</v>
      </c>
      <c r="C854" t="s">
        <v>58</v>
      </c>
      <c r="D854" t="s">
        <v>567</v>
      </c>
      <c r="E854" s="8">
        <v>0.26</v>
      </c>
      <c r="F854" t="s">
        <v>487</v>
      </c>
      <c r="G854">
        <v>211</v>
      </c>
      <c r="H854" t="s">
        <v>35</v>
      </c>
      <c r="I854" t="s">
        <v>36</v>
      </c>
      <c r="J854" t="s">
        <v>37</v>
      </c>
      <c r="K854" t="s">
        <v>28</v>
      </c>
      <c r="L854">
        <v>2017</v>
      </c>
      <c r="M854" t="s">
        <v>38</v>
      </c>
      <c r="N854" t="s">
        <v>32</v>
      </c>
    </row>
    <row r="855" spans="1:14" x14ac:dyDescent="0.2">
      <c r="A855">
        <v>820549378</v>
      </c>
      <c r="B855" t="s">
        <v>480</v>
      </c>
      <c r="C855" t="s">
        <v>456</v>
      </c>
      <c r="D855" t="s">
        <v>568</v>
      </c>
      <c r="E855" s="8">
        <v>0.3</v>
      </c>
      <c r="F855" t="s">
        <v>487</v>
      </c>
      <c r="G855">
        <v>211</v>
      </c>
      <c r="H855" t="s">
        <v>35</v>
      </c>
      <c r="I855" t="s">
        <v>36</v>
      </c>
      <c r="J855" t="s">
        <v>37</v>
      </c>
      <c r="K855" t="s">
        <v>28</v>
      </c>
      <c r="L855">
        <v>2017</v>
      </c>
      <c r="M855" t="s">
        <v>38</v>
      </c>
      <c r="N855" t="s">
        <v>32</v>
      </c>
    </row>
    <row r="856" spans="1:14" x14ac:dyDescent="0.2">
      <c r="A856">
        <v>820549378</v>
      </c>
      <c r="B856" t="s">
        <v>480</v>
      </c>
      <c r="C856" t="s">
        <v>452</v>
      </c>
      <c r="D856" t="s">
        <v>568</v>
      </c>
      <c r="E856" s="8">
        <v>0.3</v>
      </c>
      <c r="F856" t="s">
        <v>487</v>
      </c>
      <c r="G856">
        <v>211</v>
      </c>
      <c r="H856" t="s">
        <v>35</v>
      </c>
      <c r="I856" t="s">
        <v>36</v>
      </c>
      <c r="J856" t="s">
        <v>37</v>
      </c>
      <c r="K856" t="s">
        <v>28</v>
      </c>
      <c r="L856">
        <v>2017</v>
      </c>
      <c r="M856" t="s">
        <v>38</v>
      </c>
      <c r="N856" t="s">
        <v>32</v>
      </c>
    </row>
    <row r="857" spans="1:14" x14ac:dyDescent="0.2">
      <c r="A857">
        <v>820549378</v>
      </c>
      <c r="B857" t="s">
        <v>481</v>
      </c>
      <c r="C857" t="s">
        <v>533</v>
      </c>
      <c r="D857" t="s">
        <v>569</v>
      </c>
      <c r="E857" s="8">
        <v>0.26</v>
      </c>
      <c r="F857" t="s">
        <v>487</v>
      </c>
      <c r="G857">
        <v>211</v>
      </c>
      <c r="H857" t="s">
        <v>35</v>
      </c>
      <c r="I857" t="s">
        <v>36</v>
      </c>
      <c r="J857" t="s">
        <v>37</v>
      </c>
      <c r="K857" t="s">
        <v>28</v>
      </c>
      <c r="L857">
        <v>2017</v>
      </c>
      <c r="M857" t="s">
        <v>38</v>
      </c>
      <c r="N857" t="s">
        <v>32</v>
      </c>
    </row>
    <row r="858" spans="1:14" x14ac:dyDescent="0.2">
      <c r="A858">
        <v>820549378</v>
      </c>
      <c r="B858" t="s">
        <v>481</v>
      </c>
      <c r="C858" t="s">
        <v>106</v>
      </c>
      <c r="D858" t="s">
        <v>569</v>
      </c>
      <c r="E858" s="8">
        <v>0.26</v>
      </c>
      <c r="F858" t="s">
        <v>487</v>
      </c>
      <c r="G858">
        <v>211</v>
      </c>
      <c r="H858" t="s">
        <v>35</v>
      </c>
      <c r="I858" t="s">
        <v>36</v>
      </c>
      <c r="J858" t="s">
        <v>37</v>
      </c>
      <c r="K858" t="s">
        <v>28</v>
      </c>
      <c r="L858">
        <v>2017</v>
      </c>
      <c r="M858" t="s">
        <v>38</v>
      </c>
      <c r="N858" t="s">
        <v>32</v>
      </c>
    </row>
    <row r="859" spans="1:14" x14ac:dyDescent="0.2">
      <c r="A859">
        <v>820549378</v>
      </c>
      <c r="B859" t="s">
        <v>43</v>
      </c>
      <c r="C859" t="s">
        <v>59</v>
      </c>
      <c r="D859" t="s">
        <v>570</v>
      </c>
      <c r="E859" s="8">
        <v>0.28400000000000003</v>
      </c>
      <c r="F859" t="s">
        <v>487</v>
      </c>
      <c r="G859">
        <v>211</v>
      </c>
      <c r="H859" t="s">
        <v>35</v>
      </c>
      <c r="I859" t="s">
        <v>36</v>
      </c>
      <c r="J859" t="s">
        <v>37</v>
      </c>
      <c r="K859" t="s">
        <v>28</v>
      </c>
      <c r="L859">
        <v>2017</v>
      </c>
      <c r="M859" t="s">
        <v>38</v>
      </c>
      <c r="N859" t="s">
        <v>32</v>
      </c>
    </row>
    <row r="860" spans="1:14" x14ac:dyDescent="0.2">
      <c r="A860">
        <v>820549378</v>
      </c>
      <c r="B860" t="s">
        <v>482</v>
      </c>
      <c r="C860" t="s">
        <v>436</v>
      </c>
      <c r="D860" t="s">
        <v>561</v>
      </c>
      <c r="E860" s="8">
        <v>0.49928571428571433</v>
      </c>
      <c r="F860" t="s">
        <v>487</v>
      </c>
      <c r="G860">
        <v>211</v>
      </c>
      <c r="H860" t="s">
        <v>35</v>
      </c>
      <c r="I860" t="s">
        <v>36</v>
      </c>
      <c r="J860" t="s">
        <v>37</v>
      </c>
      <c r="K860" t="s">
        <v>28</v>
      </c>
      <c r="L860">
        <v>2017</v>
      </c>
      <c r="M860" t="s">
        <v>38</v>
      </c>
      <c r="N860" t="s">
        <v>32</v>
      </c>
    </row>
    <row r="861" spans="1:14" x14ac:dyDescent="0.2">
      <c r="A861">
        <v>820549378</v>
      </c>
      <c r="B861" t="s">
        <v>482</v>
      </c>
      <c r="C861" t="s">
        <v>436</v>
      </c>
      <c r="D861" t="s">
        <v>561</v>
      </c>
      <c r="E861" s="8">
        <v>0.316</v>
      </c>
      <c r="F861" t="s">
        <v>487</v>
      </c>
      <c r="G861">
        <v>211</v>
      </c>
      <c r="H861" t="s">
        <v>35</v>
      </c>
      <c r="I861" t="s">
        <v>36</v>
      </c>
      <c r="J861" t="s">
        <v>37</v>
      </c>
      <c r="K861" t="s">
        <v>28</v>
      </c>
      <c r="L861">
        <v>2017</v>
      </c>
      <c r="M861" t="s">
        <v>38</v>
      </c>
      <c r="N861" t="s">
        <v>32</v>
      </c>
    </row>
    <row r="862" spans="1:14" x14ac:dyDescent="0.2">
      <c r="A862">
        <v>820549378</v>
      </c>
      <c r="B862" t="s">
        <v>483</v>
      </c>
      <c r="C862" t="s">
        <v>197</v>
      </c>
      <c r="D862" t="s">
        <v>556</v>
      </c>
      <c r="E862" s="8">
        <v>0.32</v>
      </c>
      <c r="F862" t="s">
        <v>487</v>
      </c>
      <c r="G862">
        <v>211</v>
      </c>
      <c r="H862" t="s">
        <v>35</v>
      </c>
      <c r="I862" t="s">
        <v>36</v>
      </c>
      <c r="J862" t="s">
        <v>37</v>
      </c>
      <c r="K862" t="s">
        <v>28</v>
      </c>
      <c r="L862">
        <v>2017</v>
      </c>
      <c r="M862" t="s">
        <v>38</v>
      </c>
      <c r="N862" t="s">
        <v>32</v>
      </c>
    </row>
    <row r="863" spans="1:14" x14ac:dyDescent="0.2">
      <c r="A863">
        <v>820549378</v>
      </c>
      <c r="B863" t="s">
        <v>483</v>
      </c>
      <c r="C863" t="s">
        <v>196</v>
      </c>
      <c r="D863" t="s">
        <v>557</v>
      </c>
      <c r="E863" s="8">
        <v>0.26</v>
      </c>
      <c r="F863" t="s">
        <v>487</v>
      </c>
      <c r="G863">
        <v>211</v>
      </c>
      <c r="H863" t="s">
        <v>35</v>
      </c>
      <c r="I863" t="s">
        <v>36</v>
      </c>
      <c r="J863" t="s">
        <v>37</v>
      </c>
      <c r="K863" t="s">
        <v>28</v>
      </c>
      <c r="L863">
        <v>2017</v>
      </c>
      <c r="M863" t="s">
        <v>38</v>
      </c>
      <c r="N863" t="s">
        <v>32</v>
      </c>
    </row>
    <row r="864" spans="1:14" x14ac:dyDescent="0.2">
      <c r="A864">
        <v>820549378</v>
      </c>
      <c r="B864" t="s">
        <v>483</v>
      </c>
      <c r="C864" t="s">
        <v>197</v>
      </c>
      <c r="D864" t="s">
        <v>556</v>
      </c>
      <c r="E864" s="8">
        <v>0.3</v>
      </c>
      <c r="F864" t="s">
        <v>487</v>
      </c>
      <c r="G864">
        <v>211</v>
      </c>
      <c r="H864" t="s">
        <v>35</v>
      </c>
      <c r="I864" t="s">
        <v>36</v>
      </c>
      <c r="J864" t="s">
        <v>37</v>
      </c>
      <c r="K864" t="s">
        <v>28</v>
      </c>
      <c r="L864">
        <v>2017</v>
      </c>
      <c r="M864" t="s">
        <v>38</v>
      </c>
      <c r="N864" t="s">
        <v>32</v>
      </c>
    </row>
    <row r="865" spans="1:14" x14ac:dyDescent="0.2">
      <c r="A865">
        <v>820549378</v>
      </c>
      <c r="B865" t="s">
        <v>483</v>
      </c>
      <c r="C865" t="s">
        <v>196</v>
      </c>
      <c r="D865" t="s">
        <v>557</v>
      </c>
      <c r="E865" s="8">
        <v>0.36799999999999999</v>
      </c>
      <c r="F865" t="s">
        <v>487</v>
      </c>
      <c r="G865">
        <v>211</v>
      </c>
      <c r="H865" t="s">
        <v>35</v>
      </c>
      <c r="I865" t="s">
        <v>36</v>
      </c>
      <c r="J865" t="s">
        <v>37</v>
      </c>
      <c r="K865" t="s">
        <v>28</v>
      </c>
      <c r="L865">
        <v>2017</v>
      </c>
      <c r="M865" t="s">
        <v>38</v>
      </c>
      <c r="N865" t="s">
        <v>32</v>
      </c>
    </row>
    <row r="866" spans="1:14" x14ac:dyDescent="0.2">
      <c r="A866">
        <v>820549378</v>
      </c>
      <c r="B866" t="s">
        <v>483</v>
      </c>
      <c r="C866" t="s">
        <v>197</v>
      </c>
      <c r="D866" t="s">
        <v>556</v>
      </c>
      <c r="E866" s="8">
        <v>0.44</v>
      </c>
      <c r="F866" t="s">
        <v>487</v>
      </c>
      <c r="G866">
        <v>211</v>
      </c>
      <c r="H866" t="s">
        <v>35</v>
      </c>
      <c r="I866" t="s">
        <v>36</v>
      </c>
      <c r="J866" t="s">
        <v>37</v>
      </c>
      <c r="K866" t="s">
        <v>28</v>
      </c>
      <c r="L866">
        <v>2017</v>
      </c>
      <c r="M866" t="s">
        <v>38</v>
      </c>
      <c r="N866" t="s">
        <v>32</v>
      </c>
    </row>
    <row r="867" spans="1:14" x14ac:dyDescent="0.2">
      <c r="A867">
        <v>820549378</v>
      </c>
      <c r="B867" t="s">
        <v>484</v>
      </c>
      <c r="C867" t="s">
        <v>497</v>
      </c>
      <c r="D867" t="s">
        <v>558</v>
      </c>
      <c r="E867" s="8">
        <v>0.3</v>
      </c>
      <c r="F867" t="s">
        <v>487</v>
      </c>
      <c r="G867">
        <v>211</v>
      </c>
      <c r="H867" t="s">
        <v>35</v>
      </c>
      <c r="I867" t="s">
        <v>36</v>
      </c>
      <c r="J867" t="s">
        <v>37</v>
      </c>
      <c r="K867" t="s">
        <v>28</v>
      </c>
      <c r="L867">
        <v>2017</v>
      </c>
      <c r="M867" t="s">
        <v>38</v>
      </c>
      <c r="N867" t="s">
        <v>32</v>
      </c>
    </row>
    <row r="868" spans="1:14" x14ac:dyDescent="0.2">
      <c r="A868">
        <v>820549378</v>
      </c>
      <c r="B868" t="s">
        <v>484</v>
      </c>
      <c r="C868" t="s">
        <v>500</v>
      </c>
      <c r="D868" t="s">
        <v>558</v>
      </c>
      <c r="E868" s="8">
        <v>0.4375</v>
      </c>
      <c r="F868" t="s">
        <v>487</v>
      </c>
      <c r="G868">
        <v>211</v>
      </c>
      <c r="H868" t="s">
        <v>35</v>
      </c>
      <c r="I868" t="s">
        <v>36</v>
      </c>
      <c r="J868" t="s">
        <v>37</v>
      </c>
      <c r="K868" t="s">
        <v>28</v>
      </c>
      <c r="L868">
        <v>2017</v>
      </c>
      <c r="M868" t="s">
        <v>38</v>
      </c>
      <c r="N868" t="s">
        <v>32</v>
      </c>
    </row>
    <row r="869" spans="1:14" x14ac:dyDescent="0.2">
      <c r="A869">
        <v>820549378</v>
      </c>
      <c r="B869" t="s">
        <v>484</v>
      </c>
      <c r="C869" t="s">
        <v>501</v>
      </c>
      <c r="D869" t="s">
        <v>558</v>
      </c>
      <c r="E869" s="8">
        <v>0.40500000000000008</v>
      </c>
      <c r="F869" t="s">
        <v>487</v>
      </c>
      <c r="G869">
        <v>211</v>
      </c>
      <c r="H869" t="s">
        <v>35</v>
      </c>
      <c r="I869" t="s">
        <v>36</v>
      </c>
      <c r="J869" t="s">
        <v>37</v>
      </c>
      <c r="K869" t="s">
        <v>28</v>
      </c>
      <c r="L869">
        <v>2017</v>
      </c>
      <c r="M869" t="s">
        <v>38</v>
      </c>
      <c r="N869" t="s">
        <v>32</v>
      </c>
    </row>
    <row r="870" spans="1:14" x14ac:dyDescent="0.2">
      <c r="A870">
        <v>820549378</v>
      </c>
      <c r="B870" t="s">
        <v>485</v>
      </c>
      <c r="C870" t="s">
        <v>346</v>
      </c>
      <c r="D870" t="s">
        <v>559</v>
      </c>
      <c r="E870" s="8">
        <v>0.26</v>
      </c>
      <c r="F870" t="s">
        <v>487</v>
      </c>
      <c r="G870">
        <v>211</v>
      </c>
      <c r="H870" t="s">
        <v>35</v>
      </c>
      <c r="I870" t="s">
        <v>36</v>
      </c>
      <c r="J870" t="s">
        <v>37</v>
      </c>
      <c r="K870" t="s">
        <v>28</v>
      </c>
      <c r="L870">
        <v>2017</v>
      </c>
      <c r="M870" t="s">
        <v>38</v>
      </c>
      <c r="N870" t="s">
        <v>32</v>
      </c>
    </row>
    <row r="871" spans="1:14" x14ac:dyDescent="0.2">
      <c r="A871">
        <v>820549378</v>
      </c>
      <c r="B871" t="s">
        <v>485</v>
      </c>
      <c r="C871" t="s">
        <v>342</v>
      </c>
      <c r="D871" t="s">
        <v>559</v>
      </c>
      <c r="E871" s="8">
        <v>0.52374999999999994</v>
      </c>
      <c r="F871" t="s">
        <v>487</v>
      </c>
      <c r="G871">
        <v>211</v>
      </c>
      <c r="H871" t="s">
        <v>35</v>
      </c>
      <c r="I871" t="s">
        <v>36</v>
      </c>
      <c r="J871" t="s">
        <v>37</v>
      </c>
      <c r="K871" t="s">
        <v>28</v>
      </c>
      <c r="L871">
        <v>2017</v>
      </c>
      <c r="M871" t="s">
        <v>38</v>
      </c>
      <c r="N871" t="s">
        <v>32</v>
      </c>
    </row>
    <row r="872" spans="1:14" x14ac:dyDescent="0.2">
      <c r="A872">
        <v>837310284</v>
      </c>
      <c r="B872" t="s">
        <v>478</v>
      </c>
      <c r="C872" t="s">
        <v>276</v>
      </c>
      <c r="D872" t="s">
        <v>546</v>
      </c>
      <c r="E872" s="8">
        <v>0.36666666666666664</v>
      </c>
      <c r="F872" t="s">
        <v>487</v>
      </c>
      <c r="G872">
        <v>211</v>
      </c>
      <c r="H872" t="s">
        <v>35</v>
      </c>
      <c r="I872" t="s">
        <v>36</v>
      </c>
      <c r="J872" t="s">
        <v>37</v>
      </c>
      <c r="K872" t="s">
        <v>28</v>
      </c>
      <c r="L872">
        <v>2017</v>
      </c>
      <c r="M872" t="s">
        <v>38</v>
      </c>
      <c r="N872" t="s">
        <v>32</v>
      </c>
    </row>
    <row r="873" spans="1:14" x14ac:dyDescent="0.2">
      <c r="A873">
        <v>837310284</v>
      </c>
      <c r="B873" t="s">
        <v>478</v>
      </c>
      <c r="C873" t="s">
        <v>247</v>
      </c>
      <c r="D873" t="s">
        <v>546</v>
      </c>
      <c r="E873" s="8">
        <v>0.27</v>
      </c>
      <c r="F873" t="s">
        <v>487</v>
      </c>
      <c r="G873">
        <v>211</v>
      </c>
      <c r="H873" t="s">
        <v>35</v>
      </c>
      <c r="I873" t="s">
        <v>36</v>
      </c>
      <c r="J873" t="s">
        <v>37</v>
      </c>
      <c r="K873" t="s">
        <v>28</v>
      </c>
      <c r="L873">
        <v>2017</v>
      </c>
      <c r="M873" t="s">
        <v>38</v>
      </c>
      <c r="N873" t="s">
        <v>32</v>
      </c>
    </row>
    <row r="874" spans="1:14" x14ac:dyDescent="0.2">
      <c r="A874">
        <v>837310284</v>
      </c>
      <c r="B874" t="s">
        <v>40</v>
      </c>
      <c r="C874" t="s">
        <v>435</v>
      </c>
      <c r="D874" t="s">
        <v>560</v>
      </c>
      <c r="E874" s="8">
        <v>0.45</v>
      </c>
      <c r="F874" t="s">
        <v>487</v>
      </c>
      <c r="G874">
        <v>211</v>
      </c>
      <c r="H874" t="s">
        <v>35</v>
      </c>
      <c r="I874" t="s">
        <v>36</v>
      </c>
      <c r="J874" t="s">
        <v>37</v>
      </c>
      <c r="K874" t="s">
        <v>28</v>
      </c>
      <c r="L874">
        <v>2017</v>
      </c>
      <c r="M874" t="s">
        <v>38</v>
      </c>
      <c r="N874" t="s">
        <v>32</v>
      </c>
    </row>
    <row r="875" spans="1:14" x14ac:dyDescent="0.2">
      <c r="A875">
        <v>837310284</v>
      </c>
      <c r="B875" t="s">
        <v>40</v>
      </c>
      <c r="C875" t="s">
        <v>393</v>
      </c>
      <c r="D875" t="s">
        <v>560</v>
      </c>
      <c r="E875" s="8">
        <v>0.4366666666666667</v>
      </c>
      <c r="F875" t="s">
        <v>487</v>
      </c>
      <c r="G875">
        <v>211</v>
      </c>
      <c r="H875" t="s">
        <v>35</v>
      </c>
      <c r="I875" t="s">
        <v>36</v>
      </c>
      <c r="J875" t="s">
        <v>37</v>
      </c>
      <c r="K875" t="s">
        <v>28</v>
      </c>
      <c r="L875">
        <v>2017</v>
      </c>
      <c r="M875" t="s">
        <v>38</v>
      </c>
      <c r="N875" t="s">
        <v>32</v>
      </c>
    </row>
    <row r="876" spans="1:14" x14ac:dyDescent="0.2">
      <c r="A876">
        <v>837310284</v>
      </c>
      <c r="B876" t="s">
        <v>41</v>
      </c>
      <c r="C876" t="s">
        <v>212</v>
      </c>
      <c r="D876" t="s">
        <v>562</v>
      </c>
      <c r="E876" s="8">
        <v>0.42750000000000005</v>
      </c>
      <c r="F876" t="s">
        <v>487</v>
      </c>
      <c r="G876">
        <v>211</v>
      </c>
      <c r="H876" t="s">
        <v>35</v>
      </c>
      <c r="I876" t="s">
        <v>36</v>
      </c>
      <c r="J876" t="s">
        <v>37</v>
      </c>
      <c r="K876" t="s">
        <v>28</v>
      </c>
      <c r="L876">
        <v>2017</v>
      </c>
      <c r="M876" t="s">
        <v>38</v>
      </c>
      <c r="N876" t="s">
        <v>32</v>
      </c>
    </row>
    <row r="877" spans="1:14" x14ac:dyDescent="0.2">
      <c r="A877">
        <v>837310284</v>
      </c>
      <c r="B877" t="s">
        <v>41</v>
      </c>
      <c r="C877" t="s">
        <v>207</v>
      </c>
      <c r="D877" t="s">
        <v>562</v>
      </c>
      <c r="E877" s="8">
        <v>0.41333333333333333</v>
      </c>
      <c r="F877" t="s">
        <v>487</v>
      </c>
      <c r="G877">
        <v>211</v>
      </c>
      <c r="H877" t="s">
        <v>35</v>
      </c>
      <c r="I877" t="s">
        <v>36</v>
      </c>
      <c r="J877" t="s">
        <v>37</v>
      </c>
      <c r="K877" t="s">
        <v>28</v>
      </c>
      <c r="L877">
        <v>2017</v>
      </c>
      <c r="M877" t="s">
        <v>38</v>
      </c>
      <c r="N877" t="s">
        <v>32</v>
      </c>
    </row>
    <row r="878" spans="1:14" x14ac:dyDescent="0.2">
      <c r="A878">
        <v>837310284</v>
      </c>
      <c r="B878" t="s">
        <v>41</v>
      </c>
      <c r="C878" t="s">
        <v>221</v>
      </c>
      <c r="D878" t="s">
        <v>563</v>
      </c>
      <c r="E878" s="8">
        <v>0.24000000000000002</v>
      </c>
      <c r="F878" t="s">
        <v>487</v>
      </c>
      <c r="G878">
        <v>211</v>
      </c>
      <c r="H878" t="s">
        <v>35</v>
      </c>
      <c r="I878" t="s">
        <v>36</v>
      </c>
      <c r="J878" t="s">
        <v>37</v>
      </c>
      <c r="K878" t="s">
        <v>28</v>
      </c>
      <c r="L878">
        <v>2017</v>
      </c>
      <c r="M878" t="s">
        <v>38</v>
      </c>
      <c r="N878" t="s">
        <v>32</v>
      </c>
    </row>
    <row r="879" spans="1:14" x14ac:dyDescent="0.2">
      <c r="A879">
        <v>837310284</v>
      </c>
      <c r="B879" t="s">
        <v>42</v>
      </c>
      <c r="C879" t="s">
        <v>159</v>
      </c>
      <c r="D879" t="s">
        <v>564</v>
      </c>
      <c r="E879" s="8">
        <v>0.36</v>
      </c>
      <c r="F879" t="s">
        <v>487</v>
      </c>
      <c r="G879">
        <v>211</v>
      </c>
      <c r="H879" t="s">
        <v>35</v>
      </c>
      <c r="I879" t="s">
        <v>36</v>
      </c>
      <c r="J879" t="s">
        <v>37</v>
      </c>
      <c r="K879" t="s">
        <v>28</v>
      </c>
      <c r="L879">
        <v>2017</v>
      </c>
      <c r="M879" t="s">
        <v>38</v>
      </c>
      <c r="N879" t="s">
        <v>32</v>
      </c>
    </row>
    <row r="880" spans="1:14" x14ac:dyDescent="0.2">
      <c r="A880">
        <v>837310284</v>
      </c>
      <c r="B880" t="s">
        <v>42</v>
      </c>
      <c r="C880" t="s">
        <v>135</v>
      </c>
      <c r="D880" t="s">
        <v>565</v>
      </c>
      <c r="E880" s="8">
        <v>0.45</v>
      </c>
      <c r="F880" t="s">
        <v>487</v>
      </c>
      <c r="G880">
        <v>211</v>
      </c>
      <c r="H880" t="s">
        <v>35</v>
      </c>
      <c r="I880" t="s">
        <v>36</v>
      </c>
      <c r="J880" t="s">
        <v>37</v>
      </c>
      <c r="K880" t="s">
        <v>28</v>
      </c>
      <c r="L880">
        <v>2017</v>
      </c>
      <c r="M880" t="s">
        <v>38</v>
      </c>
      <c r="N880" t="s">
        <v>32</v>
      </c>
    </row>
    <row r="881" spans="1:14" x14ac:dyDescent="0.2">
      <c r="A881">
        <v>837310284</v>
      </c>
      <c r="B881" t="s">
        <v>42</v>
      </c>
      <c r="C881" t="s">
        <v>56</v>
      </c>
      <c r="D881" t="s">
        <v>565</v>
      </c>
      <c r="E881" s="8">
        <v>0.45</v>
      </c>
      <c r="F881" t="s">
        <v>487</v>
      </c>
      <c r="G881">
        <v>211</v>
      </c>
      <c r="H881" t="s">
        <v>35</v>
      </c>
      <c r="I881" t="s">
        <v>36</v>
      </c>
      <c r="J881" t="s">
        <v>37</v>
      </c>
      <c r="K881" t="s">
        <v>28</v>
      </c>
      <c r="L881">
        <v>2017</v>
      </c>
      <c r="M881" t="s">
        <v>38</v>
      </c>
      <c r="N881" t="s">
        <v>32</v>
      </c>
    </row>
    <row r="882" spans="1:14" x14ac:dyDescent="0.2">
      <c r="A882">
        <v>837310284</v>
      </c>
      <c r="B882" t="s">
        <v>42</v>
      </c>
      <c r="C882" t="s">
        <v>155</v>
      </c>
      <c r="D882" t="s">
        <v>564</v>
      </c>
      <c r="E882" s="8">
        <v>0.36</v>
      </c>
      <c r="F882" t="s">
        <v>487</v>
      </c>
      <c r="G882">
        <v>211</v>
      </c>
      <c r="H882" t="s">
        <v>35</v>
      </c>
      <c r="I882" t="s">
        <v>36</v>
      </c>
      <c r="J882" t="s">
        <v>37</v>
      </c>
      <c r="K882" t="s">
        <v>28</v>
      </c>
      <c r="L882">
        <v>2017</v>
      </c>
      <c r="M882" t="s">
        <v>38</v>
      </c>
      <c r="N882" t="s">
        <v>32</v>
      </c>
    </row>
    <row r="883" spans="1:14" x14ac:dyDescent="0.2">
      <c r="A883">
        <v>837310284</v>
      </c>
      <c r="B883" t="s">
        <v>479</v>
      </c>
      <c r="C883" t="s">
        <v>57</v>
      </c>
      <c r="D883" t="s">
        <v>566</v>
      </c>
      <c r="E883" s="8">
        <v>0.39777777777777784</v>
      </c>
      <c r="F883" t="s">
        <v>487</v>
      </c>
      <c r="G883">
        <v>211</v>
      </c>
      <c r="H883" t="s">
        <v>35</v>
      </c>
      <c r="I883" t="s">
        <v>36</v>
      </c>
      <c r="J883" t="s">
        <v>37</v>
      </c>
      <c r="K883" t="s">
        <v>28</v>
      </c>
      <c r="L883">
        <v>2017</v>
      </c>
      <c r="M883" t="s">
        <v>38</v>
      </c>
      <c r="N883" t="s">
        <v>32</v>
      </c>
    </row>
    <row r="884" spans="1:14" x14ac:dyDescent="0.2">
      <c r="A884">
        <v>837310284</v>
      </c>
      <c r="B884" t="s">
        <v>479</v>
      </c>
      <c r="C884" t="s">
        <v>58</v>
      </c>
      <c r="D884" t="s">
        <v>567</v>
      </c>
      <c r="E884" s="8">
        <v>0.36</v>
      </c>
      <c r="F884" t="s">
        <v>487</v>
      </c>
      <c r="G884">
        <v>211</v>
      </c>
      <c r="H884" t="s">
        <v>35</v>
      </c>
      <c r="I884" t="s">
        <v>36</v>
      </c>
      <c r="J884" t="s">
        <v>37</v>
      </c>
      <c r="K884" t="s">
        <v>28</v>
      </c>
      <c r="L884">
        <v>2017</v>
      </c>
      <c r="M884" t="s">
        <v>38</v>
      </c>
      <c r="N884" t="s">
        <v>32</v>
      </c>
    </row>
    <row r="885" spans="1:14" x14ac:dyDescent="0.2">
      <c r="A885">
        <v>837310284</v>
      </c>
      <c r="B885" t="s">
        <v>480</v>
      </c>
      <c r="C885" t="s">
        <v>456</v>
      </c>
      <c r="D885" t="s">
        <v>568</v>
      </c>
      <c r="E885" s="8">
        <v>0.42</v>
      </c>
      <c r="F885" t="s">
        <v>487</v>
      </c>
      <c r="G885">
        <v>211</v>
      </c>
      <c r="H885" t="s">
        <v>35</v>
      </c>
      <c r="I885" t="s">
        <v>36</v>
      </c>
      <c r="J885" t="s">
        <v>37</v>
      </c>
      <c r="K885" t="s">
        <v>28</v>
      </c>
      <c r="L885">
        <v>2017</v>
      </c>
      <c r="M885" t="s">
        <v>38</v>
      </c>
      <c r="N885" t="s">
        <v>32</v>
      </c>
    </row>
    <row r="886" spans="1:14" x14ac:dyDescent="0.2">
      <c r="A886">
        <v>837310284</v>
      </c>
      <c r="B886" t="s">
        <v>480</v>
      </c>
      <c r="C886" t="s">
        <v>452</v>
      </c>
      <c r="D886" t="s">
        <v>568</v>
      </c>
      <c r="E886" s="8">
        <v>0.42</v>
      </c>
      <c r="F886" t="s">
        <v>487</v>
      </c>
      <c r="G886">
        <v>211</v>
      </c>
      <c r="H886" t="s">
        <v>35</v>
      </c>
      <c r="I886" t="s">
        <v>36</v>
      </c>
      <c r="J886" t="s">
        <v>37</v>
      </c>
      <c r="K886" t="s">
        <v>28</v>
      </c>
      <c r="L886">
        <v>2017</v>
      </c>
      <c r="M886" t="s">
        <v>38</v>
      </c>
      <c r="N886" t="s">
        <v>32</v>
      </c>
    </row>
    <row r="887" spans="1:14" x14ac:dyDescent="0.2">
      <c r="A887">
        <v>837310284</v>
      </c>
      <c r="B887" t="s">
        <v>481</v>
      </c>
      <c r="C887" t="s">
        <v>533</v>
      </c>
      <c r="D887" t="s">
        <v>569</v>
      </c>
      <c r="E887" s="8">
        <v>0.36</v>
      </c>
      <c r="F887" t="s">
        <v>487</v>
      </c>
      <c r="G887">
        <v>211</v>
      </c>
      <c r="H887" t="s">
        <v>35</v>
      </c>
      <c r="I887" t="s">
        <v>36</v>
      </c>
      <c r="J887" t="s">
        <v>37</v>
      </c>
      <c r="K887" t="s">
        <v>28</v>
      </c>
      <c r="L887">
        <v>2017</v>
      </c>
      <c r="M887" t="s">
        <v>38</v>
      </c>
      <c r="N887" t="s">
        <v>32</v>
      </c>
    </row>
    <row r="888" spans="1:14" x14ac:dyDescent="0.2">
      <c r="A888">
        <v>837310284</v>
      </c>
      <c r="B888" t="s">
        <v>481</v>
      </c>
      <c r="C888" t="s">
        <v>106</v>
      </c>
      <c r="D888" t="s">
        <v>569</v>
      </c>
      <c r="E888" s="8">
        <v>0.36</v>
      </c>
      <c r="F888" t="s">
        <v>487</v>
      </c>
      <c r="G888">
        <v>211</v>
      </c>
      <c r="H888" t="s">
        <v>35</v>
      </c>
      <c r="I888" t="s">
        <v>36</v>
      </c>
      <c r="J888" t="s">
        <v>37</v>
      </c>
      <c r="K888" t="s">
        <v>28</v>
      </c>
      <c r="L888">
        <v>2017</v>
      </c>
      <c r="M888" t="s">
        <v>38</v>
      </c>
      <c r="N888" t="s">
        <v>32</v>
      </c>
    </row>
    <row r="889" spans="1:14" x14ac:dyDescent="0.2">
      <c r="A889">
        <v>837310284</v>
      </c>
      <c r="B889" t="s">
        <v>43</v>
      </c>
      <c r="C889" t="s">
        <v>59</v>
      </c>
      <c r="D889" t="s">
        <v>570</v>
      </c>
      <c r="E889" s="8">
        <v>0.39600000000000002</v>
      </c>
      <c r="F889" t="s">
        <v>487</v>
      </c>
      <c r="G889">
        <v>211</v>
      </c>
      <c r="H889" t="s">
        <v>35</v>
      </c>
      <c r="I889" t="s">
        <v>36</v>
      </c>
      <c r="J889" t="s">
        <v>37</v>
      </c>
      <c r="K889" t="s">
        <v>28</v>
      </c>
      <c r="L889">
        <v>2017</v>
      </c>
      <c r="M889" t="s">
        <v>38</v>
      </c>
      <c r="N889" t="s">
        <v>32</v>
      </c>
    </row>
    <row r="890" spans="1:14" x14ac:dyDescent="0.2">
      <c r="A890">
        <v>837310284</v>
      </c>
      <c r="B890" t="s">
        <v>482</v>
      </c>
      <c r="C890" t="s">
        <v>436</v>
      </c>
      <c r="D890" t="s">
        <v>561</v>
      </c>
      <c r="E890" s="8">
        <v>0.35</v>
      </c>
      <c r="F890" t="s">
        <v>487</v>
      </c>
      <c r="G890">
        <v>211</v>
      </c>
      <c r="H890" t="s">
        <v>35</v>
      </c>
      <c r="I890" t="s">
        <v>36</v>
      </c>
      <c r="J890" t="s">
        <v>37</v>
      </c>
      <c r="K890" t="s">
        <v>28</v>
      </c>
      <c r="L890">
        <v>2017</v>
      </c>
      <c r="M890" t="s">
        <v>38</v>
      </c>
      <c r="N890" t="s">
        <v>32</v>
      </c>
    </row>
    <row r="891" spans="1:14" x14ac:dyDescent="0.2">
      <c r="A891">
        <v>837310284</v>
      </c>
      <c r="B891" t="s">
        <v>482</v>
      </c>
      <c r="C891" t="s">
        <v>436</v>
      </c>
      <c r="D891" t="s">
        <v>561</v>
      </c>
      <c r="E891" s="8">
        <v>0.44</v>
      </c>
      <c r="F891" t="s">
        <v>487</v>
      </c>
      <c r="G891">
        <v>211</v>
      </c>
      <c r="H891" t="s">
        <v>35</v>
      </c>
      <c r="I891" t="s">
        <v>36</v>
      </c>
      <c r="J891" t="s">
        <v>37</v>
      </c>
      <c r="K891" t="s">
        <v>28</v>
      </c>
      <c r="L891">
        <v>2017</v>
      </c>
      <c r="M891" t="s">
        <v>38</v>
      </c>
      <c r="N891" t="s">
        <v>32</v>
      </c>
    </row>
    <row r="892" spans="1:14" x14ac:dyDescent="0.2">
      <c r="A892">
        <v>837310284</v>
      </c>
      <c r="B892" t="s">
        <v>483</v>
      </c>
      <c r="C892" t="s">
        <v>197</v>
      </c>
      <c r="D892" t="s">
        <v>556</v>
      </c>
      <c r="E892" s="8">
        <v>0.45</v>
      </c>
      <c r="F892" t="s">
        <v>487</v>
      </c>
      <c r="G892">
        <v>211</v>
      </c>
      <c r="H892" t="s">
        <v>35</v>
      </c>
      <c r="I892" t="s">
        <v>36</v>
      </c>
      <c r="J892" t="s">
        <v>37</v>
      </c>
      <c r="K892" t="s">
        <v>28</v>
      </c>
      <c r="L892">
        <v>2017</v>
      </c>
      <c r="M892" t="s">
        <v>38</v>
      </c>
      <c r="N892" t="s">
        <v>32</v>
      </c>
    </row>
    <row r="893" spans="1:14" x14ac:dyDescent="0.2">
      <c r="A893">
        <v>837310284</v>
      </c>
      <c r="B893" t="s">
        <v>483</v>
      </c>
      <c r="C893" t="s">
        <v>196</v>
      </c>
      <c r="D893" t="s">
        <v>557</v>
      </c>
      <c r="E893" s="8">
        <v>0.36</v>
      </c>
      <c r="F893" t="s">
        <v>487</v>
      </c>
      <c r="G893">
        <v>211</v>
      </c>
      <c r="H893" t="s">
        <v>35</v>
      </c>
      <c r="I893" t="s">
        <v>36</v>
      </c>
      <c r="J893" t="s">
        <v>37</v>
      </c>
      <c r="K893" t="s">
        <v>28</v>
      </c>
      <c r="L893">
        <v>2017</v>
      </c>
      <c r="M893" t="s">
        <v>38</v>
      </c>
      <c r="N893" t="s">
        <v>32</v>
      </c>
    </row>
    <row r="894" spans="1:14" x14ac:dyDescent="0.2">
      <c r="A894">
        <v>837310284</v>
      </c>
      <c r="B894" t="s">
        <v>483</v>
      </c>
      <c r="C894" t="s">
        <v>197</v>
      </c>
      <c r="D894" t="s">
        <v>556</v>
      </c>
      <c r="E894" s="8">
        <v>0.42</v>
      </c>
      <c r="F894" t="s">
        <v>487</v>
      </c>
      <c r="G894">
        <v>211</v>
      </c>
      <c r="H894" t="s">
        <v>35</v>
      </c>
      <c r="I894" t="s">
        <v>36</v>
      </c>
      <c r="J894" t="s">
        <v>37</v>
      </c>
      <c r="K894" t="s">
        <v>28</v>
      </c>
      <c r="L894">
        <v>2017</v>
      </c>
      <c r="M894" t="s">
        <v>38</v>
      </c>
      <c r="N894" t="s">
        <v>32</v>
      </c>
    </row>
    <row r="895" spans="1:14" x14ac:dyDescent="0.2">
      <c r="A895">
        <v>837310284</v>
      </c>
      <c r="B895" t="s">
        <v>483</v>
      </c>
      <c r="C895" t="s">
        <v>196</v>
      </c>
      <c r="D895" t="s">
        <v>557</v>
      </c>
      <c r="E895" s="8">
        <v>0.28800000000000003</v>
      </c>
      <c r="F895" t="s">
        <v>487</v>
      </c>
      <c r="G895">
        <v>211</v>
      </c>
      <c r="H895" t="s">
        <v>35</v>
      </c>
      <c r="I895" t="s">
        <v>36</v>
      </c>
      <c r="J895" t="s">
        <v>37</v>
      </c>
      <c r="K895" t="s">
        <v>28</v>
      </c>
      <c r="L895">
        <v>2017</v>
      </c>
      <c r="M895" t="s">
        <v>38</v>
      </c>
      <c r="N895" t="s">
        <v>32</v>
      </c>
    </row>
    <row r="896" spans="1:14" x14ac:dyDescent="0.2">
      <c r="A896">
        <v>837310284</v>
      </c>
      <c r="B896" t="s">
        <v>483</v>
      </c>
      <c r="C896" t="s">
        <v>197</v>
      </c>
      <c r="D896" t="s">
        <v>556</v>
      </c>
      <c r="E896" s="8">
        <v>0.24000000000000002</v>
      </c>
      <c r="F896" t="s">
        <v>487</v>
      </c>
      <c r="G896">
        <v>211</v>
      </c>
      <c r="H896" t="s">
        <v>35</v>
      </c>
      <c r="I896" t="s">
        <v>36</v>
      </c>
      <c r="J896" t="s">
        <v>37</v>
      </c>
      <c r="K896" t="s">
        <v>28</v>
      </c>
      <c r="L896">
        <v>2017</v>
      </c>
      <c r="M896" t="s">
        <v>38</v>
      </c>
      <c r="N896" t="s">
        <v>32</v>
      </c>
    </row>
    <row r="897" spans="1:14" x14ac:dyDescent="0.2">
      <c r="A897">
        <v>837310284</v>
      </c>
      <c r="B897" t="s">
        <v>484</v>
      </c>
      <c r="C897" t="s">
        <v>497</v>
      </c>
      <c r="D897" t="s">
        <v>558</v>
      </c>
      <c r="E897" s="8">
        <v>0.42</v>
      </c>
      <c r="F897" t="s">
        <v>487</v>
      </c>
      <c r="G897">
        <v>211</v>
      </c>
      <c r="H897" t="s">
        <v>35</v>
      </c>
      <c r="I897" t="s">
        <v>36</v>
      </c>
      <c r="J897" t="s">
        <v>37</v>
      </c>
      <c r="K897" t="s">
        <v>28</v>
      </c>
      <c r="L897">
        <v>2017</v>
      </c>
      <c r="M897" t="s">
        <v>38</v>
      </c>
      <c r="N897" t="s">
        <v>32</v>
      </c>
    </row>
    <row r="898" spans="1:14" x14ac:dyDescent="0.2">
      <c r="A898">
        <v>837310284</v>
      </c>
      <c r="B898" t="s">
        <v>484</v>
      </c>
      <c r="C898" t="s">
        <v>500</v>
      </c>
      <c r="D898" t="s">
        <v>558</v>
      </c>
      <c r="E898" s="8">
        <v>0.45250000000000001</v>
      </c>
      <c r="F898" t="s">
        <v>487</v>
      </c>
      <c r="G898">
        <v>211</v>
      </c>
      <c r="H898" t="s">
        <v>35</v>
      </c>
      <c r="I898" t="s">
        <v>36</v>
      </c>
      <c r="J898" t="s">
        <v>37</v>
      </c>
      <c r="K898" t="s">
        <v>28</v>
      </c>
      <c r="L898">
        <v>2017</v>
      </c>
      <c r="M898" t="s">
        <v>38</v>
      </c>
      <c r="N898" t="s">
        <v>32</v>
      </c>
    </row>
    <row r="899" spans="1:14" x14ac:dyDescent="0.2">
      <c r="A899">
        <v>837310284</v>
      </c>
      <c r="B899" t="s">
        <v>484</v>
      </c>
      <c r="C899" t="s">
        <v>501</v>
      </c>
      <c r="D899" t="s">
        <v>558</v>
      </c>
      <c r="E899" s="8">
        <v>0.315</v>
      </c>
      <c r="F899" t="s">
        <v>487</v>
      </c>
      <c r="G899">
        <v>211</v>
      </c>
      <c r="H899" t="s">
        <v>35</v>
      </c>
      <c r="I899" t="s">
        <v>36</v>
      </c>
      <c r="J899" t="s">
        <v>37</v>
      </c>
      <c r="K899" t="s">
        <v>28</v>
      </c>
      <c r="L899">
        <v>2017</v>
      </c>
      <c r="M899" t="s">
        <v>38</v>
      </c>
      <c r="N899" t="s">
        <v>32</v>
      </c>
    </row>
    <row r="900" spans="1:14" x14ac:dyDescent="0.2">
      <c r="A900">
        <v>837310284</v>
      </c>
      <c r="B900" t="s">
        <v>485</v>
      </c>
      <c r="C900" t="s">
        <v>346</v>
      </c>
      <c r="D900" t="s">
        <v>559</v>
      </c>
      <c r="E900" s="8">
        <v>0.36</v>
      </c>
      <c r="F900" t="s">
        <v>487</v>
      </c>
      <c r="G900">
        <v>211</v>
      </c>
      <c r="H900" t="s">
        <v>35</v>
      </c>
      <c r="I900" t="s">
        <v>36</v>
      </c>
      <c r="J900" t="s">
        <v>37</v>
      </c>
      <c r="K900" t="s">
        <v>28</v>
      </c>
      <c r="L900">
        <v>2017</v>
      </c>
      <c r="M900" t="s">
        <v>38</v>
      </c>
      <c r="N900" t="s">
        <v>32</v>
      </c>
    </row>
    <row r="901" spans="1:14" x14ac:dyDescent="0.2">
      <c r="A901">
        <v>837310284</v>
      </c>
      <c r="B901" t="s">
        <v>485</v>
      </c>
      <c r="C901" t="s">
        <v>342</v>
      </c>
      <c r="D901" t="s">
        <v>559</v>
      </c>
      <c r="E901" s="8">
        <v>0.34249999999999997</v>
      </c>
      <c r="F901" t="s">
        <v>487</v>
      </c>
      <c r="G901">
        <v>211</v>
      </c>
      <c r="H901" t="s">
        <v>35</v>
      </c>
      <c r="I901" t="s">
        <v>36</v>
      </c>
      <c r="J901" t="s">
        <v>37</v>
      </c>
      <c r="K901" t="s">
        <v>28</v>
      </c>
      <c r="L901">
        <v>2017</v>
      </c>
      <c r="M901" t="s">
        <v>38</v>
      </c>
      <c r="N901" t="s">
        <v>32</v>
      </c>
    </row>
    <row r="902" spans="1:14" x14ac:dyDescent="0.2">
      <c r="A902">
        <v>843228181</v>
      </c>
      <c r="B902" t="s">
        <v>478</v>
      </c>
      <c r="C902" t="s">
        <v>276</v>
      </c>
      <c r="D902" t="s">
        <v>546</v>
      </c>
      <c r="E902" s="8">
        <v>0.65666666666666673</v>
      </c>
      <c r="F902" t="s">
        <v>487</v>
      </c>
      <c r="G902">
        <v>211</v>
      </c>
      <c r="H902" t="s">
        <v>35</v>
      </c>
      <c r="I902" t="s">
        <v>36</v>
      </c>
      <c r="J902" t="s">
        <v>37</v>
      </c>
      <c r="K902" t="s">
        <v>28</v>
      </c>
      <c r="L902">
        <v>2017</v>
      </c>
      <c r="M902" t="s">
        <v>38</v>
      </c>
      <c r="N902" t="s">
        <v>32</v>
      </c>
    </row>
    <row r="903" spans="1:14" x14ac:dyDescent="0.2">
      <c r="A903">
        <v>843228181</v>
      </c>
      <c r="B903" t="s">
        <v>478</v>
      </c>
      <c r="C903" t="s">
        <v>247</v>
      </c>
      <c r="D903" t="s">
        <v>546</v>
      </c>
      <c r="E903" s="8">
        <v>0.61799999999999999</v>
      </c>
      <c r="F903" t="s">
        <v>487</v>
      </c>
      <c r="G903">
        <v>211</v>
      </c>
      <c r="H903" t="s">
        <v>35</v>
      </c>
      <c r="I903" t="s">
        <v>36</v>
      </c>
      <c r="J903" t="s">
        <v>37</v>
      </c>
      <c r="K903" t="s">
        <v>28</v>
      </c>
      <c r="L903">
        <v>2017</v>
      </c>
      <c r="M903" t="s">
        <v>38</v>
      </c>
      <c r="N903" t="s">
        <v>32</v>
      </c>
    </row>
    <row r="904" spans="1:14" x14ac:dyDescent="0.2">
      <c r="A904">
        <v>843228181</v>
      </c>
      <c r="B904" t="s">
        <v>40</v>
      </c>
      <c r="C904" t="s">
        <v>435</v>
      </c>
      <c r="D904" t="s">
        <v>560</v>
      </c>
      <c r="E904" s="8">
        <v>0.6100000000000001</v>
      </c>
      <c r="F904" t="s">
        <v>487</v>
      </c>
      <c r="G904">
        <v>211</v>
      </c>
      <c r="H904" t="s">
        <v>35</v>
      </c>
      <c r="I904" t="s">
        <v>36</v>
      </c>
      <c r="J904" t="s">
        <v>37</v>
      </c>
      <c r="K904" t="s">
        <v>28</v>
      </c>
      <c r="L904">
        <v>2017</v>
      </c>
      <c r="M904" t="s">
        <v>38</v>
      </c>
      <c r="N904" t="s">
        <v>32</v>
      </c>
    </row>
    <row r="905" spans="1:14" x14ac:dyDescent="0.2">
      <c r="A905">
        <v>843228181</v>
      </c>
      <c r="B905" t="s">
        <v>40</v>
      </c>
      <c r="C905" t="s">
        <v>393</v>
      </c>
      <c r="D905" t="s">
        <v>560</v>
      </c>
      <c r="E905" s="8">
        <v>0.43333333333333335</v>
      </c>
      <c r="F905" t="s">
        <v>487</v>
      </c>
      <c r="G905">
        <v>211</v>
      </c>
      <c r="H905" t="s">
        <v>35</v>
      </c>
      <c r="I905" t="s">
        <v>36</v>
      </c>
      <c r="J905" t="s">
        <v>37</v>
      </c>
      <c r="K905" t="s">
        <v>28</v>
      </c>
      <c r="L905">
        <v>2017</v>
      </c>
      <c r="M905" t="s">
        <v>38</v>
      </c>
      <c r="N905" t="s">
        <v>32</v>
      </c>
    </row>
    <row r="906" spans="1:14" x14ac:dyDescent="0.2">
      <c r="A906">
        <v>843228181</v>
      </c>
      <c r="B906" t="s">
        <v>41</v>
      </c>
      <c r="C906" t="s">
        <v>212</v>
      </c>
      <c r="D906" t="s">
        <v>562</v>
      </c>
      <c r="E906" s="8">
        <v>0.5625</v>
      </c>
      <c r="F906" t="s">
        <v>487</v>
      </c>
      <c r="G906">
        <v>211</v>
      </c>
      <c r="H906" t="s">
        <v>35</v>
      </c>
      <c r="I906" t="s">
        <v>36</v>
      </c>
      <c r="J906" t="s">
        <v>37</v>
      </c>
      <c r="K906" t="s">
        <v>28</v>
      </c>
      <c r="L906">
        <v>2017</v>
      </c>
      <c r="M906" t="s">
        <v>38</v>
      </c>
      <c r="N906" t="s">
        <v>32</v>
      </c>
    </row>
    <row r="907" spans="1:14" x14ac:dyDescent="0.2">
      <c r="A907">
        <v>843228181</v>
      </c>
      <c r="B907" t="s">
        <v>41</v>
      </c>
      <c r="C907" t="s">
        <v>207</v>
      </c>
      <c r="D907" t="s">
        <v>562</v>
      </c>
      <c r="E907" s="8">
        <v>0.45833333333333331</v>
      </c>
      <c r="F907" t="s">
        <v>487</v>
      </c>
      <c r="G907">
        <v>211</v>
      </c>
      <c r="H907" t="s">
        <v>35</v>
      </c>
      <c r="I907" t="s">
        <v>36</v>
      </c>
      <c r="J907" t="s">
        <v>37</v>
      </c>
      <c r="K907" t="s">
        <v>28</v>
      </c>
      <c r="L907">
        <v>2017</v>
      </c>
      <c r="M907" t="s">
        <v>38</v>
      </c>
      <c r="N907" t="s">
        <v>32</v>
      </c>
    </row>
    <row r="908" spans="1:14" x14ac:dyDescent="0.2">
      <c r="A908">
        <v>843228181</v>
      </c>
      <c r="B908" t="s">
        <v>41</v>
      </c>
      <c r="C908" t="s">
        <v>221</v>
      </c>
      <c r="D908" t="s">
        <v>563</v>
      </c>
      <c r="E908" s="8">
        <v>0.61333333333333329</v>
      </c>
      <c r="F908" t="s">
        <v>487</v>
      </c>
      <c r="G908">
        <v>211</v>
      </c>
      <c r="H908" t="s">
        <v>35</v>
      </c>
      <c r="I908" t="s">
        <v>36</v>
      </c>
      <c r="J908" t="s">
        <v>37</v>
      </c>
      <c r="K908" t="s">
        <v>28</v>
      </c>
      <c r="L908">
        <v>2017</v>
      </c>
      <c r="M908" t="s">
        <v>38</v>
      </c>
      <c r="N908" t="s">
        <v>32</v>
      </c>
    </row>
    <row r="909" spans="1:14" x14ac:dyDescent="0.2">
      <c r="A909">
        <v>843228181</v>
      </c>
      <c r="B909" t="s">
        <v>42</v>
      </c>
      <c r="C909" t="s">
        <v>159</v>
      </c>
      <c r="D909" t="s">
        <v>564</v>
      </c>
      <c r="E909" s="8">
        <v>0.42000000000000004</v>
      </c>
      <c r="F909" t="s">
        <v>487</v>
      </c>
      <c r="G909">
        <v>211</v>
      </c>
      <c r="H909" t="s">
        <v>35</v>
      </c>
      <c r="I909" t="s">
        <v>36</v>
      </c>
      <c r="J909" t="s">
        <v>37</v>
      </c>
      <c r="K909" t="s">
        <v>28</v>
      </c>
      <c r="L909">
        <v>2017</v>
      </c>
      <c r="M909" t="s">
        <v>38</v>
      </c>
      <c r="N909" t="s">
        <v>32</v>
      </c>
    </row>
    <row r="910" spans="1:14" x14ac:dyDescent="0.2">
      <c r="A910">
        <v>843228181</v>
      </c>
      <c r="B910" t="s">
        <v>42</v>
      </c>
      <c r="C910" t="s">
        <v>135</v>
      </c>
      <c r="D910" t="s">
        <v>565</v>
      </c>
      <c r="E910" s="8">
        <v>0.6100000000000001</v>
      </c>
      <c r="F910" t="s">
        <v>487</v>
      </c>
      <c r="G910">
        <v>211</v>
      </c>
      <c r="H910" t="s">
        <v>35</v>
      </c>
      <c r="I910" t="s">
        <v>36</v>
      </c>
      <c r="J910" t="s">
        <v>37</v>
      </c>
      <c r="K910" t="s">
        <v>28</v>
      </c>
      <c r="L910">
        <v>2017</v>
      </c>
      <c r="M910" t="s">
        <v>38</v>
      </c>
      <c r="N910" t="s">
        <v>32</v>
      </c>
    </row>
    <row r="911" spans="1:14" x14ac:dyDescent="0.2">
      <c r="A911">
        <v>843228181</v>
      </c>
      <c r="B911" t="s">
        <v>42</v>
      </c>
      <c r="C911" t="s">
        <v>56</v>
      </c>
      <c r="D911" t="s">
        <v>565</v>
      </c>
      <c r="E911" s="8">
        <v>0.61</v>
      </c>
      <c r="F911" t="s">
        <v>487</v>
      </c>
      <c r="G911">
        <v>211</v>
      </c>
      <c r="H911" t="s">
        <v>35</v>
      </c>
      <c r="I911" t="s">
        <v>36</v>
      </c>
      <c r="J911" t="s">
        <v>37</v>
      </c>
      <c r="K911" t="s">
        <v>28</v>
      </c>
      <c r="L911">
        <v>2017</v>
      </c>
      <c r="M911" t="s">
        <v>38</v>
      </c>
      <c r="N911" t="s">
        <v>32</v>
      </c>
    </row>
    <row r="912" spans="1:14" x14ac:dyDescent="0.2">
      <c r="A912">
        <v>843228181</v>
      </c>
      <c r="B912" t="s">
        <v>42</v>
      </c>
      <c r="C912" t="s">
        <v>155</v>
      </c>
      <c r="D912" t="s">
        <v>564</v>
      </c>
      <c r="E912" s="8">
        <v>0.42000000000000004</v>
      </c>
      <c r="F912" t="s">
        <v>487</v>
      </c>
      <c r="G912">
        <v>211</v>
      </c>
      <c r="H912" t="s">
        <v>35</v>
      </c>
      <c r="I912" t="s">
        <v>36</v>
      </c>
      <c r="J912" t="s">
        <v>37</v>
      </c>
      <c r="K912" t="s">
        <v>28</v>
      </c>
      <c r="L912">
        <v>2017</v>
      </c>
      <c r="M912" t="s">
        <v>38</v>
      </c>
      <c r="N912" t="s">
        <v>32</v>
      </c>
    </row>
    <row r="913" spans="1:14" x14ac:dyDescent="0.2">
      <c r="A913">
        <v>843228181</v>
      </c>
      <c r="B913" t="s">
        <v>479</v>
      </c>
      <c r="C913" t="s">
        <v>57</v>
      </c>
      <c r="D913" t="s">
        <v>566</v>
      </c>
      <c r="E913" s="8">
        <v>0.53722222222222227</v>
      </c>
      <c r="F913" t="s">
        <v>487</v>
      </c>
      <c r="G913">
        <v>211</v>
      </c>
      <c r="H913" t="s">
        <v>35</v>
      </c>
      <c r="I913" t="s">
        <v>36</v>
      </c>
      <c r="J913" t="s">
        <v>37</v>
      </c>
      <c r="K913" t="s">
        <v>28</v>
      </c>
      <c r="L913">
        <v>2017</v>
      </c>
      <c r="M913" t="s">
        <v>38</v>
      </c>
      <c r="N913" t="s">
        <v>32</v>
      </c>
    </row>
    <row r="914" spans="1:14" x14ac:dyDescent="0.2">
      <c r="A914">
        <v>843228181</v>
      </c>
      <c r="B914" t="s">
        <v>479</v>
      </c>
      <c r="C914" t="s">
        <v>58</v>
      </c>
      <c r="D914" t="s">
        <v>567</v>
      </c>
      <c r="E914" s="8">
        <v>0.42000000000000004</v>
      </c>
      <c r="F914" t="s">
        <v>487</v>
      </c>
      <c r="G914">
        <v>211</v>
      </c>
      <c r="H914" t="s">
        <v>35</v>
      </c>
      <c r="I914" t="s">
        <v>36</v>
      </c>
      <c r="J914" t="s">
        <v>37</v>
      </c>
      <c r="K914" t="s">
        <v>28</v>
      </c>
      <c r="L914">
        <v>2017</v>
      </c>
      <c r="M914" t="s">
        <v>38</v>
      </c>
      <c r="N914" t="s">
        <v>32</v>
      </c>
    </row>
    <row r="915" spans="1:14" x14ac:dyDescent="0.2">
      <c r="A915">
        <v>843228181</v>
      </c>
      <c r="B915" t="s">
        <v>480</v>
      </c>
      <c r="C915" t="s">
        <v>456</v>
      </c>
      <c r="D915" t="s">
        <v>568</v>
      </c>
      <c r="E915" s="8">
        <v>0.54666666666666675</v>
      </c>
      <c r="F915" t="s">
        <v>487</v>
      </c>
      <c r="G915">
        <v>211</v>
      </c>
      <c r="H915" t="s">
        <v>35</v>
      </c>
      <c r="I915" t="s">
        <v>36</v>
      </c>
      <c r="J915" t="s">
        <v>37</v>
      </c>
      <c r="K915" t="s">
        <v>28</v>
      </c>
      <c r="L915">
        <v>2017</v>
      </c>
      <c r="M915" t="s">
        <v>38</v>
      </c>
      <c r="N915" t="s">
        <v>32</v>
      </c>
    </row>
    <row r="916" spans="1:14" x14ac:dyDescent="0.2">
      <c r="A916">
        <v>843228181</v>
      </c>
      <c r="B916" t="s">
        <v>480</v>
      </c>
      <c r="C916" t="s">
        <v>452</v>
      </c>
      <c r="D916" t="s">
        <v>568</v>
      </c>
      <c r="E916" s="8">
        <v>0.54666666666666675</v>
      </c>
      <c r="F916" t="s">
        <v>487</v>
      </c>
      <c r="G916">
        <v>211</v>
      </c>
      <c r="H916" t="s">
        <v>35</v>
      </c>
      <c r="I916" t="s">
        <v>36</v>
      </c>
      <c r="J916" t="s">
        <v>37</v>
      </c>
      <c r="K916" t="s">
        <v>28</v>
      </c>
      <c r="L916">
        <v>2017</v>
      </c>
      <c r="M916" t="s">
        <v>38</v>
      </c>
      <c r="N916" t="s">
        <v>32</v>
      </c>
    </row>
    <row r="917" spans="1:14" x14ac:dyDescent="0.2">
      <c r="A917">
        <v>843228181</v>
      </c>
      <c r="B917" t="s">
        <v>481</v>
      </c>
      <c r="C917" t="s">
        <v>533</v>
      </c>
      <c r="D917" t="s">
        <v>569</v>
      </c>
      <c r="E917" s="8">
        <v>0.42000000000000004</v>
      </c>
      <c r="F917" t="s">
        <v>487</v>
      </c>
      <c r="G917">
        <v>211</v>
      </c>
      <c r="H917" t="s">
        <v>35</v>
      </c>
      <c r="I917" t="s">
        <v>36</v>
      </c>
      <c r="J917" t="s">
        <v>37</v>
      </c>
      <c r="K917" t="s">
        <v>28</v>
      </c>
      <c r="L917">
        <v>2017</v>
      </c>
      <c r="M917" t="s">
        <v>38</v>
      </c>
      <c r="N917" t="s">
        <v>32</v>
      </c>
    </row>
    <row r="918" spans="1:14" x14ac:dyDescent="0.2">
      <c r="A918">
        <v>843228181</v>
      </c>
      <c r="B918" t="s">
        <v>481</v>
      </c>
      <c r="C918" t="s">
        <v>106</v>
      </c>
      <c r="D918" t="s">
        <v>569</v>
      </c>
      <c r="E918" s="8">
        <v>0.42000000000000004</v>
      </c>
      <c r="F918" t="s">
        <v>487</v>
      </c>
      <c r="G918">
        <v>211</v>
      </c>
      <c r="H918" t="s">
        <v>35</v>
      </c>
      <c r="I918" t="s">
        <v>36</v>
      </c>
      <c r="J918" t="s">
        <v>37</v>
      </c>
      <c r="K918" t="s">
        <v>28</v>
      </c>
      <c r="L918">
        <v>2017</v>
      </c>
      <c r="M918" t="s">
        <v>38</v>
      </c>
      <c r="N918" t="s">
        <v>32</v>
      </c>
    </row>
    <row r="919" spans="1:14" x14ac:dyDescent="0.2">
      <c r="A919">
        <v>843228181</v>
      </c>
      <c r="B919" t="s">
        <v>43</v>
      </c>
      <c r="C919" t="s">
        <v>59</v>
      </c>
      <c r="D919" t="s">
        <v>570</v>
      </c>
      <c r="E919" s="8">
        <v>0.49600000000000011</v>
      </c>
      <c r="F919" t="s">
        <v>487</v>
      </c>
      <c r="G919">
        <v>211</v>
      </c>
      <c r="H919" t="s">
        <v>35</v>
      </c>
      <c r="I919" t="s">
        <v>36</v>
      </c>
      <c r="J919" t="s">
        <v>37</v>
      </c>
      <c r="K919" t="s">
        <v>28</v>
      </c>
      <c r="L919">
        <v>2017</v>
      </c>
      <c r="M919" t="s">
        <v>38</v>
      </c>
      <c r="N919" t="s">
        <v>32</v>
      </c>
    </row>
    <row r="920" spans="1:14" x14ac:dyDescent="0.2">
      <c r="A920">
        <v>843228181</v>
      </c>
      <c r="B920" t="s">
        <v>482</v>
      </c>
      <c r="C920" t="s">
        <v>436</v>
      </c>
      <c r="D920" t="s">
        <v>561</v>
      </c>
      <c r="E920" s="8">
        <v>0.59642857142857142</v>
      </c>
      <c r="F920" t="s">
        <v>487</v>
      </c>
      <c r="G920">
        <v>211</v>
      </c>
      <c r="H920" t="s">
        <v>35</v>
      </c>
      <c r="I920" t="s">
        <v>36</v>
      </c>
      <c r="J920" t="s">
        <v>37</v>
      </c>
      <c r="K920" t="s">
        <v>28</v>
      </c>
      <c r="L920">
        <v>2017</v>
      </c>
      <c r="M920" t="s">
        <v>38</v>
      </c>
      <c r="N920" t="s">
        <v>32</v>
      </c>
    </row>
    <row r="921" spans="1:14" x14ac:dyDescent="0.2">
      <c r="A921">
        <v>843228181</v>
      </c>
      <c r="B921" t="s">
        <v>482</v>
      </c>
      <c r="C921" t="s">
        <v>436</v>
      </c>
      <c r="D921" t="s">
        <v>561</v>
      </c>
      <c r="E921" s="8">
        <v>0.58800000000000008</v>
      </c>
      <c r="F921" t="s">
        <v>487</v>
      </c>
      <c r="G921">
        <v>211</v>
      </c>
      <c r="H921" t="s">
        <v>35</v>
      </c>
      <c r="I921" t="s">
        <v>36</v>
      </c>
      <c r="J921" t="s">
        <v>37</v>
      </c>
      <c r="K921" t="s">
        <v>28</v>
      </c>
      <c r="L921">
        <v>2017</v>
      </c>
      <c r="M921" t="s">
        <v>38</v>
      </c>
      <c r="N921" t="s">
        <v>32</v>
      </c>
    </row>
    <row r="922" spans="1:14" x14ac:dyDescent="0.2">
      <c r="A922">
        <v>843228181</v>
      </c>
      <c r="B922" t="s">
        <v>483</v>
      </c>
      <c r="C922" t="s">
        <v>197</v>
      </c>
      <c r="D922" t="s">
        <v>556</v>
      </c>
      <c r="E922" s="8">
        <v>0.6100000000000001</v>
      </c>
      <c r="F922" t="s">
        <v>487</v>
      </c>
      <c r="G922">
        <v>211</v>
      </c>
      <c r="H922" t="s">
        <v>35</v>
      </c>
      <c r="I922" t="s">
        <v>36</v>
      </c>
      <c r="J922" t="s">
        <v>37</v>
      </c>
      <c r="K922" t="s">
        <v>28</v>
      </c>
      <c r="L922">
        <v>2017</v>
      </c>
      <c r="M922" t="s">
        <v>38</v>
      </c>
      <c r="N922" t="s">
        <v>32</v>
      </c>
    </row>
    <row r="923" spans="1:14" x14ac:dyDescent="0.2">
      <c r="A923">
        <v>843228181</v>
      </c>
      <c r="B923" t="s">
        <v>483</v>
      </c>
      <c r="C923" t="s">
        <v>196</v>
      </c>
      <c r="D923" t="s">
        <v>557</v>
      </c>
      <c r="E923" s="8">
        <v>0.42000000000000004</v>
      </c>
      <c r="F923" t="s">
        <v>487</v>
      </c>
      <c r="G923">
        <v>211</v>
      </c>
      <c r="H923" t="s">
        <v>35</v>
      </c>
      <c r="I923" t="s">
        <v>36</v>
      </c>
      <c r="J923" t="s">
        <v>37</v>
      </c>
      <c r="K923" t="s">
        <v>28</v>
      </c>
      <c r="L923">
        <v>2017</v>
      </c>
      <c r="M923" t="s">
        <v>38</v>
      </c>
      <c r="N923" t="s">
        <v>32</v>
      </c>
    </row>
    <row r="924" spans="1:14" x14ac:dyDescent="0.2">
      <c r="A924">
        <v>843228181</v>
      </c>
      <c r="B924" t="s">
        <v>483</v>
      </c>
      <c r="C924" t="s">
        <v>197</v>
      </c>
      <c r="D924" t="s">
        <v>556</v>
      </c>
      <c r="E924" s="8">
        <v>0.54666666666666675</v>
      </c>
      <c r="F924" t="s">
        <v>487</v>
      </c>
      <c r="G924">
        <v>211</v>
      </c>
      <c r="H924" t="s">
        <v>35</v>
      </c>
      <c r="I924" t="s">
        <v>36</v>
      </c>
      <c r="J924" t="s">
        <v>37</v>
      </c>
      <c r="K924" t="s">
        <v>28</v>
      </c>
      <c r="L924">
        <v>2017</v>
      </c>
      <c r="M924" t="s">
        <v>38</v>
      </c>
      <c r="N924" t="s">
        <v>32</v>
      </c>
    </row>
    <row r="925" spans="1:14" x14ac:dyDescent="0.2">
      <c r="A925">
        <v>843228181</v>
      </c>
      <c r="B925" t="s">
        <v>483</v>
      </c>
      <c r="C925" t="s">
        <v>196</v>
      </c>
      <c r="D925" t="s">
        <v>557</v>
      </c>
      <c r="E925" s="8">
        <v>0.53599999999999992</v>
      </c>
      <c r="F925" t="s">
        <v>487</v>
      </c>
      <c r="G925">
        <v>211</v>
      </c>
      <c r="H925" t="s">
        <v>35</v>
      </c>
      <c r="I925" t="s">
        <v>36</v>
      </c>
      <c r="J925" t="s">
        <v>37</v>
      </c>
      <c r="K925" t="s">
        <v>28</v>
      </c>
      <c r="L925">
        <v>2017</v>
      </c>
      <c r="M925" t="s">
        <v>38</v>
      </c>
      <c r="N925" t="s">
        <v>32</v>
      </c>
    </row>
    <row r="926" spans="1:14" x14ac:dyDescent="0.2">
      <c r="A926">
        <v>843228181</v>
      </c>
      <c r="B926" t="s">
        <v>483</v>
      </c>
      <c r="C926" t="s">
        <v>197</v>
      </c>
      <c r="D926" t="s">
        <v>556</v>
      </c>
      <c r="E926" s="8">
        <v>0.61333333333333329</v>
      </c>
      <c r="F926" t="s">
        <v>487</v>
      </c>
      <c r="G926">
        <v>211</v>
      </c>
      <c r="H926" t="s">
        <v>35</v>
      </c>
      <c r="I926" t="s">
        <v>36</v>
      </c>
      <c r="J926" t="s">
        <v>37</v>
      </c>
      <c r="K926" t="s">
        <v>28</v>
      </c>
      <c r="L926">
        <v>2017</v>
      </c>
      <c r="M926" t="s">
        <v>38</v>
      </c>
      <c r="N926" t="s">
        <v>32</v>
      </c>
    </row>
    <row r="927" spans="1:14" x14ac:dyDescent="0.2">
      <c r="A927">
        <v>843228181</v>
      </c>
      <c r="B927" t="s">
        <v>484</v>
      </c>
      <c r="C927" t="s">
        <v>497</v>
      </c>
      <c r="D927" t="s">
        <v>558</v>
      </c>
      <c r="E927" s="8">
        <v>0.54666666666666675</v>
      </c>
      <c r="F927" t="s">
        <v>487</v>
      </c>
      <c r="G927">
        <v>211</v>
      </c>
      <c r="H927" t="s">
        <v>35</v>
      </c>
      <c r="I927" t="s">
        <v>36</v>
      </c>
      <c r="J927" t="s">
        <v>37</v>
      </c>
      <c r="K927" t="s">
        <v>28</v>
      </c>
      <c r="L927">
        <v>2017</v>
      </c>
      <c r="M927" t="s">
        <v>38</v>
      </c>
      <c r="N927" t="s">
        <v>32</v>
      </c>
    </row>
    <row r="928" spans="1:14" x14ac:dyDescent="0.2">
      <c r="A928">
        <v>843228181</v>
      </c>
      <c r="B928" t="s">
        <v>484</v>
      </c>
      <c r="C928" t="s">
        <v>500</v>
      </c>
      <c r="D928" t="s">
        <v>558</v>
      </c>
      <c r="E928" s="8">
        <v>0.50500000000000012</v>
      </c>
      <c r="F928" t="s">
        <v>487</v>
      </c>
      <c r="G928">
        <v>211</v>
      </c>
      <c r="H928" t="s">
        <v>35</v>
      </c>
      <c r="I928" t="s">
        <v>36</v>
      </c>
      <c r="J928" t="s">
        <v>37</v>
      </c>
      <c r="K928" t="s">
        <v>28</v>
      </c>
      <c r="L928">
        <v>2017</v>
      </c>
      <c r="M928" t="s">
        <v>38</v>
      </c>
      <c r="N928" t="s">
        <v>32</v>
      </c>
    </row>
    <row r="929" spans="1:14" x14ac:dyDescent="0.2">
      <c r="A929">
        <v>843228181</v>
      </c>
      <c r="B929" t="s">
        <v>484</v>
      </c>
      <c r="C929" t="s">
        <v>501</v>
      </c>
      <c r="D929" t="s">
        <v>558</v>
      </c>
      <c r="E929" s="8">
        <v>0.5675</v>
      </c>
      <c r="F929" t="s">
        <v>487</v>
      </c>
      <c r="G929">
        <v>211</v>
      </c>
      <c r="H929" t="s">
        <v>35</v>
      </c>
      <c r="I929" t="s">
        <v>36</v>
      </c>
      <c r="J929" t="s">
        <v>37</v>
      </c>
      <c r="K929" t="s">
        <v>28</v>
      </c>
      <c r="L929">
        <v>2017</v>
      </c>
      <c r="M929" t="s">
        <v>38</v>
      </c>
      <c r="N929" t="s">
        <v>32</v>
      </c>
    </row>
    <row r="930" spans="1:14" x14ac:dyDescent="0.2">
      <c r="A930">
        <v>843228181</v>
      </c>
      <c r="B930" t="s">
        <v>485</v>
      </c>
      <c r="C930" t="s">
        <v>346</v>
      </c>
      <c r="D930" t="s">
        <v>559</v>
      </c>
      <c r="E930" s="8">
        <v>0.42000000000000004</v>
      </c>
      <c r="F930" t="s">
        <v>487</v>
      </c>
      <c r="G930">
        <v>211</v>
      </c>
      <c r="H930" t="s">
        <v>35</v>
      </c>
      <c r="I930" t="s">
        <v>36</v>
      </c>
      <c r="J930" t="s">
        <v>37</v>
      </c>
      <c r="K930" t="s">
        <v>28</v>
      </c>
      <c r="L930">
        <v>2017</v>
      </c>
      <c r="M930" t="s">
        <v>38</v>
      </c>
      <c r="N930" t="s">
        <v>32</v>
      </c>
    </row>
    <row r="931" spans="1:14" x14ac:dyDescent="0.2">
      <c r="A931">
        <v>843228181</v>
      </c>
      <c r="B931" t="s">
        <v>485</v>
      </c>
      <c r="C931" t="s">
        <v>342</v>
      </c>
      <c r="D931" t="s">
        <v>559</v>
      </c>
      <c r="E931" s="8">
        <v>0.57874999999999999</v>
      </c>
      <c r="F931" t="s">
        <v>487</v>
      </c>
      <c r="G931">
        <v>211</v>
      </c>
      <c r="H931" t="s">
        <v>35</v>
      </c>
      <c r="I931" t="s">
        <v>36</v>
      </c>
      <c r="J931" t="s">
        <v>37</v>
      </c>
      <c r="K931" t="s">
        <v>28</v>
      </c>
      <c r="L931">
        <v>2017</v>
      </c>
      <c r="M931" t="s">
        <v>38</v>
      </c>
      <c r="N931" t="s">
        <v>32</v>
      </c>
    </row>
    <row r="932" spans="1:14" x14ac:dyDescent="0.2">
      <c r="A932">
        <v>858571733</v>
      </c>
      <c r="B932" t="s">
        <v>478</v>
      </c>
      <c r="C932" t="s">
        <v>276</v>
      </c>
      <c r="D932" t="s">
        <v>546</v>
      </c>
      <c r="E932" s="8">
        <v>0.26</v>
      </c>
      <c r="F932" t="s">
        <v>487</v>
      </c>
      <c r="G932">
        <v>211</v>
      </c>
      <c r="H932" t="s">
        <v>35</v>
      </c>
      <c r="I932" t="s">
        <v>36</v>
      </c>
      <c r="J932" t="s">
        <v>37</v>
      </c>
      <c r="K932" t="s">
        <v>28</v>
      </c>
      <c r="L932">
        <v>2017</v>
      </c>
      <c r="M932" t="s">
        <v>38</v>
      </c>
      <c r="N932" t="s">
        <v>32</v>
      </c>
    </row>
    <row r="933" spans="1:14" x14ac:dyDescent="0.2">
      <c r="A933">
        <v>858571733</v>
      </c>
      <c r="B933" t="s">
        <v>478</v>
      </c>
      <c r="C933" t="s">
        <v>247</v>
      </c>
      <c r="D933" t="s">
        <v>546</v>
      </c>
      <c r="E933" s="8">
        <v>0.31000000000000005</v>
      </c>
      <c r="F933" t="s">
        <v>487</v>
      </c>
      <c r="G933">
        <v>211</v>
      </c>
      <c r="H933" t="s">
        <v>35</v>
      </c>
      <c r="I933" t="s">
        <v>36</v>
      </c>
      <c r="J933" t="s">
        <v>37</v>
      </c>
      <c r="K933" t="s">
        <v>28</v>
      </c>
      <c r="L933">
        <v>2017</v>
      </c>
      <c r="M933" t="s">
        <v>38</v>
      </c>
      <c r="N933" t="s">
        <v>32</v>
      </c>
    </row>
    <row r="934" spans="1:14" x14ac:dyDescent="0.2">
      <c r="A934">
        <v>858571733</v>
      </c>
      <c r="B934" t="s">
        <v>40</v>
      </c>
      <c r="C934" t="s">
        <v>435</v>
      </c>
      <c r="D934" t="s">
        <v>560</v>
      </c>
      <c r="E934" s="8">
        <v>0.19</v>
      </c>
      <c r="F934" t="s">
        <v>487</v>
      </c>
      <c r="G934">
        <v>211</v>
      </c>
      <c r="H934" t="s">
        <v>35</v>
      </c>
      <c r="I934" t="s">
        <v>36</v>
      </c>
      <c r="J934" t="s">
        <v>37</v>
      </c>
      <c r="K934" t="s">
        <v>28</v>
      </c>
      <c r="L934">
        <v>2017</v>
      </c>
      <c r="M934" t="s">
        <v>38</v>
      </c>
      <c r="N934" t="s">
        <v>32</v>
      </c>
    </row>
    <row r="935" spans="1:14" x14ac:dyDescent="0.2">
      <c r="A935">
        <v>858571733</v>
      </c>
      <c r="B935" t="s">
        <v>40</v>
      </c>
      <c r="C935" t="s">
        <v>393</v>
      </c>
      <c r="D935" t="s">
        <v>560</v>
      </c>
      <c r="E935" s="8">
        <v>0.36333333333333334</v>
      </c>
      <c r="F935" t="s">
        <v>487</v>
      </c>
      <c r="G935">
        <v>211</v>
      </c>
      <c r="H935" t="s">
        <v>35</v>
      </c>
      <c r="I935" t="s">
        <v>36</v>
      </c>
      <c r="J935" t="s">
        <v>37</v>
      </c>
      <c r="K935" t="s">
        <v>28</v>
      </c>
      <c r="L935">
        <v>2017</v>
      </c>
      <c r="M935" t="s">
        <v>38</v>
      </c>
      <c r="N935" t="s">
        <v>32</v>
      </c>
    </row>
    <row r="936" spans="1:14" x14ac:dyDescent="0.2">
      <c r="A936">
        <v>858571733</v>
      </c>
      <c r="B936" t="s">
        <v>41</v>
      </c>
      <c r="C936" t="s">
        <v>212</v>
      </c>
      <c r="D936" t="s">
        <v>562</v>
      </c>
      <c r="E936" s="8">
        <v>0.18250000000000002</v>
      </c>
      <c r="F936" t="s">
        <v>487</v>
      </c>
      <c r="G936">
        <v>211</v>
      </c>
      <c r="H936" t="s">
        <v>35</v>
      </c>
      <c r="I936" t="s">
        <v>36</v>
      </c>
      <c r="J936" t="s">
        <v>37</v>
      </c>
      <c r="K936" t="s">
        <v>28</v>
      </c>
      <c r="L936">
        <v>2017</v>
      </c>
      <c r="M936" t="s">
        <v>38</v>
      </c>
      <c r="N936" t="s">
        <v>32</v>
      </c>
    </row>
    <row r="937" spans="1:14" x14ac:dyDescent="0.2">
      <c r="A937">
        <v>858571733</v>
      </c>
      <c r="B937" t="s">
        <v>41</v>
      </c>
      <c r="C937" t="s">
        <v>207</v>
      </c>
      <c r="D937" t="s">
        <v>562</v>
      </c>
      <c r="E937" s="8">
        <v>0.26666666666666666</v>
      </c>
      <c r="F937" t="s">
        <v>487</v>
      </c>
      <c r="G937">
        <v>211</v>
      </c>
      <c r="H937" t="s">
        <v>35</v>
      </c>
      <c r="I937" t="s">
        <v>36</v>
      </c>
      <c r="J937" t="s">
        <v>37</v>
      </c>
      <c r="K937" t="s">
        <v>28</v>
      </c>
      <c r="L937">
        <v>2017</v>
      </c>
      <c r="M937" t="s">
        <v>38</v>
      </c>
      <c r="N937" t="s">
        <v>32</v>
      </c>
    </row>
    <row r="938" spans="1:14" x14ac:dyDescent="0.2">
      <c r="A938">
        <v>858571733</v>
      </c>
      <c r="B938" t="s">
        <v>41</v>
      </c>
      <c r="C938" t="s">
        <v>221</v>
      </c>
      <c r="D938" t="s">
        <v>563</v>
      </c>
      <c r="E938" s="8">
        <v>0.17333333333333334</v>
      </c>
      <c r="F938" t="s">
        <v>487</v>
      </c>
      <c r="G938">
        <v>211</v>
      </c>
      <c r="H938" t="s">
        <v>35</v>
      </c>
      <c r="I938" t="s">
        <v>36</v>
      </c>
      <c r="J938" t="s">
        <v>37</v>
      </c>
      <c r="K938" t="s">
        <v>28</v>
      </c>
      <c r="L938">
        <v>2017</v>
      </c>
      <c r="M938" t="s">
        <v>38</v>
      </c>
      <c r="N938" t="s">
        <v>32</v>
      </c>
    </row>
    <row r="939" spans="1:14" x14ac:dyDescent="0.2">
      <c r="A939">
        <v>858571733</v>
      </c>
      <c r="B939" t="s">
        <v>42</v>
      </c>
      <c r="C939" t="s">
        <v>159</v>
      </c>
      <c r="D939" t="s">
        <v>564</v>
      </c>
      <c r="E939" s="8">
        <v>0.16</v>
      </c>
      <c r="F939" t="s">
        <v>487</v>
      </c>
      <c r="G939">
        <v>211</v>
      </c>
      <c r="H939" t="s">
        <v>35</v>
      </c>
      <c r="I939" t="s">
        <v>36</v>
      </c>
      <c r="J939" t="s">
        <v>37</v>
      </c>
      <c r="K939" t="s">
        <v>28</v>
      </c>
      <c r="L939">
        <v>2017</v>
      </c>
      <c r="M939" t="s">
        <v>38</v>
      </c>
      <c r="N939" t="s">
        <v>32</v>
      </c>
    </row>
    <row r="940" spans="1:14" x14ac:dyDescent="0.2">
      <c r="A940">
        <v>858571733</v>
      </c>
      <c r="B940" t="s">
        <v>42</v>
      </c>
      <c r="C940" t="s">
        <v>135</v>
      </c>
      <c r="D940" t="s">
        <v>565</v>
      </c>
      <c r="E940" s="8">
        <v>0.19</v>
      </c>
      <c r="F940" t="s">
        <v>487</v>
      </c>
      <c r="G940">
        <v>211</v>
      </c>
      <c r="H940" t="s">
        <v>35</v>
      </c>
      <c r="I940" t="s">
        <v>36</v>
      </c>
      <c r="J940" t="s">
        <v>37</v>
      </c>
      <c r="K940" t="s">
        <v>28</v>
      </c>
      <c r="L940">
        <v>2017</v>
      </c>
      <c r="M940" t="s">
        <v>38</v>
      </c>
      <c r="N940" t="s">
        <v>32</v>
      </c>
    </row>
    <row r="941" spans="1:14" x14ac:dyDescent="0.2">
      <c r="A941">
        <v>858571733</v>
      </c>
      <c r="B941" t="s">
        <v>42</v>
      </c>
      <c r="C941" t="s">
        <v>56</v>
      </c>
      <c r="D941" t="s">
        <v>565</v>
      </c>
      <c r="E941" s="8">
        <v>0.19</v>
      </c>
      <c r="F941" t="s">
        <v>487</v>
      </c>
      <c r="G941">
        <v>211</v>
      </c>
      <c r="H941" t="s">
        <v>35</v>
      </c>
      <c r="I941" t="s">
        <v>36</v>
      </c>
      <c r="J941" t="s">
        <v>37</v>
      </c>
      <c r="K941" t="s">
        <v>28</v>
      </c>
      <c r="L941">
        <v>2017</v>
      </c>
      <c r="M941" t="s">
        <v>38</v>
      </c>
      <c r="N941" t="s">
        <v>32</v>
      </c>
    </row>
    <row r="942" spans="1:14" x14ac:dyDescent="0.2">
      <c r="A942">
        <v>858571733</v>
      </c>
      <c r="B942" t="s">
        <v>42</v>
      </c>
      <c r="C942" t="s">
        <v>155</v>
      </c>
      <c r="D942" t="s">
        <v>564</v>
      </c>
      <c r="E942" s="8">
        <v>0.16</v>
      </c>
      <c r="F942" t="s">
        <v>487</v>
      </c>
      <c r="G942">
        <v>211</v>
      </c>
      <c r="H942" t="s">
        <v>35</v>
      </c>
      <c r="I942" t="s">
        <v>36</v>
      </c>
      <c r="J942" t="s">
        <v>37</v>
      </c>
      <c r="K942" t="s">
        <v>28</v>
      </c>
      <c r="L942">
        <v>2017</v>
      </c>
      <c r="M942" t="s">
        <v>38</v>
      </c>
      <c r="N942" t="s">
        <v>32</v>
      </c>
    </row>
    <row r="943" spans="1:14" x14ac:dyDescent="0.2">
      <c r="A943">
        <v>858571733</v>
      </c>
      <c r="B943" t="s">
        <v>479</v>
      </c>
      <c r="C943" t="s">
        <v>57</v>
      </c>
      <c r="D943" t="s">
        <v>566</v>
      </c>
      <c r="E943" s="8">
        <v>0.22666666666666666</v>
      </c>
      <c r="F943" t="s">
        <v>487</v>
      </c>
      <c r="G943">
        <v>211</v>
      </c>
      <c r="H943" t="s">
        <v>35</v>
      </c>
      <c r="I943" t="s">
        <v>36</v>
      </c>
      <c r="J943" t="s">
        <v>37</v>
      </c>
      <c r="K943" t="s">
        <v>28</v>
      </c>
      <c r="L943">
        <v>2017</v>
      </c>
      <c r="M943" t="s">
        <v>38</v>
      </c>
      <c r="N943" t="s">
        <v>32</v>
      </c>
    </row>
    <row r="944" spans="1:14" x14ac:dyDescent="0.2">
      <c r="A944">
        <v>858571733</v>
      </c>
      <c r="B944" t="s">
        <v>479</v>
      </c>
      <c r="C944" t="s">
        <v>58</v>
      </c>
      <c r="D944" t="s">
        <v>567</v>
      </c>
      <c r="E944" s="8">
        <v>0.16</v>
      </c>
      <c r="F944" t="s">
        <v>487</v>
      </c>
      <c r="G944">
        <v>211</v>
      </c>
      <c r="H944" t="s">
        <v>35</v>
      </c>
      <c r="I944" t="s">
        <v>36</v>
      </c>
      <c r="J944" t="s">
        <v>37</v>
      </c>
      <c r="K944" t="s">
        <v>28</v>
      </c>
      <c r="L944">
        <v>2017</v>
      </c>
      <c r="M944" t="s">
        <v>38</v>
      </c>
      <c r="N944" t="s">
        <v>32</v>
      </c>
    </row>
    <row r="945" spans="1:14" x14ac:dyDescent="0.2">
      <c r="A945">
        <v>858571733</v>
      </c>
      <c r="B945" t="s">
        <v>480</v>
      </c>
      <c r="C945" t="s">
        <v>456</v>
      </c>
      <c r="D945" t="s">
        <v>568</v>
      </c>
      <c r="E945" s="8">
        <v>0.18000000000000002</v>
      </c>
      <c r="F945" t="s">
        <v>487</v>
      </c>
      <c r="G945">
        <v>211</v>
      </c>
      <c r="H945" t="s">
        <v>35</v>
      </c>
      <c r="I945" t="s">
        <v>36</v>
      </c>
      <c r="J945" t="s">
        <v>37</v>
      </c>
      <c r="K945" t="s">
        <v>28</v>
      </c>
      <c r="L945">
        <v>2017</v>
      </c>
      <c r="M945" t="s">
        <v>38</v>
      </c>
      <c r="N945" t="s">
        <v>32</v>
      </c>
    </row>
    <row r="946" spans="1:14" x14ac:dyDescent="0.2">
      <c r="A946">
        <v>858571733</v>
      </c>
      <c r="B946" t="s">
        <v>480</v>
      </c>
      <c r="C946" t="s">
        <v>452</v>
      </c>
      <c r="D946" t="s">
        <v>568</v>
      </c>
      <c r="E946" s="8">
        <v>0.18000000000000002</v>
      </c>
      <c r="F946" t="s">
        <v>487</v>
      </c>
      <c r="G946">
        <v>211</v>
      </c>
      <c r="H946" t="s">
        <v>35</v>
      </c>
      <c r="I946" t="s">
        <v>36</v>
      </c>
      <c r="J946" t="s">
        <v>37</v>
      </c>
      <c r="K946" t="s">
        <v>28</v>
      </c>
      <c r="L946">
        <v>2017</v>
      </c>
      <c r="M946" t="s">
        <v>38</v>
      </c>
      <c r="N946" t="s">
        <v>32</v>
      </c>
    </row>
    <row r="947" spans="1:14" x14ac:dyDescent="0.2">
      <c r="A947">
        <v>858571733</v>
      </c>
      <c r="B947" t="s">
        <v>481</v>
      </c>
      <c r="C947" t="s">
        <v>533</v>
      </c>
      <c r="D947" t="s">
        <v>569</v>
      </c>
      <c r="E947" s="8">
        <v>0.16</v>
      </c>
      <c r="F947" t="s">
        <v>487</v>
      </c>
      <c r="G947">
        <v>211</v>
      </c>
      <c r="H947" t="s">
        <v>35</v>
      </c>
      <c r="I947" t="s">
        <v>36</v>
      </c>
      <c r="J947" t="s">
        <v>37</v>
      </c>
      <c r="K947" t="s">
        <v>28</v>
      </c>
      <c r="L947">
        <v>2017</v>
      </c>
      <c r="M947" t="s">
        <v>38</v>
      </c>
      <c r="N947" t="s">
        <v>32</v>
      </c>
    </row>
    <row r="948" spans="1:14" x14ac:dyDescent="0.2">
      <c r="A948">
        <v>858571733</v>
      </c>
      <c r="B948" t="s">
        <v>481</v>
      </c>
      <c r="C948" t="s">
        <v>106</v>
      </c>
      <c r="D948" t="s">
        <v>569</v>
      </c>
      <c r="E948" s="8">
        <v>0.16</v>
      </c>
      <c r="F948" t="s">
        <v>487</v>
      </c>
      <c r="G948">
        <v>211</v>
      </c>
      <c r="H948" t="s">
        <v>35</v>
      </c>
      <c r="I948" t="s">
        <v>36</v>
      </c>
      <c r="J948" t="s">
        <v>37</v>
      </c>
      <c r="K948" t="s">
        <v>28</v>
      </c>
      <c r="L948">
        <v>2017</v>
      </c>
      <c r="M948" t="s">
        <v>38</v>
      </c>
      <c r="N948" t="s">
        <v>32</v>
      </c>
    </row>
    <row r="949" spans="1:14" x14ac:dyDescent="0.2">
      <c r="A949">
        <v>858571733</v>
      </c>
      <c r="B949" t="s">
        <v>43</v>
      </c>
      <c r="C949" t="s">
        <v>59</v>
      </c>
      <c r="D949" t="s">
        <v>570</v>
      </c>
      <c r="E949" s="8">
        <v>0.17200000000000004</v>
      </c>
      <c r="F949" t="s">
        <v>487</v>
      </c>
      <c r="G949">
        <v>211</v>
      </c>
      <c r="H949" t="s">
        <v>35</v>
      </c>
      <c r="I949" t="s">
        <v>36</v>
      </c>
      <c r="J949" t="s">
        <v>37</v>
      </c>
      <c r="K949" t="s">
        <v>28</v>
      </c>
      <c r="L949">
        <v>2017</v>
      </c>
      <c r="M949" t="s">
        <v>38</v>
      </c>
      <c r="N949" t="s">
        <v>32</v>
      </c>
    </row>
    <row r="950" spans="1:14" x14ac:dyDescent="0.2">
      <c r="A950">
        <v>858571733</v>
      </c>
      <c r="B950" t="s">
        <v>482</v>
      </c>
      <c r="C950" t="s">
        <v>436</v>
      </c>
      <c r="D950" t="s">
        <v>561</v>
      </c>
      <c r="E950" s="8">
        <v>0.25571428571428573</v>
      </c>
      <c r="F950" t="s">
        <v>487</v>
      </c>
      <c r="G950">
        <v>211</v>
      </c>
      <c r="H950" t="s">
        <v>35</v>
      </c>
      <c r="I950" t="s">
        <v>36</v>
      </c>
      <c r="J950" t="s">
        <v>37</v>
      </c>
      <c r="K950" t="s">
        <v>28</v>
      </c>
      <c r="L950">
        <v>2017</v>
      </c>
      <c r="M950" t="s">
        <v>38</v>
      </c>
      <c r="N950" t="s">
        <v>32</v>
      </c>
    </row>
    <row r="951" spans="1:14" x14ac:dyDescent="0.2">
      <c r="A951">
        <v>858571733</v>
      </c>
      <c r="B951" t="s">
        <v>482</v>
      </c>
      <c r="C951" t="s">
        <v>436</v>
      </c>
      <c r="D951" t="s">
        <v>561</v>
      </c>
      <c r="E951" s="8">
        <v>0.27200000000000002</v>
      </c>
      <c r="F951" t="s">
        <v>487</v>
      </c>
      <c r="G951">
        <v>211</v>
      </c>
      <c r="H951" t="s">
        <v>35</v>
      </c>
      <c r="I951" t="s">
        <v>36</v>
      </c>
      <c r="J951" t="s">
        <v>37</v>
      </c>
      <c r="K951" t="s">
        <v>28</v>
      </c>
      <c r="L951">
        <v>2017</v>
      </c>
      <c r="M951" t="s">
        <v>38</v>
      </c>
      <c r="N951" t="s">
        <v>32</v>
      </c>
    </row>
    <row r="952" spans="1:14" x14ac:dyDescent="0.2">
      <c r="A952">
        <v>858571733</v>
      </c>
      <c r="B952" t="s">
        <v>483</v>
      </c>
      <c r="C952" t="s">
        <v>197</v>
      </c>
      <c r="D952" t="s">
        <v>556</v>
      </c>
      <c r="E952" s="8">
        <v>0.19</v>
      </c>
      <c r="F952" t="s">
        <v>487</v>
      </c>
      <c r="G952">
        <v>211</v>
      </c>
      <c r="H952" t="s">
        <v>35</v>
      </c>
      <c r="I952" t="s">
        <v>36</v>
      </c>
      <c r="J952" t="s">
        <v>37</v>
      </c>
      <c r="K952" t="s">
        <v>28</v>
      </c>
      <c r="L952">
        <v>2017</v>
      </c>
      <c r="M952" t="s">
        <v>38</v>
      </c>
      <c r="N952" t="s">
        <v>32</v>
      </c>
    </row>
    <row r="953" spans="1:14" x14ac:dyDescent="0.2">
      <c r="A953">
        <v>858571733</v>
      </c>
      <c r="B953" t="s">
        <v>483</v>
      </c>
      <c r="C953" t="s">
        <v>196</v>
      </c>
      <c r="D953" t="s">
        <v>557</v>
      </c>
      <c r="E953" s="8">
        <v>0.16</v>
      </c>
      <c r="F953" t="s">
        <v>487</v>
      </c>
      <c r="G953">
        <v>211</v>
      </c>
      <c r="H953" t="s">
        <v>35</v>
      </c>
      <c r="I953" t="s">
        <v>36</v>
      </c>
      <c r="J953" t="s">
        <v>37</v>
      </c>
      <c r="K953" t="s">
        <v>28</v>
      </c>
      <c r="L953">
        <v>2017</v>
      </c>
      <c r="M953" t="s">
        <v>38</v>
      </c>
      <c r="N953" t="s">
        <v>32</v>
      </c>
    </row>
    <row r="954" spans="1:14" x14ac:dyDescent="0.2">
      <c r="A954">
        <v>858571733</v>
      </c>
      <c r="B954" t="s">
        <v>483</v>
      </c>
      <c r="C954" t="s">
        <v>197</v>
      </c>
      <c r="D954" t="s">
        <v>556</v>
      </c>
      <c r="E954" s="8">
        <v>0.18000000000000002</v>
      </c>
      <c r="F954" t="s">
        <v>487</v>
      </c>
      <c r="G954">
        <v>211</v>
      </c>
      <c r="H954" t="s">
        <v>35</v>
      </c>
      <c r="I954" t="s">
        <v>36</v>
      </c>
      <c r="J954" t="s">
        <v>37</v>
      </c>
      <c r="K954" t="s">
        <v>28</v>
      </c>
      <c r="L954">
        <v>2017</v>
      </c>
      <c r="M954" t="s">
        <v>38</v>
      </c>
      <c r="N954" t="s">
        <v>32</v>
      </c>
    </row>
    <row r="955" spans="1:14" x14ac:dyDescent="0.2">
      <c r="A955">
        <v>858571733</v>
      </c>
      <c r="B955" t="s">
        <v>483</v>
      </c>
      <c r="C955" t="s">
        <v>196</v>
      </c>
      <c r="D955" t="s">
        <v>557</v>
      </c>
      <c r="E955" s="8">
        <v>0.16800000000000001</v>
      </c>
      <c r="F955" t="s">
        <v>487</v>
      </c>
      <c r="G955">
        <v>211</v>
      </c>
      <c r="H955" t="s">
        <v>35</v>
      </c>
      <c r="I955" t="s">
        <v>36</v>
      </c>
      <c r="J955" t="s">
        <v>37</v>
      </c>
      <c r="K955" t="s">
        <v>28</v>
      </c>
      <c r="L955">
        <v>2017</v>
      </c>
      <c r="M955" t="s">
        <v>38</v>
      </c>
      <c r="N955" t="s">
        <v>32</v>
      </c>
    </row>
    <row r="956" spans="1:14" x14ac:dyDescent="0.2">
      <c r="A956">
        <v>858571733</v>
      </c>
      <c r="B956" t="s">
        <v>483</v>
      </c>
      <c r="C956" t="s">
        <v>197</v>
      </c>
      <c r="D956" t="s">
        <v>556</v>
      </c>
      <c r="E956" s="8">
        <v>0.17333333333333334</v>
      </c>
      <c r="F956" t="s">
        <v>487</v>
      </c>
      <c r="G956">
        <v>211</v>
      </c>
      <c r="H956" t="s">
        <v>35</v>
      </c>
      <c r="I956" t="s">
        <v>36</v>
      </c>
      <c r="J956" t="s">
        <v>37</v>
      </c>
      <c r="K956" t="s">
        <v>28</v>
      </c>
      <c r="L956">
        <v>2017</v>
      </c>
      <c r="M956" t="s">
        <v>38</v>
      </c>
      <c r="N956" t="s">
        <v>32</v>
      </c>
    </row>
    <row r="957" spans="1:14" x14ac:dyDescent="0.2">
      <c r="A957">
        <v>858571733</v>
      </c>
      <c r="B957" t="s">
        <v>484</v>
      </c>
      <c r="C957" t="s">
        <v>497</v>
      </c>
      <c r="D957" t="s">
        <v>558</v>
      </c>
      <c r="E957" s="8">
        <v>0.18000000000000002</v>
      </c>
      <c r="F957" t="s">
        <v>487</v>
      </c>
      <c r="G957">
        <v>211</v>
      </c>
      <c r="H957" t="s">
        <v>35</v>
      </c>
      <c r="I957" t="s">
        <v>36</v>
      </c>
      <c r="J957" t="s">
        <v>37</v>
      </c>
      <c r="K957" t="s">
        <v>28</v>
      </c>
      <c r="L957">
        <v>2017</v>
      </c>
      <c r="M957" t="s">
        <v>38</v>
      </c>
      <c r="N957" t="s">
        <v>32</v>
      </c>
    </row>
    <row r="958" spans="1:14" x14ac:dyDescent="0.2">
      <c r="A958">
        <v>858571733</v>
      </c>
      <c r="B958" t="s">
        <v>484</v>
      </c>
      <c r="C958" t="s">
        <v>500</v>
      </c>
      <c r="D958" t="s">
        <v>558</v>
      </c>
      <c r="E958" s="8">
        <v>0.21750000000000003</v>
      </c>
      <c r="F958" t="s">
        <v>487</v>
      </c>
      <c r="G958">
        <v>211</v>
      </c>
      <c r="H958" t="s">
        <v>35</v>
      </c>
      <c r="I958" t="s">
        <v>36</v>
      </c>
      <c r="J958" t="s">
        <v>37</v>
      </c>
      <c r="K958" t="s">
        <v>28</v>
      </c>
      <c r="L958">
        <v>2017</v>
      </c>
      <c r="M958" t="s">
        <v>38</v>
      </c>
      <c r="N958" t="s">
        <v>32</v>
      </c>
    </row>
    <row r="959" spans="1:14" x14ac:dyDescent="0.2">
      <c r="A959">
        <v>858571733</v>
      </c>
      <c r="B959" t="s">
        <v>484</v>
      </c>
      <c r="C959" t="s">
        <v>501</v>
      </c>
      <c r="D959" t="s">
        <v>558</v>
      </c>
      <c r="E959" s="8">
        <v>0.25750000000000001</v>
      </c>
      <c r="F959" t="s">
        <v>487</v>
      </c>
      <c r="G959">
        <v>211</v>
      </c>
      <c r="H959" t="s">
        <v>35</v>
      </c>
      <c r="I959" t="s">
        <v>36</v>
      </c>
      <c r="J959" t="s">
        <v>37</v>
      </c>
      <c r="K959" t="s">
        <v>28</v>
      </c>
      <c r="L959">
        <v>2017</v>
      </c>
      <c r="M959" t="s">
        <v>38</v>
      </c>
      <c r="N959" t="s">
        <v>32</v>
      </c>
    </row>
    <row r="960" spans="1:14" x14ac:dyDescent="0.2">
      <c r="A960">
        <v>858571733</v>
      </c>
      <c r="B960" t="s">
        <v>485</v>
      </c>
      <c r="C960" t="s">
        <v>346</v>
      </c>
      <c r="D960" t="s">
        <v>559</v>
      </c>
      <c r="E960" s="8">
        <v>0.16</v>
      </c>
      <c r="F960" t="s">
        <v>487</v>
      </c>
      <c r="G960">
        <v>211</v>
      </c>
      <c r="H960" t="s">
        <v>35</v>
      </c>
      <c r="I960" t="s">
        <v>36</v>
      </c>
      <c r="J960" t="s">
        <v>37</v>
      </c>
      <c r="K960" t="s">
        <v>28</v>
      </c>
      <c r="L960">
        <v>2017</v>
      </c>
      <c r="M960" t="s">
        <v>38</v>
      </c>
      <c r="N960" t="s">
        <v>32</v>
      </c>
    </row>
    <row r="961" spans="1:14" x14ac:dyDescent="0.2">
      <c r="A961">
        <v>858571733</v>
      </c>
      <c r="B961" t="s">
        <v>485</v>
      </c>
      <c r="C961" t="s">
        <v>342</v>
      </c>
      <c r="D961" t="s">
        <v>559</v>
      </c>
      <c r="E961" s="8">
        <v>0.14250000000000002</v>
      </c>
      <c r="F961" t="s">
        <v>487</v>
      </c>
      <c r="G961">
        <v>211</v>
      </c>
      <c r="H961" t="s">
        <v>35</v>
      </c>
      <c r="I961" t="s">
        <v>36</v>
      </c>
      <c r="J961" t="s">
        <v>37</v>
      </c>
      <c r="K961" t="s">
        <v>28</v>
      </c>
      <c r="L961">
        <v>2017</v>
      </c>
      <c r="M961" t="s">
        <v>38</v>
      </c>
      <c r="N961" t="s">
        <v>32</v>
      </c>
    </row>
    <row r="962" spans="1:14" x14ac:dyDescent="0.2">
      <c r="A962">
        <v>902907559</v>
      </c>
      <c r="B962" t="s">
        <v>478</v>
      </c>
      <c r="C962" t="s">
        <v>276</v>
      </c>
      <c r="D962" t="s">
        <v>546</v>
      </c>
      <c r="E962" s="8">
        <v>0.82333333333333347</v>
      </c>
      <c r="F962" t="s">
        <v>487</v>
      </c>
      <c r="G962">
        <v>211</v>
      </c>
      <c r="H962" t="s">
        <v>35</v>
      </c>
      <c r="I962" t="s">
        <v>36</v>
      </c>
      <c r="J962" t="s">
        <v>37</v>
      </c>
      <c r="K962" t="s">
        <v>28</v>
      </c>
      <c r="L962">
        <v>2017</v>
      </c>
      <c r="M962" t="s">
        <v>38</v>
      </c>
      <c r="N962" t="s">
        <v>32</v>
      </c>
    </row>
    <row r="963" spans="1:14" x14ac:dyDescent="0.2">
      <c r="A963">
        <v>902907559</v>
      </c>
      <c r="B963" t="s">
        <v>478</v>
      </c>
      <c r="C963" t="s">
        <v>247</v>
      </c>
      <c r="D963" t="s">
        <v>546</v>
      </c>
      <c r="E963" s="8">
        <v>0.90599999999999992</v>
      </c>
      <c r="F963" t="s">
        <v>487</v>
      </c>
      <c r="G963">
        <v>211</v>
      </c>
      <c r="H963" t="s">
        <v>35</v>
      </c>
      <c r="I963" t="s">
        <v>36</v>
      </c>
      <c r="J963" t="s">
        <v>37</v>
      </c>
      <c r="K963" t="s">
        <v>28</v>
      </c>
      <c r="L963">
        <v>2017</v>
      </c>
      <c r="M963" t="s">
        <v>38</v>
      </c>
      <c r="N963" t="s">
        <v>32</v>
      </c>
    </row>
    <row r="964" spans="1:14" x14ac:dyDescent="0.2">
      <c r="A964">
        <v>902907559</v>
      </c>
      <c r="B964" t="s">
        <v>40</v>
      </c>
      <c r="C964" t="s">
        <v>435</v>
      </c>
      <c r="D964" t="s">
        <v>560</v>
      </c>
      <c r="E964" s="8">
        <v>0.86</v>
      </c>
      <c r="F964" t="s">
        <v>487</v>
      </c>
      <c r="G964">
        <v>211</v>
      </c>
      <c r="H964" t="s">
        <v>35</v>
      </c>
      <c r="I964" t="s">
        <v>36</v>
      </c>
      <c r="J964" t="s">
        <v>37</v>
      </c>
      <c r="K964" t="s">
        <v>28</v>
      </c>
      <c r="L964">
        <v>2017</v>
      </c>
      <c r="M964" t="s">
        <v>38</v>
      </c>
      <c r="N964" t="s">
        <v>32</v>
      </c>
    </row>
    <row r="965" spans="1:14" x14ac:dyDescent="0.2">
      <c r="A965">
        <v>902907559</v>
      </c>
      <c r="B965" t="s">
        <v>40</v>
      </c>
      <c r="C965" t="s">
        <v>393</v>
      </c>
      <c r="D965" t="s">
        <v>560</v>
      </c>
      <c r="E965" s="8">
        <v>0.55333333333333334</v>
      </c>
      <c r="F965" t="s">
        <v>487</v>
      </c>
      <c r="G965">
        <v>211</v>
      </c>
      <c r="H965" t="s">
        <v>35</v>
      </c>
      <c r="I965" t="s">
        <v>36</v>
      </c>
      <c r="J965" t="s">
        <v>37</v>
      </c>
      <c r="K965" t="s">
        <v>28</v>
      </c>
      <c r="L965">
        <v>2017</v>
      </c>
      <c r="M965" t="s">
        <v>38</v>
      </c>
      <c r="N965" t="s">
        <v>32</v>
      </c>
    </row>
    <row r="966" spans="1:14" x14ac:dyDescent="0.2">
      <c r="A966">
        <v>902907559</v>
      </c>
      <c r="B966" t="s">
        <v>41</v>
      </c>
      <c r="C966" t="s">
        <v>212</v>
      </c>
      <c r="D966" t="s">
        <v>562</v>
      </c>
      <c r="E966" s="8">
        <v>0.67500000000000004</v>
      </c>
      <c r="F966" t="s">
        <v>487</v>
      </c>
      <c r="G966">
        <v>211</v>
      </c>
      <c r="H966" t="s">
        <v>35</v>
      </c>
      <c r="I966" t="s">
        <v>36</v>
      </c>
      <c r="J966" t="s">
        <v>37</v>
      </c>
      <c r="K966" t="s">
        <v>28</v>
      </c>
      <c r="L966">
        <v>2017</v>
      </c>
      <c r="M966" t="s">
        <v>38</v>
      </c>
      <c r="N966" t="s">
        <v>32</v>
      </c>
    </row>
    <row r="967" spans="1:14" x14ac:dyDescent="0.2">
      <c r="A967">
        <v>902907559</v>
      </c>
      <c r="B967" t="s">
        <v>41</v>
      </c>
      <c r="C967" t="s">
        <v>207</v>
      </c>
      <c r="D967" t="s">
        <v>562</v>
      </c>
      <c r="E967" s="8">
        <v>0.46</v>
      </c>
      <c r="F967" t="s">
        <v>487</v>
      </c>
      <c r="G967">
        <v>211</v>
      </c>
      <c r="H967" t="s">
        <v>35</v>
      </c>
      <c r="I967" t="s">
        <v>36</v>
      </c>
      <c r="J967" t="s">
        <v>37</v>
      </c>
      <c r="K967" t="s">
        <v>28</v>
      </c>
      <c r="L967">
        <v>2017</v>
      </c>
      <c r="M967" t="s">
        <v>38</v>
      </c>
      <c r="N967" t="s">
        <v>32</v>
      </c>
    </row>
    <row r="968" spans="1:14" x14ac:dyDescent="0.2">
      <c r="A968">
        <v>902907559</v>
      </c>
      <c r="B968" t="s">
        <v>41</v>
      </c>
      <c r="C968" t="s">
        <v>221</v>
      </c>
      <c r="D968" t="s">
        <v>563</v>
      </c>
      <c r="E968" s="8">
        <v>0.41333333333333333</v>
      </c>
      <c r="F968" t="s">
        <v>487</v>
      </c>
      <c r="G968">
        <v>211</v>
      </c>
      <c r="H968" t="s">
        <v>35</v>
      </c>
      <c r="I968" t="s">
        <v>36</v>
      </c>
      <c r="J968" t="s">
        <v>37</v>
      </c>
      <c r="K968" t="s">
        <v>28</v>
      </c>
      <c r="L968">
        <v>2017</v>
      </c>
      <c r="M968" t="s">
        <v>38</v>
      </c>
      <c r="N968" t="s">
        <v>32</v>
      </c>
    </row>
    <row r="969" spans="1:14" x14ac:dyDescent="0.2">
      <c r="A969">
        <v>902907559</v>
      </c>
      <c r="B969" t="s">
        <v>42</v>
      </c>
      <c r="C969" t="s">
        <v>159</v>
      </c>
      <c r="D969" t="s">
        <v>564</v>
      </c>
      <c r="E969" s="8">
        <v>0.12000000000000002</v>
      </c>
      <c r="F969" t="s">
        <v>487</v>
      </c>
      <c r="G969">
        <v>211</v>
      </c>
      <c r="H969" t="s">
        <v>35</v>
      </c>
      <c r="I969" t="s">
        <v>36</v>
      </c>
      <c r="J969" t="s">
        <v>37</v>
      </c>
      <c r="K969" t="s">
        <v>28</v>
      </c>
      <c r="L969">
        <v>2017</v>
      </c>
      <c r="M969" t="s">
        <v>38</v>
      </c>
      <c r="N969" t="s">
        <v>32</v>
      </c>
    </row>
    <row r="970" spans="1:14" x14ac:dyDescent="0.2">
      <c r="A970">
        <v>902907559</v>
      </c>
      <c r="B970" t="s">
        <v>42</v>
      </c>
      <c r="C970" t="s">
        <v>135</v>
      </c>
      <c r="D970" t="s">
        <v>565</v>
      </c>
      <c r="E970" s="8">
        <v>0.86</v>
      </c>
      <c r="F970" t="s">
        <v>487</v>
      </c>
      <c r="G970">
        <v>211</v>
      </c>
      <c r="H970" t="s">
        <v>35</v>
      </c>
      <c r="I970" t="s">
        <v>36</v>
      </c>
      <c r="J970" t="s">
        <v>37</v>
      </c>
      <c r="K970" t="s">
        <v>28</v>
      </c>
      <c r="L970">
        <v>2017</v>
      </c>
      <c r="M970" t="s">
        <v>38</v>
      </c>
      <c r="N970" t="s">
        <v>32</v>
      </c>
    </row>
    <row r="971" spans="1:14" x14ac:dyDescent="0.2">
      <c r="A971">
        <v>902907559</v>
      </c>
      <c r="B971" t="s">
        <v>42</v>
      </c>
      <c r="C971" t="s">
        <v>56</v>
      </c>
      <c r="D971" t="s">
        <v>565</v>
      </c>
      <c r="E971" s="8">
        <v>0.85999999999999988</v>
      </c>
      <c r="F971" t="s">
        <v>487</v>
      </c>
      <c r="G971">
        <v>211</v>
      </c>
      <c r="H971" t="s">
        <v>35</v>
      </c>
      <c r="I971" t="s">
        <v>36</v>
      </c>
      <c r="J971" t="s">
        <v>37</v>
      </c>
      <c r="K971" t="s">
        <v>28</v>
      </c>
      <c r="L971">
        <v>2017</v>
      </c>
      <c r="M971" t="s">
        <v>38</v>
      </c>
      <c r="N971" t="s">
        <v>32</v>
      </c>
    </row>
    <row r="972" spans="1:14" x14ac:dyDescent="0.2">
      <c r="A972">
        <v>902907559</v>
      </c>
      <c r="B972" t="s">
        <v>42</v>
      </c>
      <c r="C972" t="s">
        <v>155</v>
      </c>
      <c r="D972" t="s">
        <v>564</v>
      </c>
      <c r="E972" s="8">
        <v>0.12000000000000002</v>
      </c>
      <c r="F972" t="s">
        <v>487</v>
      </c>
      <c r="G972">
        <v>211</v>
      </c>
      <c r="H972" t="s">
        <v>35</v>
      </c>
      <c r="I972" t="s">
        <v>36</v>
      </c>
      <c r="J972" t="s">
        <v>37</v>
      </c>
      <c r="K972" t="s">
        <v>28</v>
      </c>
      <c r="L972">
        <v>2017</v>
      </c>
      <c r="M972" t="s">
        <v>38</v>
      </c>
      <c r="N972" t="s">
        <v>32</v>
      </c>
    </row>
    <row r="973" spans="1:14" x14ac:dyDescent="0.2">
      <c r="A973">
        <v>902907559</v>
      </c>
      <c r="B973" t="s">
        <v>479</v>
      </c>
      <c r="C973" t="s">
        <v>57</v>
      </c>
      <c r="D973" t="s">
        <v>566</v>
      </c>
      <c r="E973" s="8">
        <v>0.52444444444444438</v>
      </c>
      <c r="F973" t="s">
        <v>487</v>
      </c>
      <c r="G973">
        <v>211</v>
      </c>
      <c r="H973" t="s">
        <v>35</v>
      </c>
      <c r="I973" t="s">
        <v>36</v>
      </c>
      <c r="J973" t="s">
        <v>37</v>
      </c>
      <c r="K973" t="s">
        <v>28</v>
      </c>
      <c r="L973">
        <v>2017</v>
      </c>
      <c r="M973" t="s">
        <v>38</v>
      </c>
      <c r="N973" t="s">
        <v>32</v>
      </c>
    </row>
    <row r="974" spans="1:14" x14ac:dyDescent="0.2">
      <c r="A974">
        <v>902907559</v>
      </c>
      <c r="B974" t="s">
        <v>479</v>
      </c>
      <c r="C974" t="s">
        <v>58</v>
      </c>
      <c r="D974" t="s">
        <v>567</v>
      </c>
      <c r="E974" s="8">
        <v>0.12000000000000002</v>
      </c>
      <c r="F974" t="s">
        <v>487</v>
      </c>
      <c r="G974">
        <v>211</v>
      </c>
      <c r="H974" t="s">
        <v>35</v>
      </c>
      <c r="I974" t="s">
        <v>36</v>
      </c>
      <c r="J974" t="s">
        <v>37</v>
      </c>
      <c r="K974" t="s">
        <v>28</v>
      </c>
      <c r="L974">
        <v>2017</v>
      </c>
      <c r="M974" t="s">
        <v>38</v>
      </c>
      <c r="N974" t="s">
        <v>32</v>
      </c>
    </row>
    <row r="975" spans="1:14" x14ac:dyDescent="0.2">
      <c r="A975">
        <v>902907559</v>
      </c>
      <c r="B975" t="s">
        <v>480</v>
      </c>
      <c r="C975" t="s">
        <v>456</v>
      </c>
      <c r="D975" t="s">
        <v>568</v>
      </c>
      <c r="E975" s="8">
        <v>0.61333333333333329</v>
      </c>
      <c r="F975" t="s">
        <v>487</v>
      </c>
      <c r="G975">
        <v>211</v>
      </c>
      <c r="H975" t="s">
        <v>35</v>
      </c>
      <c r="I975" t="s">
        <v>36</v>
      </c>
      <c r="J975" t="s">
        <v>37</v>
      </c>
      <c r="K975" t="s">
        <v>28</v>
      </c>
      <c r="L975">
        <v>2017</v>
      </c>
      <c r="M975" t="s">
        <v>38</v>
      </c>
      <c r="N975" t="s">
        <v>32</v>
      </c>
    </row>
    <row r="976" spans="1:14" x14ac:dyDescent="0.2">
      <c r="A976">
        <v>902907559</v>
      </c>
      <c r="B976" t="s">
        <v>480</v>
      </c>
      <c r="C976" t="s">
        <v>452</v>
      </c>
      <c r="D976" t="s">
        <v>568</v>
      </c>
      <c r="E976" s="8">
        <v>0.61333333333333329</v>
      </c>
      <c r="F976" t="s">
        <v>487</v>
      </c>
      <c r="G976">
        <v>211</v>
      </c>
      <c r="H976" t="s">
        <v>35</v>
      </c>
      <c r="I976" t="s">
        <v>36</v>
      </c>
      <c r="J976" t="s">
        <v>37</v>
      </c>
      <c r="K976" t="s">
        <v>28</v>
      </c>
      <c r="L976">
        <v>2017</v>
      </c>
      <c r="M976" t="s">
        <v>38</v>
      </c>
      <c r="N976" t="s">
        <v>32</v>
      </c>
    </row>
    <row r="977" spans="1:14" x14ac:dyDescent="0.2">
      <c r="A977">
        <v>902907559</v>
      </c>
      <c r="B977" t="s">
        <v>481</v>
      </c>
      <c r="C977" t="s">
        <v>533</v>
      </c>
      <c r="D977" t="s">
        <v>569</v>
      </c>
      <c r="E977" s="8">
        <v>0.12000000000000002</v>
      </c>
      <c r="F977" t="s">
        <v>487</v>
      </c>
      <c r="G977">
        <v>211</v>
      </c>
      <c r="H977" t="s">
        <v>35</v>
      </c>
      <c r="I977" t="s">
        <v>36</v>
      </c>
      <c r="J977" t="s">
        <v>37</v>
      </c>
      <c r="K977" t="s">
        <v>28</v>
      </c>
      <c r="L977">
        <v>2017</v>
      </c>
      <c r="M977" t="s">
        <v>38</v>
      </c>
      <c r="N977" t="s">
        <v>32</v>
      </c>
    </row>
    <row r="978" spans="1:14" x14ac:dyDescent="0.2">
      <c r="A978">
        <v>902907559</v>
      </c>
      <c r="B978" t="s">
        <v>481</v>
      </c>
      <c r="C978" t="s">
        <v>106</v>
      </c>
      <c r="D978" t="s">
        <v>569</v>
      </c>
      <c r="E978" s="8">
        <v>0.12000000000000002</v>
      </c>
      <c r="F978" t="s">
        <v>487</v>
      </c>
      <c r="G978">
        <v>211</v>
      </c>
      <c r="H978" t="s">
        <v>35</v>
      </c>
      <c r="I978" t="s">
        <v>36</v>
      </c>
      <c r="J978" t="s">
        <v>37</v>
      </c>
      <c r="K978" t="s">
        <v>28</v>
      </c>
      <c r="L978">
        <v>2017</v>
      </c>
      <c r="M978" t="s">
        <v>38</v>
      </c>
      <c r="N978" t="s">
        <v>32</v>
      </c>
    </row>
    <row r="979" spans="1:14" x14ac:dyDescent="0.2">
      <c r="A979">
        <v>902907559</v>
      </c>
      <c r="B979" t="s">
        <v>43</v>
      </c>
      <c r="C979" t="s">
        <v>59</v>
      </c>
      <c r="D979" t="s">
        <v>570</v>
      </c>
      <c r="E979" s="8">
        <v>0.41600000000000004</v>
      </c>
      <c r="F979" t="s">
        <v>487</v>
      </c>
      <c r="G979">
        <v>211</v>
      </c>
      <c r="H979" t="s">
        <v>35</v>
      </c>
      <c r="I979" t="s">
        <v>36</v>
      </c>
      <c r="J979" t="s">
        <v>37</v>
      </c>
      <c r="K979" t="s">
        <v>28</v>
      </c>
      <c r="L979">
        <v>2017</v>
      </c>
      <c r="M979" t="s">
        <v>38</v>
      </c>
      <c r="N979" t="s">
        <v>32</v>
      </c>
    </row>
    <row r="980" spans="1:14" x14ac:dyDescent="0.2">
      <c r="A980">
        <v>902907559</v>
      </c>
      <c r="B980" t="s">
        <v>482</v>
      </c>
      <c r="C980" t="s">
        <v>436</v>
      </c>
      <c r="D980" t="s">
        <v>561</v>
      </c>
      <c r="E980" s="8">
        <v>0.78428571428571436</v>
      </c>
      <c r="F980" t="s">
        <v>487</v>
      </c>
      <c r="G980">
        <v>211</v>
      </c>
      <c r="H980" t="s">
        <v>35</v>
      </c>
      <c r="I980" t="s">
        <v>36</v>
      </c>
      <c r="J980" t="s">
        <v>37</v>
      </c>
      <c r="K980" t="s">
        <v>28</v>
      </c>
      <c r="L980">
        <v>2017</v>
      </c>
      <c r="M980" t="s">
        <v>38</v>
      </c>
      <c r="N980" t="s">
        <v>32</v>
      </c>
    </row>
    <row r="981" spans="1:14" x14ac:dyDescent="0.2">
      <c r="A981">
        <v>902907559</v>
      </c>
      <c r="B981" t="s">
        <v>482</v>
      </c>
      <c r="C981" t="s">
        <v>436</v>
      </c>
      <c r="D981" t="s">
        <v>561</v>
      </c>
      <c r="E981" s="8">
        <v>0.78799999999999992</v>
      </c>
      <c r="F981" t="s">
        <v>487</v>
      </c>
      <c r="G981">
        <v>211</v>
      </c>
      <c r="H981" t="s">
        <v>35</v>
      </c>
      <c r="I981" t="s">
        <v>36</v>
      </c>
      <c r="J981" t="s">
        <v>37</v>
      </c>
      <c r="K981" t="s">
        <v>28</v>
      </c>
      <c r="L981">
        <v>2017</v>
      </c>
      <c r="M981" t="s">
        <v>38</v>
      </c>
      <c r="N981" t="s">
        <v>32</v>
      </c>
    </row>
    <row r="982" spans="1:14" x14ac:dyDescent="0.2">
      <c r="A982">
        <v>902907559</v>
      </c>
      <c r="B982" t="s">
        <v>483</v>
      </c>
      <c r="C982" t="s">
        <v>197</v>
      </c>
      <c r="D982" t="s">
        <v>556</v>
      </c>
      <c r="E982" s="8">
        <v>0.86</v>
      </c>
      <c r="F982" t="s">
        <v>487</v>
      </c>
      <c r="G982">
        <v>211</v>
      </c>
      <c r="H982" t="s">
        <v>35</v>
      </c>
      <c r="I982" t="s">
        <v>36</v>
      </c>
      <c r="J982" t="s">
        <v>37</v>
      </c>
      <c r="K982" t="s">
        <v>28</v>
      </c>
      <c r="L982">
        <v>2017</v>
      </c>
      <c r="M982" t="s">
        <v>38</v>
      </c>
      <c r="N982" t="s">
        <v>32</v>
      </c>
    </row>
    <row r="983" spans="1:14" x14ac:dyDescent="0.2">
      <c r="A983">
        <v>902907559</v>
      </c>
      <c r="B983" t="s">
        <v>483</v>
      </c>
      <c r="C983" t="s">
        <v>196</v>
      </c>
      <c r="D983" t="s">
        <v>557</v>
      </c>
      <c r="E983" s="8">
        <v>0.12000000000000002</v>
      </c>
      <c r="F983" t="s">
        <v>487</v>
      </c>
      <c r="G983">
        <v>211</v>
      </c>
      <c r="H983" t="s">
        <v>35</v>
      </c>
      <c r="I983" t="s">
        <v>36</v>
      </c>
      <c r="J983" t="s">
        <v>37</v>
      </c>
      <c r="K983" t="s">
        <v>28</v>
      </c>
      <c r="L983">
        <v>2017</v>
      </c>
      <c r="M983" t="s">
        <v>38</v>
      </c>
      <c r="N983" t="s">
        <v>32</v>
      </c>
    </row>
    <row r="984" spans="1:14" x14ac:dyDescent="0.2">
      <c r="A984">
        <v>902907559</v>
      </c>
      <c r="B984" t="s">
        <v>483</v>
      </c>
      <c r="C984" t="s">
        <v>197</v>
      </c>
      <c r="D984" t="s">
        <v>556</v>
      </c>
      <c r="E984" s="8">
        <v>0.61333333333333329</v>
      </c>
      <c r="F984" t="s">
        <v>487</v>
      </c>
      <c r="G984">
        <v>211</v>
      </c>
      <c r="H984" t="s">
        <v>35</v>
      </c>
      <c r="I984" t="s">
        <v>36</v>
      </c>
      <c r="J984" t="s">
        <v>37</v>
      </c>
      <c r="K984" t="s">
        <v>28</v>
      </c>
      <c r="L984">
        <v>2017</v>
      </c>
      <c r="M984" t="s">
        <v>38</v>
      </c>
      <c r="N984" t="s">
        <v>32</v>
      </c>
    </row>
    <row r="985" spans="1:14" x14ac:dyDescent="0.2">
      <c r="A985">
        <v>902907559</v>
      </c>
      <c r="B985" t="s">
        <v>483</v>
      </c>
      <c r="C985" t="s">
        <v>196</v>
      </c>
      <c r="D985" t="s">
        <v>557</v>
      </c>
      <c r="E985" s="8">
        <v>0.29600000000000004</v>
      </c>
      <c r="F985" t="s">
        <v>487</v>
      </c>
      <c r="G985">
        <v>211</v>
      </c>
      <c r="H985" t="s">
        <v>35</v>
      </c>
      <c r="I985" t="s">
        <v>36</v>
      </c>
      <c r="J985" t="s">
        <v>37</v>
      </c>
      <c r="K985" t="s">
        <v>28</v>
      </c>
      <c r="L985">
        <v>2017</v>
      </c>
      <c r="M985" t="s">
        <v>38</v>
      </c>
      <c r="N985" t="s">
        <v>32</v>
      </c>
    </row>
    <row r="986" spans="1:14" x14ac:dyDescent="0.2">
      <c r="A986">
        <v>902907559</v>
      </c>
      <c r="B986" t="s">
        <v>483</v>
      </c>
      <c r="C986" t="s">
        <v>197</v>
      </c>
      <c r="D986" t="s">
        <v>556</v>
      </c>
      <c r="E986" s="8">
        <v>0.41333333333333333</v>
      </c>
      <c r="F986" t="s">
        <v>487</v>
      </c>
      <c r="G986">
        <v>211</v>
      </c>
      <c r="H986" t="s">
        <v>35</v>
      </c>
      <c r="I986" t="s">
        <v>36</v>
      </c>
      <c r="J986" t="s">
        <v>37</v>
      </c>
      <c r="K986" t="s">
        <v>28</v>
      </c>
      <c r="L986">
        <v>2017</v>
      </c>
      <c r="M986" t="s">
        <v>38</v>
      </c>
      <c r="N986" t="s">
        <v>32</v>
      </c>
    </row>
    <row r="987" spans="1:14" x14ac:dyDescent="0.2">
      <c r="A987">
        <v>902907559</v>
      </c>
      <c r="B987" t="s">
        <v>484</v>
      </c>
      <c r="C987" t="s">
        <v>497</v>
      </c>
      <c r="D987" t="s">
        <v>558</v>
      </c>
      <c r="E987" s="8">
        <v>0.61333333333333329</v>
      </c>
      <c r="F987" t="s">
        <v>487</v>
      </c>
      <c r="G987">
        <v>211</v>
      </c>
      <c r="H987" t="s">
        <v>35</v>
      </c>
      <c r="I987" t="s">
        <v>36</v>
      </c>
      <c r="J987" t="s">
        <v>37</v>
      </c>
      <c r="K987" t="s">
        <v>28</v>
      </c>
      <c r="L987">
        <v>2017</v>
      </c>
      <c r="M987" t="s">
        <v>38</v>
      </c>
      <c r="N987" t="s">
        <v>32</v>
      </c>
    </row>
    <row r="988" spans="1:14" x14ac:dyDescent="0.2">
      <c r="A988">
        <v>902907559</v>
      </c>
      <c r="B988" t="s">
        <v>484</v>
      </c>
      <c r="C988" t="s">
        <v>500</v>
      </c>
      <c r="D988" t="s">
        <v>558</v>
      </c>
      <c r="E988" s="8">
        <v>0.72</v>
      </c>
      <c r="F988" t="s">
        <v>487</v>
      </c>
      <c r="G988">
        <v>211</v>
      </c>
      <c r="H988" t="s">
        <v>35</v>
      </c>
      <c r="I988" t="s">
        <v>36</v>
      </c>
      <c r="J988" t="s">
        <v>37</v>
      </c>
      <c r="K988" t="s">
        <v>28</v>
      </c>
      <c r="L988">
        <v>2017</v>
      </c>
      <c r="M988" t="s">
        <v>38</v>
      </c>
      <c r="N988" t="s">
        <v>32</v>
      </c>
    </row>
    <row r="989" spans="1:14" x14ac:dyDescent="0.2">
      <c r="A989">
        <v>902907559</v>
      </c>
      <c r="B989" t="s">
        <v>484</v>
      </c>
      <c r="C989" t="s">
        <v>501</v>
      </c>
      <c r="D989" t="s">
        <v>558</v>
      </c>
      <c r="E989" s="8">
        <v>0.70374999999999999</v>
      </c>
      <c r="F989" t="s">
        <v>487</v>
      </c>
      <c r="G989">
        <v>211</v>
      </c>
      <c r="H989" t="s">
        <v>35</v>
      </c>
      <c r="I989" t="s">
        <v>36</v>
      </c>
      <c r="J989" t="s">
        <v>37</v>
      </c>
      <c r="K989" t="s">
        <v>28</v>
      </c>
      <c r="L989">
        <v>2017</v>
      </c>
      <c r="M989" t="s">
        <v>38</v>
      </c>
      <c r="N989" t="s">
        <v>32</v>
      </c>
    </row>
    <row r="990" spans="1:14" x14ac:dyDescent="0.2">
      <c r="A990">
        <v>902907559</v>
      </c>
      <c r="B990" t="s">
        <v>485</v>
      </c>
      <c r="C990" t="s">
        <v>346</v>
      </c>
      <c r="D990" t="s">
        <v>559</v>
      </c>
      <c r="E990" s="8">
        <v>0.12000000000000002</v>
      </c>
      <c r="F990" t="s">
        <v>487</v>
      </c>
      <c r="G990">
        <v>211</v>
      </c>
      <c r="H990" t="s">
        <v>35</v>
      </c>
      <c r="I990" t="s">
        <v>36</v>
      </c>
      <c r="J990" t="s">
        <v>37</v>
      </c>
      <c r="K990" t="s">
        <v>28</v>
      </c>
      <c r="L990">
        <v>2017</v>
      </c>
      <c r="M990" t="s">
        <v>38</v>
      </c>
      <c r="N990" t="s">
        <v>32</v>
      </c>
    </row>
    <row r="991" spans="1:14" x14ac:dyDescent="0.2">
      <c r="A991">
        <v>902907559</v>
      </c>
      <c r="B991" t="s">
        <v>485</v>
      </c>
      <c r="C991" t="s">
        <v>342</v>
      </c>
      <c r="D991" t="s">
        <v>559</v>
      </c>
      <c r="E991" s="8">
        <v>0.33500000000000002</v>
      </c>
      <c r="F991" t="s">
        <v>487</v>
      </c>
      <c r="G991">
        <v>211</v>
      </c>
      <c r="H991" t="s">
        <v>35</v>
      </c>
      <c r="I991" t="s">
        <v>36</v>
      </c>
      <c r="J991" t="s">
        <v>37</v>
      </c>
      <c r="K991" t="s">
        <v>28</v>
      </c>
      <c r="L991">
        <v>2017</v>
      </c>
      <c r="M991" t="s">
        <v>38</v>
      </c>
      <c r="N991" t="s">
        <v>32</v>
      </c>
    </row>
    <row r="992" spans="1:14" x14ac:dyDescent="0.2">
      <c r="A992">
        <v>970698993</v>
      </c>
      <c r="B992" t="s">
        <v>478</v>
      </c>
      <c r="C992" t="s">
        <v>276</v>
      </c>
      <c r="D992" t="s">
        <v>546</v>
      </c>
      <c r="E992" s="8">
        <v>0.83333333333333337</v>
      </c>
      <c r="F992" t="s">
        <v>487</v>
      </c>
      <c r="G992">
        <v>211</v>
      </c>
      <c r="H992" t="s">
        <v>35</v>
      </c>
      <c r="I992" t="s">
        <v>36</v>
      </c>
      <c r="J992" t="s">
        <v>37</v>
      </c>
      <c r="K992" t="s">
        <v>28</v>
      </c>
      <c r="L992">
        <v>2017</v>
      </c>
      <c r="M992" t="s">
        <v>38</v>
      </c>
      <c r="N992" t="s">
        <v>32</v>
      </c>
    </row>
    <row r="993" spans="1:14" x14ac:dyDescent="0.2">
      <c r="A993">
        <v>970698993</v>
      </c>
      <c r="B993" t="s">
        <v>478</v>
      </c>
      <c r="C993" t="s">
        <v>247</v>
      </c>
      <c r="D993" t="s">
        <v>546</v>
      </c>
      <c r="E993" s="8">
        <v>0.80599999999999994</v>
      </c>
      <c r="F993" t="s">
        <v>487</v>
      </c>
      <c r="G993">
        <v>211</v>
      </c>
      <c r="H993" t="s">
        <v>35</v>
      </c>
      <c r="I993" t="s">
        <v>36</v>
      </c>
      <c r="J993" t="s">
        <v>37</v>
      </c>
      <c r="K993" t="s">
        <v>28</v>
      </c>
      <c r="L993">
        <v>2017</v>
      </c>
      <c r="M993" t="s">
        <v>38</v>
      </c>
      <c r="N993" t="s">
        <v>32</v>
      </c>
    </row>
    <row r="994" spans="1:14" x14ac:dyDescent="0.2">
      <c r="A994">
        <v>970698993</v>
      </c>
      <c r="B994" t="s">
        <v>40</v>
      </c>
      <c r="C994" t="s">
        <v>435</v>
      </c>
      <c r="D994" t="s">
        <v>560</v>
      </c>
      <c r="E994" s="8">
        <v>0.95</v>
      </c>
      <c r="F994" t="s">
        <v>487</v>
      </c>
      <c r="G994">
        <v>211</v>
      </c>
      <c r="H994" t="s">
        <v>35</v>
      </c>
      <c r="I994" t="s">
        <v>36</v>
      </c>
      <c r="J994" t="s">
        <v>37</v>
      </c>
      <c r="K994" t="s">
        <v>28</v>
      </c>
      <c r="L994">
        <v>2017</v>
      </c>
      <c r="M994" t="s">
        <v>38</v>
      </c>
      <c r="N994" t="s">
        <v>32</v>
      </c>
    </row>
    <row r="995" spans="1:14" x14ac:dyDescent="0.2">
      <c r="A995">
        <v>970698993</v>
      </c>
      <c r="B995" t="s">
        <v>40</v>
      </c>
      <c r="C995" t="s">
        <v>393</v>
      </c>
      <c r="D995" t="s">
        <v>560</v>
      </c>
      <c r="E995" s="8">
        <v>0.6333333333333333</v>
      </c>
      <c r="F995" t="s">
        <v>487</v>
      </c>
      <c r="G995">
        <v>211</v>
      </c>
      <c r="H995" t="s">
        <v>35</v>
      </c>
      <c r="I995" t="s">
        <v>36</v>
      </c>
      <c r="J995" t="s">
        <v>37</v>
      </c>
      <c r="K995" t="s">
        <v>28</v>
      </c>
      <c r="L995">
        <v>2017</v>
      </c>
      <c r="M995" t="s">
        <v>38</v>
      </c>
      <c r="N995" t="s">
        <v>32</v>
      </c>
    </row>
    <row r="996" spans="1:14" x14ac:dyDescent="0.2">
      <c r="A996">
        <v>970698993</v>
      </c>
      <c r="B996" t="s">
        <v>41</v>
      </c>
      <c r="C996" t="s">
        <v>212</v>
      </c>
      <c r="D996" t="s">
        <v>562</v>
      </c>
      <c r="E996" s="8">
        <v>0.73250000000000004</v>
      </c>
      <c r="F996" t="s">
        <v>487</v>
      </c>
      <c r="G996">
        <v>211</v>
      </c>
      <c r="H996" t="s">
        <v>35</v>
      </c>
      <c r="I996" t="s">
        <v>36</v>
      </c>
      <c r="J996" t="s">
        <v>37</v>
      </c>
      <c r="K996" t="s">
        <v>28</v>
      </c>
      <c r="L996">
        <v>2017</v>
      </c>
      <c r="M996" t="s">
        <v>38</v>
      </c>
      <c r="N996" t="s">
        <v>32</v>
      </c>
    </row>
    <row r="997" spans="1:14" x14ac:dyDescent="0.2">
      <c r="A997">
        <v>970698993</v>
      </c>
      <c r="B997" t="s">
        <v>41</v>
      </c>
      <c r="C997" t="s">
        <v>207</v>
      </c>
      <c r="D997" t="s">
        <v>562</v>
      </c>
      <c r="E997" s="8">
        <v>0.50166666666666671</v>
      </c>
      <c r="F997" t="s">
        <v>487</v>
      </c>
      <c r="G997">
        <v>211</v>
      </c>
      <c r="H997" t="s">
        <v>35</v>
      </c>
      <c r="I997" t="s">
        <v>36</v>
      </c>
      <c r="J997" t="s">
        <v>37</v>
      </c>
      <c r="K997" t="s">
        <v>28</v>
      </c>
      <c r="L997">
        <v>2017</v>
      </c>
      <c r="M997" t="s">
        <v>38</v>
      </c>
      <c r="N997" t="s">
        <v>32</v>
      </c>
    </row>
    <row r="998" spans="1:14" x14ac:dyDescent="0.2">
      <c r="A998">
        <v>970698993</v>
      </c>
      <c r="B998" t="s">
        <v>41</v>
      </c>
      <c r="C998" t="s">
        <v>221</v>
      </c>
      <c r="D998" t="s">
        <v>563</v>
      </c>
      <c r="E998" s="8">
        <v>0.18666666666666665</v>
      </c>
      <c r="F998" t="s">
        <v>487</v>
      </c>
      <c r="G998">
        <v>211</v>
      </c>
      <c r="H998" t="s">
        <v>35</v>
      </c>
      <c r="I998" t="s">
        <v>36</v>
      </c>
      <c r="J998" t="s">
        <v>37</v>
      </c>
      <c r="K998" t="s">
        <v>28</v>
      </c>
      <c r="L998">
        <v>2017</v>
      </c>
      <c r="M998" t="s">
        <v>38</v>
      </c>
      <c r="N998" t="s">
        <v>32</v>
      </c>
    </row>
    <row r="999" spans="1:14" x14ac:dyDescent="0.2">
      <c r="A999">
        <v>970698993</v>
      </c>
      <c r="B999" t="s">
        <v>42</v>
      </c>
      <c r="C999" t="s">
        <v>159</v>
      </c>
      <c r="D999" t="s">
        <v>564</v>
      </c>
      <c r="E999" s="8">
        <v>0.08</v>
      </c>
      <c r="F999" t="s">
        <v>487</v>
      </c>
      <c r="G999">
        <v>211</v>
      </c>
      <c r="H999" t="s">
        <v>35</v>
      </c>
      <c r="I999" t="s">
        <v>36</v>
      </c>
      <c r="J999" t="s">
        <v>37</v>
      </c>
      <c r="K999" t="s">
        <v>28</v>
      </c>
      <c r="L999">
        <v>2017</v>
      </c>
      <c r="M999" t="s">
        <v>38</v>
      </c>
      <c r="N999" t="s">
        <v>32</v>
      </c>
    </row>
    <row r="1000" spans="1:14" x14ac:dyDescent="0.2">
      <c r="A1000">
        <v>970698993</v>
      </c>
      <c r="B1000" t="s">
        <v>42</v>
      </c>
      <c r="C1000" t="s">
        <v>135</v>
      </c>
      <c r="D1000" t="s">
        <v>565</v>
      </c>
      <c r="E1000" s="8">
        <v>0.95</v>
      </c>
      <c r="F1000" t="s">
        <v>487</v>
      </c>
      <c r="G1000">
        <v>211</v>
      </c>
      <c r="H1000" t="s">
        <v>35</v>
      </c>
      <c r="I1000" t="s">
        <v>36</v>
      </c>
      <c r="J1000" t="s">
        <v>37</v>
      </c>
      <c r="K1000" t="s">
        <v>28</v>
      </c>
      <c r="L1000">
        <v>2017</v>
      </c>
      <c r="M1000" t="s">
        <v>38</v>
      </c>
      <c r="N1000" t="s">
        <v>32</v>
      </c>
    </row>
    <row r="1001" spans="1:14" x14ac:dyDescent="0.2">
      <c r="A1001">
        <v>970698993</v>
      </c>
      <c r="B1001" t="s">
        <v>42</v>
      </c>
      <c r="C1001" t="s">
        <v>56</v>
      </c>
      <c r="D1001" t="s">
        <v>565</v>
      </c>
      <c r="E1001" s="8">
        <v>0.95</v>
      </c>
      <c r="F1001" t="s">
        <v>487</v>
      </c>
      <c r="G1001">
        <v>211</v>
      </c>
      <c r="H1001" t="s">
        <v>35</v>
      </c>
      <c r="I1001" t="s">
        <v>36</v>
      </c>
      <c r="J1001" t="s">
        <v>37</v>
      </c>
      <c r="K1001" t="s">
        <v>28</v>
      </c>
      <c r="L1001">
        <v>2017</v>
      </c>
      <c r="M1001" t="s">
        <v>38</v>
      </c>
      <c r="N1001" t="s">
        <v>32</v>
      </c>
    </row>
    <row r="1002" spans="1:14" x14ac:dyDescent="0.2">
      <c r="A1002">
        <v>970698993</v>
      </c>
      <c r="B1002" t="s">
        <v>42</v>
      </c>
      <c r="C1002" t="s">
        <v>155</v>
      </c>
      <c r="D1002" t="s">
        <v>564</v>
      </c>
      <c r="E1002" s="8">
        <v>0.08</v>
      </c>
      <c r="F1002" t="s">
        <v>487</v>
      </c>
      <c r="G1002">
        <v>211</v>
      </c>
      <c r="H1002" t="s">
        <v>35</v>
      </c>
      <c r="I1002" t="s">
        <v>36</v>
      </c>
      <c r="J1002" t="s">
        <v>37</v>
      </c>
      <c r="K1002" t="s">
        <v>28</v>
      </c>
      <c r="L1002">
        <v>2017</v>
      </c>
      <c r="M1002" t="s">
        <v>38</v>
      </c>
      <c r="N1002" t="s">
        <v>32</v>
      </c>
    </row>
    <row r="1003" spans="1:14" x14ac:dyDescent="0.2">
      <c r="A1003">
        <v>970698993</v>
      </c>
      <c r="B1003" t="s">
        <v>479</v>
      </c>
      <c r="C1003" t="s">
        <v>57</v>
      </c>
      <c r="D1003" t="s">
        <v>566</v>
      </c>
      <c r="E1003" s="8">
        <v>0.52333333333333332</v>
      </c>
      <c r="F1003" t="s">
        <v>487</v>
      </c>
      <c r="G1003">
        <v>211</v>
      </c>
      <c r="H1003" t="s">
        <v>35</v>
      </c>
      <c r="I1003" t="s">
        <v>36</v>
      </c>
      <c r="J1003" t="s">
        <v>37</v>
      </c>
      <c r="K1003" t="s">
        <v>28</v>
      </c>
      <c r="L1003">
        <v>2017</v>
      </c>
      <c r="M1003" t="s">
        <v>38</v>
      </c>
      <c r="N1003" t="s">
        <v>32</v>
      </c>
    </row>
    <row r="1004" spans="1:14" x14ac:dyDescent="0.2">
      <c r="A1004">
        <v>970698993</v>
      </c>
      <c r="B1004" t="s">
        <v>479</v>
      </c>
      <c r="C1004" t="s">
        <v>58</v>
      </c>
      <c r="D1004" t="s">
        <v>567</v>
      </c>
      <c r="E1004" s="8">
        <v>0.08</v>
      </c>
      <c r="F1004" t="s">
        <v>487</v>
      </c>
      <c r="G1004">
        <v>211</v>
      </c>
      <c r="H1004" t="s">
        <v>35</v>
      </c>
      <c r="I1004" t="s">
        <v>36</v>
      </c>
      <c r="J1004" t="s">
        <v>37</v>
      </c>
      <c r="K1004" t="s">
        <v>28</v>
      </c>
      <c r="L1004">
        <v>2017</v>
      </c>
      <c r="M1004" t="s">
        <v>38</v>
      </c>
      <c r="N1004" t="s">
        <v>32</v>
      </c>
    </row>
    <row r="1005" spans="1:14" x14ac:dyDescent="0.2">
      <c r="A1005">
        <v>970698993</v>
      </c>
      <c r="B1005" t="s">
        <v>480</v>
      </c>
      <c r="C1005" t="s">
        <v>456</v>
      </c>
      <c r="D1005" t="s">
        <v>568</v>
      </c>
      <c r="E1005" s="8">
        <v>0.66</v>
      </c>
      <c r="F1005" t="s">
        <v>487</v>
      </c>
      <c r="G1005">
        <v>211</v>
      </c>
      <c r="H1005" t="s">
        <v>35</v>
      </c>
      <c r="I1005" t="s">
        <v>36</v>
      </c>
      <c r="J1005" t="s">
        <v>37</v>
      </c>
      <c r="K1005" t="s">
        <v>28</v>
      </c>
      <c r="L1005">
        <v>2017</v>
      </c>
      <c r="M1005" t="s">
        <v>38</v>
      </c>
      <c r="N1005" t="s">
        <v>32</v>
      </c>
    </row>
    <row r="1006" spans="1:14" x14ac:dyDescent="0.2">
      <c r="A1006">
        <v>970698993</v>
      </c>
      <c r="B1006" t="s">
        <v>480</v>
      </c>
      <c r="C1006" t="s">
        <v>452</v>
      </c>
      <c r="D1006" t="s">
        <v>568</v>
      </c>
      <c r="E1006" s="8">
        <v>0.66</v>
      </c>
      <c r="F1006" t="s">
        <v>487</v>
      </c>
      <c r="G1006">
        <v>211</v>
      </c>
      <c r="H1006" t="s">
        <v>35</v>
      </c>
      <c r="I1006" t="s">
        <v>36</v>
      </c>
      <c r="J1006" t="s">
        <v>37</v>
      </c>
      <c r="K1006" t="s">
        <v>28</v>
      </c>
      <c r="L1006">
        <v>2017</v>
      </c>
      <c r="M1006" t="s">
        <v>38</v>
      </c>
      <c r="N1006" t="s">
        <v>32</v>
      </c>
    </row>
    <row r="1007" spans="1:14" x14ac:dyDescent="0.2">
      <c r="A1007">
        <v>970698993</v>
      </c>
      <c r="B1007" t="s">
        <v>481</v>
      </c>
      <c r="C1007" t="s">
        <v>533</v>
      </c>
      <c r="D1007" t="s">
        <v>569</v>
      </c>
      <c r="E1007" s="8">
        <v>0.08</v>
      </c>
      <c r="F1007" t="s">
        <v>487</v>
      </c>
      <c r="G1007">
        <v>211</v>
      </c>
      <c r="H1007" t="s">
        <v>35</v>
      </c>
      <c r="I1007" t="s">
        <v>36</v>
      </c>
      <c r="J1007" t="s">
        <v>37</v>
      </c>
      <c r="K1007" t="s">
        <v>28</v>
      </c>
      <c r="L1007">
        <v>2017</v>
      </c>
      <c r="M1007" t="s">
        <v>38</v>
      </c>
      <c r="N1007" t="s">
        <v>32</v>
      </c>
    </row>
    <row r="1008" spans="1:14" x14ac:dyDescent="0.2">
      <c r="A1008">
        <v>970698993</v>
      </c>
      <c r="B1008" t="s">
        <v>481</v>
      </c>
      <c r="C1008" t="s">
        <v>106</v>
      </c>
      <c r="D1008" t="s">
        <v>569</v>
      </c>
      <c r="E1008" s="8">
        <v>0.08</v>
      </c>
      <c r="F1008" t="s">
        <v>487</v>
      </c>
      <c r="G1008">
        <v>211</v>
      </c>
      <c r="H1008" t="s">
        <v>35</v>
      </c>
      <c r="I1008" t="s">
        <v>36</v>
      </c>
      <c r="J1008" t="s">
        <v>37</v>
      </c>
      <c r="K1008" t="s">
        <v>28</v>
      </c>
      <c r="L1008">
        <v>2017</v>
      </c>
      <c r="M1008" t="s">
        <v>38</v>
      </c>
      <c r="N1008" t="s">
        <v>32</v>
      </c>
    </row>
    <row r="1009" spans="1:14" x14ac:dyDescent="0.2">
      <c r="A1009">
        <v>970698993</v>
      </c>
      <c r="B1009" t="s">
        <v>43</v>
      </c>
      <c r="C1009" t="s">
        <v>59</v>
      </c>
      <c r="D1009" t="s">
        <v>570</v>
      </c>
      <c r="E1009" s="8">
        <v>0.42799999999999999</v>
      </c>
      <c r="F1009" t="s">
        <v>487</v>
      </c>
      <c r="G1009">
        <v>211</v>
      </c>
      <c r="H1009" t="s">
        <v>35</v>
      </c>
      <c r="I1009" t="s">
        <v>36</v>
      </c>
      <c r="J1009" t="s">
        <v>37</v>
      </c>
      <c r="K1009" t="s">
        <v>28</v>
      </c>
      <c r="L1009">
        <v>2017</v>
      </c>
      <c r="M1009" t="s">
        <v>38</v>
      </c>
      <c r="N1009" t="s">
        <v>32</v>
      </c>
    </row>
    <row r="1010" spans="1:14" x14ac:dyDescent="0.2">
      <c r="A1010">
        <v>970698993</v>
      </c>
      <c r="B1010" t="s">
        <v>482</v>
      </c>
      <c r="C1010" t="s">
        <v>436</v>
      </c>
      <c r="D1010" t="s">
        <v>561</v>
      </c>
      <c r="E1010" s="8">
        <v>0.76142857142857134</v>
      </c>
      <c r="F1010" t="s">
        <v>487</v>
      </c>
      <c r="G1010">
        <v>211</v>
      </c>
      <c r="H1010" t="s">
        <v>35</v>
      </c>
      <c r="I1010" t="s">
        <v>36</v>
      </c>
      <c r="J1010" t="s">
        <v>37</v>
      </c>
      <c r="K1010" t="s">
        <v>28</v>
      </c>
      <c r="L1010">
        <v>2017</v>
      </c>
      <c r="M1010" t="s">
        <v>38</v>
      </c>
      <c r="N1010" t="s">
        <v>32</v>
      </c>
    </row>
    <row r="1011" spans="1:14" x14ac:dyDescent="0.2">
      <c r="A1011">
        <v>970698993</v>
      </c>
      <c r="B1011" t="s">
        <v>482</v>
      </c>
      <c r="C1011" t="s">
        <v>436</v>
      </c>
      <c r="D1011" t="s">
        <v>561</v>
      </c>
      <c r="E1011" s="8">
        <v>0.92</v>
      </c>
      <c r="F1011" t="s">
        <v>487</v>
      </c>
      <c r="G1011">
        <v>211</v>
      </c>
      <c r="H1011" t="s">
        <v>35</v>
      </c>
      <c r="I1011" t="s">
        <v>36</v>
      </c>
      <c r="J1011" t="s">
        <v>37</v>
      </c>
      <c r="K1011" t="s">
        <v>28</v>
      </c>
      <c r="L1011">
        <v>2017</v>
      </c>
      <c r="M1011" t="s">
        <v>38</v>
      </c>
      <c r="N1011" t="s">
        <v>32</v>
      </c>
    </row>
    <row r="1012" spans="1:14" x14ac:dyDescent="0.2">
      <c r="A1012">
        <v>970698993</v>
      </c>
      <c r="B1012" t="s">
        <v>483</v>
      </c>
      <c r="C1012" t="s">
        <v>197</v>
      </c>
      <c r="D1012" t="s">
        <v>556</v>
      </c>
      <c r="E1012" s="8">
        <v>0.95</v>
      </c>
      <c r="F1012" t="s">
        <v>487</v>
      </c>
      <c r="G1012">
        <v>211</v>
      </c>
      <c r="H1012" t="s">
        <v>35</v>
      </c>
      <c r="I1012" t="s">
        <v>36</v>
      </c>
      <c r="J1012" t="s">
        <v>37</v>
      </c>
      <c r="K1012" t="s">
        <v>28</v>
      </c>
      <c r="L1012">
        <v>2017</v>
      </c>
      <c r="M1012" t="s">
        <v>38</v>
      </c>
      <c r="N1012" t="s">
        <v>32</v>
      </c>
    </row>
    <row r="1013" spans="1:14" x14ac:dyDescent="0.2">
      <c r="A1013">
        <v>970698993</v>
      </c>
      <c r="B1013" t="s">
        <v>483</v>
      </c>
      <c r="C1013" t="s">
        <v>196</v>
      </c>
      <c r="D1013" t="s">
        <v>557</v>
      </c>
      <c r="E1013" s="8">
        <v>0.08</v>
      </c>
      <c r="F1013" t="s">
        <v>487</v>
      </c>
      <c r="G1013">
        <v>211</v>
      </c>
      <c r="H1013" t="s">
        <v>35</v>
      </c>
      <c r="I1013" t="s">
        <v>36</v>
      </c>
      <c r="J1013" t="s">
        <v>37</v>
      </c>
      <c r="K1013" t="s">
        <v>28</v>
      </c>
      <c r="L1013">
        <v>2017</v>
      </c>
      <c r="M1013" t="s">
        <v>38</v>
      </c>
      <c r="N1013" t="s">
        <v>32</v>
      </c>
    </row>
    <row r="1014" spans="1:14" x14ac:dyDescent="0.2">
      <c r="A1014">
        <v>970698993</v>
      </c>
      <c r="B1014" t="s">
        <v>483</v>
      </c>
      <c r="C1014" t="s">
        <v>197</v>
      </c>
      <c r="D1014" t="s">
        <v>556</v>
      </c>
      <c r="E1014" s="8">
        <v>0.66</v>
      </c>
      <c r="F1014" t="s">
        <v>487</v>
      </c>
      <c r="G1014">
        <v>211</v>
      </c>
      <c r="H1014" t="s">
        <v>35</v>
      </c>
      <c r="I1014" t="s">
        <v>36</v>
      </c>
      <c r="J1014" t="s">
        <v>37</v>
      </c>
      <c r="K1014" t="s">
        <v>28</v>
      </c>
      <c r="L1014">
        <v>2017</v>
      </c>
      <c r="M1014" t="s">
        <v>38</v>
      </c>
      <c r="N1014" t="s">
        <v>32</v>
      </c>
    </row>
    <row r="1015" spans="1:14" x14ac:dyDescent="0.2">
      <c r="A1015">
        <v>970698993</v>
      </c>
      <c r="B1015" t="s">
        <v>483</v>
      </c>
      <c r="C1015" t="s">
        <v>196</v>
      </c>
      <c r="D1015" t="s">
        <v>557</v>
      </c>
      <c r="E1015" s="8">
        <v>0.14399999999999999</v>
      </c>
      <c r="F1015" t="s">
        <v>487</v>
      </c>
      <c r="G1015">
        <v>211</v>
      </c>
      <c r="H1015" t="s">
        <v>35</v>
      </c>
      <c r="I1015" t="s">
        <v>36</v>
      </c>
      <c r="J1015" t="s">
        <v>37</v>
      </c>
      <c r="K1015" t="s">
        <v>28</v>
      </c>
      <c r="L1015">
        <v>2017</v>
      </c>
      <c r="M1015" t="s">
        <v>38</v>
      </c>
      <c r="N1015" t="s">
        <v>32</v>
      </c>
    </row>
    <row r="1016" spans="1:14" x14ac:dyDescent="0.2">
      <c r="A1016">
        <v>970698993</v>
      </c>
      <c r="B1016" t="s">
        <v>483</v>
      </c>
      <c r="C1016" t="s">
        <v>197</v>
      </c>
      <c r="D1016" t="s">
        <v>556</v>
      </c>
      <c r="E1016" s="8">
        <v>0.18666666666666665</v>
      </c>
      <c r="F1016" t="s">
        <v>487</v>
      </c>
      <c r="G1016">
        <v>211</v>
      </c>
      <c r="H1016" t="s">
        <v>35</v>
      </c>
      <c r="I1016" t="s">
        <v>36</v>
      </c>
      <c r="J1016" t="s">
        <v>37</v>
      </c>
      <c r="K1016" t="s">
        <v>28</v>
      </c>
      <c r="L1016">
        <v>2017</v>
      </c>
      <c r="M1016" t="s">
        <v>38</v>
      </c>
      <c r="N1016" t="s">
        <v>32</v>
      </c>
    </row>
    <row r="1017" spans="1:14" x14ac:dyDescent="0.2">
      <c r="A1017">
        <v>970698993</v>
      </c>
      <c r="B1017" t="s">
        <v>484</v>
      </c>
      <c r="C1017" t="s">
        <v>497</v>
      </c>
      <c r="D1017" t="s">
        <v>558</v>
      </c>
      <c r="E1017" s="8">
        <v>0.66</v>
      </c>
      <c r="F1017" t="s">
        <v>487</v>
      </c>
      <c r="G1017">
        <v>211</v>
      </c>
      <c r="H1017" t="s">
        <v>35</v>
      </c>
      <c r="I1017" t="s">
        <v>36</v>
      </c>
      <c r="J1017" t="s">
        <v>37</v>
      </c>
      <c r="K1017" t="s">
        <v>28</v>
      </c>
      <c r="L1017">
        <v>2017</v>
      </c>
      <c r="M1017" t="s">
        <v>38</v>
      </c>
      <c r="N1017" t="s">
        <v>32</v>
      </c>
    </row>
    <row r="1018" spans="1:14" x14ac:dyDescent="0.2">
      <c r="A1018">
        <v>970698993</v>
      </c>
      <c r="B1018" t="s">
        <v>484</v>
      </c>
      <c r="C1018" t="s">
        <v>500</v>
      </c>
      <c r="D1018" t="s">
        <v>558</v>
      </c>
      <c r="E1018" s="8">
        <v>0.75</v>
      </c>
      <c r="F1018" t="s">
        <v>487</v>
      </c>
      <c r="G1018">
        <v>211</v>
      </c>
      <c r="H1018" t="s">
        <v>35</v>
      </c>
      <c r="I1018" t="s">
        <v>36</v>
      </c>
      <c r="J1018" t="s">
        <v>37</v>
      </c>
      <c r="K1018" t="s">
        <v>28</v>
      </c>
      <c r="L1018">
        <v>2017</v>
      </c>
      <c r="M1018" t="s">
        <v>38</v>
      </c>
      <c r="N1018" t="s">
        <v>32</v>
      </c>
    </row>
    <row r="1019" spans="1:14" x14ac:dyDescent="0.2">
      <c r="A1019">
        <v>970698993</v>
      </c>
      <c r="B1019" t="s">
        <v>484</v>
      </c>
      <c r="C1019" t="s">
        <v>501</v>
      </c>
      <c r="D1019" t="s">
        <v>558</v>
      </c>
      <c r="E1019" s="8">
        <v>0.64249999999999996</v>
      </c>
      <c r="F1019" t="s">
        <v>487</v>
      </c>
      <c r="G1019">
        <v>211</v>
      </c>
      <c r="H1019" t="s">
        <v>35</v>
      </c>
      <c r="I1019" t="s">
        <v>36</v>
      </c>
      <c r="J1019" t="s">
        <v>37</v>
      </c>
      <c r="K1019" t="s">
        <v>28</v>
      </c>
      <c r="L1019">
        <v>2017</v>
      </c>
      <c r="M1019" t="s">
        <v>38</v>
      </c>
      <c r="N1019" t="s">
        <v>32</v>
      </c>
    </row>
    <row r="1020" spans="1:14" x14ac:dyDescent="0.2">
      <c r="A1020">
        <v>970698993</v>
      </c>
      <c r="B1020" t="s">
        <v>485</v>
      </c>
      <c r="C1020" t="s">
        <v>346</v>
      </c>
      <c r="D1020" t="s">
        <v>559</v>
      </c>
      <c r="E1020" s="8">
        <v>0.08</v>
      </c>
      <c r="F1020" t="s">
        <v>487</v>
      </c>
      <c r="G1020">
        <v>211</v>
      </c>
      <c r="H1020" t="s">
        <v>35</v>
      </c>
      <c r="I1020" t="s">
        <v>36</v>
      </c>
      <c r="J1020" t="s">
        <v>37</v>
      </c>
      <c r="K1020" t="s">
        <v>28</v>
      </c>
      <c r="L1020">
        <v>2017</v>
      </c>
      <c r="M1020" t="s">
        <v>38</v>
      </c>
      <c r="N1020" t="s">
        <v>32</v>
      </c>
    </row>
    <row r="1021" spans="1:14" x14ac:dyDescent="0.2">
      <c r="A1021">
        <v>970698993</v>
      </c>
      <c r="B1021" t="s">
        <v>485</v>
      </c>
      <c r="C1021" t="s">
        <v>342</v>
      </c>
      <c r="D1021" t="s">
        <v>559</v>
      </c>
      <c r="E1021" s="8">
        <v>0.22749999999999998</v>
      </c>
      <c r="F1021" t="s">
        <v>487</v>
      </c>
      <c r="G1021">
        <v>211</v>
      </c>
      <c r="H1021" t="s">
        <v>35</v>
      </c>
      <c r="I1021" t="s">
        <v>36</v>
      </c>
      <c r="J1021" t="s">
        <v>37</v>
      </c>
      <c r="K1021" t="s">
        <v>28</v>
      </c>
      <c r="L1021">
        <v>2017</v>
      </c>
      <c r="M1021" t="s">
        <v>38</v>
      </c>
      <c r="N1021" t="s">
        <v>32</v>
      </c>
    </row>
    <row r="1022" spans="1:14" x14ac:dyDescent="0.2">
      <c r="A1022">
        <v>975325712</v>
      </c>
      <c r="B1022" t="s">
        <v>478</v>
      </c>
      <c r="C1022" t="s">
        <v>276</v>
      </c>
      <c r="D1022" t="s">
        <v>546</v>
      </c>
      <c r="E1022" s="8">
        <v>0.46666666666666667</v>
      </c>
      <c r="F1022" t="s">
        <v>487</v>
      </c>
      <c r="G1022">
        <v>211</v>
      </c>
      <c r="H1022" t="s">
        <v>35</v>
      </c>
      <c r="I1022" t="s">
        <v>36</v>
      </c>
      <c r="J1022" t="s">
        <v>37</v>
      </c>
      <c r="K1022" t="s">
        <v>28</v>
      </c>
      <c r="L1022">
        <v>2017</v>
      </c>
      <c r="M1022" t="s">
        <v>38</v>
      </c>
      <c r="N1022" t="s">
        <v>32</v>
      </c>
    </row>
    <row r="1023" spans="1:14" x14ac:dyDescent="0.2">
      <c r="A1023">
        <v>975325712</v>
      </c>
      <c r="B1023" t="s">
        <v>478</v>
      </c>
      <c r="C1023" t="s">
        <v>247</v>
      </c>
      <c r="D1023" t="s">
        <v>546</v>
      </c>
      <c r="E1023" s="8">
        <v>0.40399999999999997</v>
      </c>
      <c r="F1023" t="s">
        <v>487</v>
      </c>
      <c r="G1023">
        <v>211</v>
      </c>
      <c r="H1023" t="s">
        <v>35</v>
      </c>
      <c r="I1023" t="s">
        <v>36</v>
      </c>
      <c r="J1023" t="s">
        <v>37</v>
      </c>
      <c r="K1023" t="s">
        <v>28</v>
      </c>
      <c r="L1023">
        <v>2017</v>
      </c>
      <c r="M1023" t="s">
        <v>38</v>
      </c>
      <c r="N1023" t="s">
        <v>32</v>
      </c>
    </row>
    <row r="1024" spans="1:14" x14ac:dyDescent="0.2">
      <c r="A1024">
        <v>975325712</v>
      </c>
      <c r="B1024" t="s">
        <v>40</v>
      </c>
      <c r="C1024" t="s">
        <v>435</v>
      </c>
      <c r="D1024" t="s">
        <v>560</v>
      </c>
      <c r="E1024" s="8">
        <v>0.4</v>
      </c>
      <c r="F1024" t="s">
        <v>487</v>
      </c>
      <c r="G1024">
        <v>211</v>
      </c>
      <c r="H1024" t="s">
        <v>35</v>
      </c>
      <c r="I1024" t="s">
        <v>36</v>
      </c>
      <c r="J1024" t="s">
        <v>37</v>
      </c>
      <c r="K1024" t="s">
        <v>28</v>
      </c>
      <c r="L1024">
        <v>2017</v>
      </c>
      <c r="M1024" t="s">
        <v>38</v>
      </c>
      <c r="N1024" t="s">
        <v>32</v>
      </c>
    </row>
    <row r="1025" spans="1:14" x14ac:dyDescent="0.2">
      <c r="A1025">
        <v>975325712</v>
      </c>
      <c r="B1025" t="s">
        <v>40</v>
      </c>
      <c r="C1025" t="s">
        <v>393</v>
      </c>
      <c r="D1025" t="s">
        <v>560</v>
      </c>
      <c r="E1025" s="8">
        <v>0.61</v>
      </c>
      <c r="F1025" t="s">
        <v>487</v>
      </c>
      <c r="G1025">
        <v>211</v>
      </c>
      <c r="H1025" t="s">
        <v>35</v>
      </c>
      <c r="I1025" t="s">
        <v>36</v>
      </c>
      <c r="J1025" t="s">
        <v>37</v>
      </c>
      <c r="K1025" t="s">
        <v>28</v>
      </c>
      <c r="L1025">
        <v>2017</v>
      </c>
      <c r="M1025" t="s">
        <v>38</v>
      </c>
      <c r="N1025" t="s">
        <v>32</v>
      </c>
    </row>
    <row r="1026" spans="1:14" x14ac:dyDescent="0.2">
      <c r="A1026">
        <v>975325712</v>
      </c>
      <c r="B1026" t="s">
        <v>41</v>
      </c>
      <c r="C1026" t="s">
        <v>212</v>
      </c>
      <c r="D1026" t="s">
        <v>562</v>
      </c>
      <c r="E1026" s="8">
        <v>0.39</v>
      </c>
      <c r="F1026" t="s">
        <v>487</v>
      </c>
      <c r="G1026">
        <v>211</v>
      </c>
      <c r="H1026" t="s">
        <v>35</v>
      </c>
      <c r="I1026" t="s">
        <v>36</v>
      </c>
      <c r="J1026" t="s">
        <v>37</v>
      </c>
      <c r="K1026" t="s">
        <v>28</v>
      </c>
      <c r="L1026">
        <v>2017</v>
      </c>
      <c r="M1026" t="s">
        <v>38</v>
      </c>
      <c r="N1026" t="s">
        <v>32</v>
      </c>
    </row>
    <row r="1027" spans="1:14" x14ac:dyDescent="0.2">
      <c r="A1027">
        <v>975325712</v>
      </c>
      <c r="B1027" t="s">
        <v>41</v>
      </c>
      <c r="C1027" t="s">
        <v>207</v>
      </c>
      <c r="D1027" t="s">
        <v>562</v>
      </c>
      <c r="E1027" s="8">
        <v>0.49166666666666664</v>
      </c>
      <c r="F1027" t="s">
        <v>487</v>
      </c>
      <c r="G1027">
        <v>211</v>
      </c>
      <c r="H1027" t="s">
        <v>35</v>
      </c>
      <c r="I1027" t="s">
        <v>36</v>
      </c>
      <c r="J1027" t="s">
        <v>37</v>
      </c>
      <c r="K1027" t="s">
        <v>28</v>
      </c>
      <c r="L1027">
        <v>2017</v>
      </c>
      <c r="M1027" t="s">
        <v>38</v>
      </c>
      <c r="N1027" t="s">
        <v>32</v>
      </c>
    </row>
    <row r="1028" spans="1:14" x14ac:dyDescent="0.2">
      <c r="A1028">
        <v>975325712</v>
      </c>
      <c r="B1028" t="s">
        <v>41</v>
      </c>
      <c r="C1028" t="s">
        <v>221</v>
      </c>
      <c r="D1028" t="s">
        <v>563</v>
      </c>
      <c r="E1028" s="8">
        <v>0.37333333333333329</v>
      </c>
      <c r="F1028" t="s">
        <v>487</v>
      </c>
      <c r="G1028">
        <v>211</v>
      </c>
      <c r="H1028" t="s">
        <v>35</v>
      </c>
      <c r="I1028" t="s">
        <v>36</v>
      </c>
      <c r="J1028" t="s">
        <v>37</v>
      </c>
      <c r="K1028" t="s">
        <v>28</v>
      </c>
      <c r="L1028">
        <v>2017</v>
      </c>
      <c r="M1028" t="s">
        <v>38</v>
      </c>
      <c r="N1028" t="s">
        <v>32</v>
      </c>
    </row>
    <row r="1029" spans="1:14" x14ac:dyDescent="0.2">
      <c r="A1029">
        <v>975325712</v>
      </c>
      <c r="B1029" t="s">
        <v>42</v>
      </c>
      <c r="C1029" t="s">
        <v>159</v>
      </c>
      <c r="D1029" t="s">
        <v>564</v>
      </c>
      <c r="E1029" s="8">
        <v>0.36</v>
      </c>
      <c r="F1029" t="s">
        <v>487</v>
      </c>
      <c r="G1029">
        <v>211</v>
      </c>
      <c r="H1029" t="s">
        <v>35</v>
      </c>
      <c r="I1029" t="s">
        <v>36</v>
      </c>
      <c r="J1029" t="s">
        <v>37</v>
      </c>
      <c r="K1029" t="s">
        <v>28</v>
      </c>
      <c r="L1029">
        <v>2017</v>
      </c>
      <c r="M1029" t="s">
        <v>38</v>
      </c>
      <c r="N1029" t="s">
        <v>32</v>
      </c>
    </row>
    <row r="1030" spans="1:14" x14ac:dyDescent="0.2">
      <c r="A1030">
        <v>975325712</v>
      </c>
      <c r="B1030" t="s">
        <v>42</v>
      </c>
      <c r="C1030" t="s">
        <v>135</v>
      </c>
      <c r="D1030" t="s">
        <v>565</v>
      </c>
      <c r="E1030" s="8">
        <v>0.4</v>
      </c>
      <c r="F1030" t="s">
        <v>487</v>
      </c>
      <c r="G1030">
        <v>211</v>
      </c>
      <c r="H1030" t="s">
        <v>35</v>
      </c>
      <c r="I1030" t="s">
        <v>36</v>
      </c>
      <c r="J1030" t="s">
        <v>37</v>
      </c>
      <c r="K1030" t="s">
        <v>28</v>
      </c>
      <c r="L1030">
        <v>2017</v>
      </c>
      <c r="M1030" t="s">
        <v>38</v>
      </c>
      <c r="N1030" t="s">
        <v>32</v>
      </c>
    </row>
    <row r="1031" spans="1:14" x14ac:dyDescent="0.2">
      <c r="A1031">
        <v>975325712</v>
      </c>
      <c r="B1031" t="s">
        <v>42</v>
      </c>
      <c r="C1031" t="s">
        <v>56</v>
      </c>
      <c r="D1031" t="s">
        <v>565</v>
      </c>
      <c r="E1031" s="8">
        <v>0.4</v>
      </c>
      <c r="F1031" t="s">
        <v>487</v>
      </c>
      <c r="G1031">
        <v>211</v>
      </c>
      <c r="H1031" t="s">
        <v>35</v>
      </c>
      <c r="I1031" t="s">
        <v>36</v>
      </c>
      <c r="J1031" t="s">
        <v>37</v>
      </c>
      <c r="K1031" t="s">
        <v>28</v>
      </c>
      <c r="L1031">
        <v>2017</v>
      </c>
      <c r="M1031" t="s">
        <v>38</v>
      </c>
      <c r="N1031" t="s">
        <v>32</v>
      </c>
    </row>
    <row r="1032" spans="1:14" x14ac:dyDescent="0.2">
      <c r="A1032">
        <v>975325712</v>
      </c>
      <c r="B1032" t="s">
        <v>42</v>
      </c>
      <c r="C1032" t="s">
        <v>155</v>
      </c>
      <c r="D1032" t="s">
        <v>564</v>
      </c>
      <c r="E1032" s="8">
        <v>0.36</v>
      </c>
      <c r="F1032" t="s">
        <v>487</v>
      </c>
      <c r="G1032">
        <v>211</v>
      </c>
      <c r="H1032" t="s">
        <v>35</v>
      </c>
      <c r="I1032" t="s">
        <v>36</v>
      </c>
      <c r="J1032" t="s">
        <v>37</v>
      </c>
      <c r="K1032" t="s">
        <v>28</v>
      </c>
      <c r="L1032">
        <v>2017</v>
      </c>
      <c r="M1032" t="s">
        <v>38</v>
      </c>
      <c r="N1032" t="s">
        <v>32</v>
      </c>
    </row>
    <row r="1033" spans="1:14" x14ac:dyDescent="0.2">
      <c r="A1033">
        <v>975325712</v>
      </c>
      <c r="B1033" t="s">
        <v>479</v>
      </c>
      <c r="C1033" t="s">
        <v>57</v>
      </c>
      <c r="D1033" t="s">
        <v>566</v>
      </c>
      <c r="E1033" s="8">
        <v>0.41944444444444445</v>
      </c>
      <c r="F1033" t="s">
        <v>487</v>
      </c>
      <c r="G1033">
        <v>211</v>
      </c>
      <c r="H1033" t="s">
        <v>35</v>
      </c>
      <c r="I1033" t="s">
        <v>36</v>
      </c>
      <c r="J1033" t="s">
        <v>37</v>
      </c>
      <c r="K1033" t="s">
        <v>28</v>
      </c>
      <c r="L1033">
        <v>2017</v>
      </c>
      <c r="M1033" t="s">
        <v>38</v>
      </c>
      <c r="N1033" t="s">
        <v>32</v>
      </c>
    </row>
    <row r="1034" spans="1:14" x14ac:dyDescent="0.2">
      <c r="A1034">
        <v>975325712</v>
      </c>
      <c r="B1034" t="s">
        <v>479</v>
      </c>
      <c r="C1034" t="s">
        <v>58</v>
      </c>
      <c r="D1034" t="s">
        <v>567</v>
      </c>
      <c r="E1034" s="8">
        <v>0.36</v>
      </c>
      <c r="F1034" t="s">
        <v>487</v>
      </c>
      <c r="G1034">
        <v>211</v>
      </c>
      <c r="H1034" t="s">
        <v>35</v>
      </c>
      <c r="I1034" t="s">
        <v>36</v>
      </c>
      <c r="J1034" t="s">
        <v>37</v>
      </c>
      <c r="K1034" t="s">
        <v>28</v>
      </c>
      <c r="L1034">
        <v>2017</v>
      </c>
      <c r="M1034" t="s">
        <v>38</v>
      </c>
      <c r="N1034" t="s">
        <v>32</v>
      </c>
    </row>
    <row r="1035" spans="1:14" x14ac:dyDescent="0.2">
      <c r="A1035">
        <v>975325712</v>
      </c>
      <c r="B1035" t="s">
        <v>480</v>
      </c>
      <c r="C1035" t="s">
        <v>456</v>
      </c>
      <c r="D1035" t="s">
        <v>568</v>
      </c>
      <c r="E1035" s="8">
        <v>0.38666666666666666</v>
      </c>
      <c r="F1035" t="s">
        <v>487</v>
      </c>
      <c r="G1035">
        <v>211</v>
      </c>
      <c r="H1035" t="s">
        <v>35</v>
      </c>
      <c r="I1035" t="s">
        <v>36</v>
      </c>
      <c r="J1035" t="s">
        <v>37</v>
      </c>
      <c r="K1035" t="s">
        <v>28</v>
      </c>
      <c r="L1035">
        <v>2017</v>
      </c>
      <c r="M1035" t="s">
        <v>38</v>
      </c>
      <c r="N1035" t="s">
        <v>32</v>
      </c>
    </row>
    <row r="1036" spans="1:14" x14ac:dyDescent="0.2">
      <c r="A1036">
        <v>975325712</v>
      </c>
      <c r="B1036" t="s">
        <v>480</v>
      </c>
      <c r="C1036" t="s">
        <v>452</v>
      </c>
      <c r="D1036" t="s">
        <v>568</v>
      </c>
      <c r="E1036" s="8">
        <v>0.38666666666666666</v>
      </c>
      <c r="F1036" t="s">
        <v>487</v>
      </c>
      <c r="G1036">
        <v>211</v>
      </c>
      <c r="H1036" t="s">
        <v>35</v>
      </c>
      <c r="I1036" t="s">
        <v>36</v>
      </c>
      <c r="J1036" t="s">
        <v>37</v>
      </c>
      <c r="K1036" t="s">
        <v>28</v>
      </c>
      <c r="L1036">
        <v>2017</v>
      </c>
      <c r="M1036" t="s">
        <v>38</v>
      </c>
      <c r="N1036" t="s">
        <v>32</v>
      </c>
    </row>
    <row r="1037" spans="1:14" x14ac:dyDescent="0.2">
      <c r="A1037">
        <v>975325712</v>
      </c>
      <c r="B1037" t="s">
        <v>481</v>
      </c>
      <c r="C1037" t="s">
        <v>533</v>
      </c>
      <c r="D1037" t="s">
        <v>569</v>
      </c>
      <c r="E1037" s="8">
        <v>0.36</v>
      </c>
      <c r="F1037" t="s">
        <v>487</v>
      </c>
      <c r="G1037">
        <v>211</v>
      </c>
      <c r="H1037" t="s">
        <v>35</v>
      </c>
      <c r="I1037" t="s">
        <v>36</v>
      </c>
      <c r="J1037" t="s">
        <v>37</v>
      </c>
      <c r="K1037" t="s">
        <v>28</v>
      </c>
      <c r="L1037">
        <v>2017</v>
      </c>
      <c r="M1037" t="s">
        <v>38</v>
      </c>
      <c r="N1037" t="s">
        <v>32</v>
      </c>
    </row>
    <row r="1038" spans="1:14" x14ac:dyDescent="0.2">
      <c r="A1038">
        <v>975325712</v>
      </c>
      <c r="B1038" t="s">
        <v>481</v>
      </c>
      <c r="C1038" t="s">
        <v>106</v>
      </c>
      <c r="D1038" t="s">
        <v>569</v>
      </c>
      <c r="E1038" s="8">
        <v>0.36</v>
      </c>
      <c r="F1038" t="s">
        <v>487</v>
      </c>
      <c r="G1038">
        <v>211</v>
      </c>
      <c r="H1038" t="s">
        <v>35</v>
      </c>
      <c r="I1038" t="s">
        <v>36</v>
      </c>
      <c r="J1038" t="s">
        <v>37</v>
      </c>
      <c r="K1038" t="s">
        <v>28</v>
      </c>
      <c r="L1038">
        <v>2017</v>
      </c>
      <c r="M1038" t="s">
        <v>38</v>
      </c>
      <c r="N1038" t="s">
        <v>32</v>
      </c>
    </row>
    <row r="1039" spans="1:14" x14ac:dyDescent="0.2">
      <c r="A1039">
        <v>975325712</v>
      </c>
      <c r="B1039" t="s">
        <v>43</v>
      </c>
      <c r="C1039" t="s">
        <v>59</v>
      </c>
      <c r="D1039" t="s">
        <v>570</v>
      </c>
      <c r="E1039" s="8">
        <v>0.376</v>
      </c>
      <c r="F1039" t="s">
        <v>487</v>
      </c>
      <c r="G1039">
        <v>211</v>
      </c>
      <c r="H1039" t="s">
        <v>35</v>
      </c>
      <c r="I1039" t="s">
        <v>36</v>
      </c>
      <c r="J1039" t="s">
        <v>37</v>
      </c>
      <c r="K1039" t="s">
        <v>28</v>
      </c>
      <c r="L1039">
        <v>2017</v>
      </c>
      <c r="M1039" t="s">
        <v>38</v>
      </c>
      <c r="N1039" t="s">
        <v>32</v>
      </c>
    </row>
    <row r="1040" spans="1:14" x14ac:dyDescent="0.2">
      <c r="A1040">
        <v>975325712</v>
      </c>
      <c r="B1040" t="s">
        <v>482</v>
      </c>
      <c r="C1040" t="s">
        <v>436</v>
      </c>
      <c r="D1040" t="s">
        <v>561</v>
      </c>
      <c r="E1040" s="8">
        <v>0.34928571428571425</v>
      </c>
      <c r="F1040" t="s">
        <v>487</v>
      </c>
      <c r="G1040">
        <v>211</v>
      </c>
      <c r="H1040" t="s">
        <v>35</v>
      </c>
      <c r="I1040" t="s">
        <v>36</v>
      </c>
      <c r="J1040" t="s">
        <v>37</v>
      </c>
      <c r="K1040" t="s">
        <v>28</v>
      </c>
      <c r="L1040">
        <v>2017</v>
      </c>
      <c r="M1040" t="s">
        <v>38</v>
      </c>
      <c r="N1040" t="s">
        <v>32</v>
      </c>
    </row>
    <row r="1041" spans="1:14" x14ac:dyDescent="0.2">
      <c r="A1041">
        <v>975325712</v>
      </c>
      <c r="B1041" t="s">
        <v>482</v>
      </c>
      <c r="C1041" t="s">
        <v>436</v>
      </c>
      <c r="D1041" t="s">
        <v>561</v>
      </c>
      <c r="E1041" s="8">
        <v>0.48</v>
      </c>
      <c r="F1041" t="s">
        <v>487</v>
      </c>
      <c r="G1041">
        <v>211</v>
      </c>
      <c r="H1041" t="s">
        <v>35</v>
      </c>
      <c r="I1041" t="s">
        <v>36</v>
      </c>
      <c r="J1041" t="s">
        <v>37</v>
      </c>
      <c r="K1041" t="s">
        <v>28</v>
      </c>
      <c r="L1041">
        <v>2017</v>
      </c>
      <c r="M1041" t="s">
        <v>38</v>
      </c>
      <c r="N1041" t="s">
        <v>32</v>
      </c>
    </row>
    <row r="1042" spans="1:14" x14ac:dyDescent="0.2">
      <c r="A1042">
        <v>975325712</v>
      </c>
      <c r="B1042" t="s">
        <v>483</v>
      </c>
      <c r="C1042" t="s">
        <v>197</v>
      </c>
      <c r="D1042" t="s">
        <v>556</v>
      </c>
      <c r="E1042" s="8">
        <v>0.4</v>
      </c>
      <c r="F1042" t="s">
        <v>487</v>
      </c>
      <c r="G1042">
        <v>211</v>
      </c>
      <c r="H1042" t="s">
        <v>35</v>
      </c>
      <c r="I1042" t="s">
        <v>36</v>
      </c>
      <c r="J1042" t="s">
        <v>37</v>
      </c>
      <c r="K1042" t="s">
        <v>28</v>
      </c>
      <c r="L1042">
        <v>2017</v>
      </c>
      <c r="M1042" t="s">
        <v>38</v>
      </c>
      <c r="N1042" t="s">
        <v>32</v>
      </c>
    </row>
    <row r="1043" spans="1:14" x14ac:dyDescent="0.2">
      <c r="A1043">
        <v>975325712</v>
      </c>
      <c r="B1043" t="s">
        <v>483</v>
      </c>
      <c r="C1043" t="s">
        <v>196</v>
      </c>
      <c r="D1043" t="s">
        <v>557</v>
      </c>
      <c r="E1043" s="8">
        <v>0.36</v>
      </c>
      <c r="F1043" t="s">
        <v>487</v>
      </c>
      <c r="G1043">
        <v>211</v>
      </c>
      <c r="H1043" t="s">
        <v>35</v>
      </c>
      <c r="I1043" t="s">
        <v>36</v>
      </c>
      <c r="J1043" t="s">
        <v>37</v>
      </c>
      <c r="K1043" t="s">
        <v>28</v>
      </c>
      <c r="L1043">
        <v>2017</v>
      </c>
      <c r="M1043" t="s">
        <v>38</v>
      </c>
      <c r="N1043" t="s">
        <v>32</v>
      </c>
    </row>
    <row r="1044" spans="1:14" x14ac:dyDescent="0.2">
      <c r="A1044">
        <v>975325712</v>
      </c>
      <c r="B1044" t="s">
        <v>483</v>
      </c>
      <c r="C1044" t="s">
        <v>197</v>
      </c>
      <c r="D1044" t="s">
        <v>556</v>
      </c>
      <c r="E1044" s="8">
        <v>0.38666666666666666</v>
      </c>
      <c r="F1044" t="s">
        <v>487</v>
      </c>
      <c r="G1044">
        <v>211</v>
      </c>
      <c r="H1044" t="s">
        <v>35</v>
      </c>
      <c r="I1044" t="s">
        <v>36</v>
      </c>
      <c r="J1044" t="s">
        <v>37</v>
      </c>
      <c r="K1044" t="s">
        <v>28</v>
      </c>
      <c r="L1044">
        <v>2017</v>
      </c>
      <c r="M1044" t="s">
        <v>38</v>
      </c>
      <c r="N1044" t="s">
        <v>32</v>
      </c>
    </row>
    <row r="1045" spans="1:14" x14ac:dyDescent="0.2">
      <c r="A1045">
        <v>975325712</v>
      </c>
      <c r="B1045" t="s">
        <v>483</v>
      </c>
      <c r="C1045" t="s">
        <v>196</v>
      </c>
      <c r="D1045" t="s">
        <v>557</v>
      </c>
      <c r="E1045" s="8">
        <v>0.36799999999999999</v>
      </c>
      <c r="F1045" t="s">
        <v>487</v>
      </c>
      <c r="G1045">
        <v>211</v>
      </c>
      <c r="H1045" t="s">
        <v>35</v>
      </c>
      <c r="I1045" t="s">
        <v>36</v>
      </c>
      <c r="J1045" t="s">
        <v>37</v>
      </c>
      <c r="K1045" t="s">
        <v>28</v>
      </c>
      <c r="L1045">
        <v>2017</v>
      </c>
      <c r="M1045" t="s">
        <v>38</v>
      </c>
      <c r="N1045" t="s">
        <v>32</v>
      </c>
    </row>
    <row r="1046" spans="1:14" x14ac:dyDescent="0.2">
      <c r="A1046">
        <v>975325712</v>
      </c>
      <c r="B1046" t="s">
        <v>483</v>
      </c>
      <c r="C1046" t="s">
        <v>197</v>
      </c>
      <c r="D1046" t="s">
        <v>556</v>
      </c>
      <c r="E1046" s="8">
        <v>0.37333333333333329</v>
      </c>
      <c r="F1046" t="s">
        <v>487</v>
      </c>
      <c r="G1046">
        <v>211</v>
      </c>
      <c r="H1046" t="s">
        <v>35</v>
      </c>
      <c r="I1046" t="s">
        <v>36</v>
      </c>
      <c r="J1046" t="s">
        <v>37</v>
      </c>
      <c r="K1046" t="s">
        <v>28</v>
      </c>
      <c r="L1046">
        <v>2017</v>
      </c>
      <c r="M1046" t="s">
        <v>38</v>
      </c>
      <c r="N1046" t="s">
        <v>32</v>
      </c>
    </row>
    <row r="1047" spans="1:14" x14ac:dyDescent="0.2">
      <c r="A1047">
        <v>975325712</v>
      </c>
      <c r="B1047" t="s">
        <v>484</v>
      </c>
      <c r="C1047" t="s">
        <v>497</v>
      </c>
      <c r="D1047" t="s">
        <v>558</v>
      </c>
      <c r="E1047" s="8">
        <v>0.38666666666666666</v>
      </c>
      <c r="F1047" t="s">
        <v>487</v>
      </c>
      <c r="G1047">
        <v>211</v>
      </c>
      <c r="H1047" t="s">
        <v>35</v>
      </c>
      <c r="I1047" t="s">
        <v>36</v>
      </c>
      <c r="J1047" t="s">
        <v>37</v>
      </c>
      <c r="K1047" t="s">
        <v>28</v>
      </c>
      <c r="L1047">
        <v>2017</v>
      </c>
      <c r="M1047" t="s">
        <v>38</v>
      </c>
      <c r="N1047" t="s">
        <v>32</v>
      </c>
    </row>
    <row r="1048" spans="1:14" x14ac:dyDescent="0.2">
      <c r="A1048">
        <v>975325712</v>
      </c>
      <c r="B1048" t="s">
        <v>484</v>
      </c>
      <c r="C1048" t="s">
        <v>500</v>
      </c>
      <c r="D1048" t="s">
        <v>558</v>
      </c>
      <c r="E1048" s="8">
        <v>0.45750000000000002</v>
      </c>
      <c r="F1048" t="s">
        <v>487</v>
      </c>
      <c r="G1048">
        <v>211</v>
      </c>
      <c r="H1048" t="s">
        <v>35</v>
      </c>
      <c r="I1048" t="s">
        <v>36</v>
      </c>
      <c r="J1048" t="s">
        <v>37</v>
      </c>
      <c r="K1048" t="s">
        <v>28</v>
      </c>
      <c r="L1048">
        <v>2017</v>
      </c>
      <c r="M1048" t="s">
        <v>38</v>
      </c>
      <c r="N1048" t="s">
        <v>32</v>
      </c>
    </row>
    <row r="1049" spans="1:14" x14ac:dyDescent="0.2">
      <c r="A1049">
        <v>975325712</v>
      </c>
      <c r="B1049" t="s">
        <v>484</v>
      </c>
      <c r="C1049" t="s">
        <v>501</v>
      </c>
      <c r="D1049" t="s">
        <v>558</v>
      </c>
      <c r="E1049" s="8">
        <v>0.39249999999999996</v>
      </c>
      <c r="F1049" t="s">
        <v>487</v>
      </c>
      <c r="G1049">
        <v>211</v>
      </c>
      <c r="H1049" t="s">
        <v>35</v>
      </c>
      <c r="I1049" t="s">
        <v>36</v>
      </c>
      <c r="J1049" t="s">
        <v>37</v>
      </c>
      <c r="K1049" t="s">
        <v>28</v>
      </c>
      <c r="L1049">
        <v>2017</v>
      </c>
      <c r="M1049" t="s">
        <v>38</v>
      </c>
      <c r="N1049" t="s">
        <v>32</v>
      </c>
    </row>
    <row r="1050" spans="1:14" x14ac:dyDescent="0.2">
      <c r="A1050">
        <v>975325712</v>
      </c>
      <c r="B1050" t="s">
        <v>485</v>
      </c>
      <c r="C1050" t="s">
        <v>346</v>
      </c>
      <c r="D1050" t="s">
        <v>559</v>
      </c>
      <c r="E1050" s="8">
        <v>0.36</v>
      </c>
      <c r="F1050" t="s">
        <v>487</v>
      </c>
      <c r="G1050">
        <v>211</v>
      </c>
      <c r="H1050" t="s">
        <v>35</v>
      </c>
      <c r="I1050" t="s">
        <v>36</v>
      </c>
      <c r="J1050" t="s">
        <v>37</v>
      </c>
      <c r="K1050" t="s">
        <v>28</v>
      </c>
      <c r="L1050">
        <v>2017</v>
      </c>
      <c r="M1050" t="s">
        <v>38</v>
      </c>
      <c r="N1050" t="s">
        <v>32</v>
      </c>
    </row>
    <row r="1051" spans="1:14" x14ac:dyDescent="0.2">
      <c r="A1051">
        <v>975325712</v>
      </c>
      <c r="B1051" t="s">
        <v>485</v>
      </c>
      <c r="C1051" t="s">
        <v>342</v>
      </c>
      <c r="D1051" t="s">
        <v>559</v>
      </c>
      <c r="E1051" s="8">
        <v>0.28625</v>
      </c>
      <c r="F1051" t="s">
        <v>487</v>
      </c>
      <c r="G1051">
        <v>211</v>
      </c>
      <c r="H1051" t="s">
        <v>35</v>
      </c>
      <c r="I1051" t="s">
        <v>36</v>
      </c>
      <c r="J1051" t="s">
        <v>37</v>
      </c>
      <c r="K1051" t="s">
        <v>28</v>
      </c>
      <c r="L1051">
        <v>2017</v>
      </c>
      <c r="M1051" t="s">
        <v>38</v>
      </c>
      <c r="N1051" t="s">
        <v>32</v>
      </c>
    </row>
  </sheetData>
  <sortState ref="A2:N1051">
    <sortCondition ref="A2"/>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autoFill="0" autoPict="0" macro="[0]!A13CSV">
                <anchor moveWithCells="1" sizeWithCells="1">
                  <from>
                    <xdr:col>16</xdr:col>
                    <xdr:colOff>177800</xdr:colOff>
                    <xdr:row>2</xdr:row>
                    <xdr:rowOff>152400</xdr:rowOff>
                  </from>
                  <to>
                    <xdr:col>17</xdr:col>
                    <xdr:colOff>419100</xdr:colOff>
                    <xdr:row>7</xdr:row>
                    <xdr:rowOff>114300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Data</vt:lpstr>
      <vt:lpstr>CourseInfo</vt:lpstr>
      <vt:lpstr>Assessment Documentation</vt:lpstr>
      <vt:lpstr>Master</vt:lpstr>
      <vt:lpstr>PLI</vt:lpstr>
      <vt:lpstr>Marks</vt:lpstr>
      <vt:lpstr>Mapping</vt:lpstr>
      <vt:lpstr>ProgInd</vt:lpstr>
      <vt:lpstr>A1</vt:lpstr>
      <vt:lpstr>A2</vt:lpstr>
      <vt:lpstr>A3</vt:lpstr>
      <vt:lpstr>A4</vt:lpstr>
      <vt:lpstr>A5</vt:lpstr>
      <vt:lpstr>A6</vt:lpstr>
      <vt:lpstr>A7</vt:lpstr>
      <vt:lpstr>A8</vt:lpstr>
      <vt:lpstr>A9</vt:lpstr>
      <vt:lpstr>A10</vt:lpstr>
      <vt:lpstr>A11</vt:lpstr>
      <vt:lpstr>A12</vt:lpstr>
      <vt:lpstr>A13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kmckay</dc:creator>
  <cp:lastModifiedBy>juana.attieh@gmail.com</cp:lastModifiedBy>
  <cp:lastPrinted>2017-11-07T15:37:22Z</cp:lastPrinted>
  <dcterms:created xsi:type="dcterms:W3CDTF">2012-12-27T13:24:28Z</dcterms:created>
  <dcterms:modified xsi:type="dcterms:W3CDTF">2017-11-27T19:36:17Z</dcterms:modified>
</cp:coreProperties>
</file>