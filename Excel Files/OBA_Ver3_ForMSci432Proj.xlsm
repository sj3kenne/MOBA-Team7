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Applications/MAMP/htdocs/2017-Team-7-MOBA/"/>
    </mc:Choice>
  </mc:AlternateContent>
  <bookViews>
    <workbookView xWindow="0" yWindow="460" windowWidth="25600" windowHeight="14280" tabRatio="640" activeTab="10"/>
  </bookViews>
  <sheets>
    <sheet name="Assessment Documentation" sheetId="5" r:id="rId1"/>
    <sheet name="CourseInfo" sheetId="23" r:id="rId2"/>
    <sheet name="Master" sheetId="19" r:id="rId3"/>
    <sheet name="Marks" sheetId="20" r:id="rId4"/>
    <sheet name="Mapping" sheetId="25" r:id="rId5"/>
    <sheet name="A1" sheetId="6" state="hidden" r:id="rId6"/>
    <sheet name="A2" sheetId="7" state="hidden" r:id="rId7"/>
    <sheet name="A3" sheetId="8" state="hidden" r:id="rId8"/>
    <sheet name="A4" sheetId="1" state="hidden" r:id="rId9"/>
    <sheet name="ProgInd" sheetId="24" state="hidden" r:id="rId10"/>
    <sheet name="A13" sheetId="22" r:id="rId11"/>
    <sheet name="A5" sheetId="9" state="hidden" r:id="rId12"/>
    <sheet name="A6" sheetId="16" state="hidden" r:id="rId13"/>
    <sheet name="A7" sheetId="10" state="hidden" r:id="rId14"/>
    <sheet name="A8" sheetId="11" state="hidden" r:id="rId15"/>
    <sheet name="A9" sheetId="12" state="hidden" r:id="rId16"/>
    <sheet name="A10" sheetId="13" state="hidden" r:id="rId17"/>
    <sheet name="A11" sheetId="14" state="hidden" r:id="rId18"/>
    <sheet name="A12" sheetId="15" state="hidden" r:id="rId19"/>
  </sheets>
  <definedNames>
    <definedName name="_xlnm._FilterDatabase" localSheetId="10" hidden="1">'A13'!$A$1:$C$61</definedName>
    <definedName name="Terms" localSheetId="1">CourseInfo!$C$7:$C$9</definedName>
    <definedName name="Type" localSheetId="1">CourseInfo!$C$10:$E$10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26" i="24" l="1"/>
  <c r="H426" i="24"/>
  <c r="G426" i="24"/>
  <c r="J425" i="24"/>
  <c r="H425" i="24"/>
  <c r="G425" i="24"/>
  <c r="J424" i="24"/>
  <c r="H424" i="24"/>
  <c r="G424" i="24"/>
  <c r="J423" i="24"/>
  <c r="H423" i="24"/>
  <c r="G423" i="24"/>
  <c r="J422" i="24"/>
  <c r="H422" i="24"/>
  <c r="G422" i="24"/>
  <c r="J421" i="24"/>
  <c r="H421" i="24"/>
  <c r="G421" i="24"/>
  <c r="J420" i="24"/>
  <c r="H420" i="24"/>
  <c r="G420" i="24"/>
  <c r="J419" i="24"/>
  <c r="H419" i="24"/>
  <c r="G419" i="24"/>
  <c r="J418" i="24"/>
  <c r="H418" i="24"/>
  <c r="G418" i="24"/>
  <c r="J417" i="24"/>
  <c r="H417" i="24"/>
  <c r="G417" i="24"/>
  <c r="J416" i="24"/>
  <c r="H416" i="24"/>
  <c r="G416" i="24"/>
  <c r="J415" i="24"/>
  <c r="H415" i="24"/>
  <c r="G415" i="24"/>
  <c r="J414" i="24"/>
  <c r="H414" i="24"/>
  <c r="G414" i="24"/>
  <c r="J413" i="24"/>
  <c r="H413" i="24"/>
  <c r="G413" i="24"/>
  <c r="J412" i="24"/>
  <c r="H412" i="24"/>
  <c r="G412" i="24"/>
  <c r="J411" i="24"/>
  <c r="H411" i="24"/>
  <c r="G411" i="24"/>
  <c r="J410" i="24"/>
  <c r="H410" i="24"/>
  <c r="G410" i="24"/>
  <c r="J409" i="24"/>
  <c r="H409" i="24"/>
  <c r="G409" i="24"/>
  <c r="J408" i="24"/>
  <c r="H408" i="24"/>
  <c r="G408" i="24"/>
  <c r="J407" i="24"/>
  <c r="H407" i="24"/>
  <c r="G407" i="24"/>
  <c r="J406" i="24"/>
  <c r="H406" i="24"/>
  <c r="G406" i="24"/>
  <c r="J405" i="24"/>
  <c r="H405" i="24"/>
  <c r="G405" i="24"/>
  <c r="J404" i="24"/>
  <c r="H404" i="24"/>
  <c r="G404" i="24"/>
  <c r="J403" i="24"/>
  <c r="H403" i="24"/>
  <c r="G403" i="24"/>
  <c r="J402" i="24"/>
  <c r="H402" i="24"/>
  <c r="G402" i="24"/>
  <c r="J401" i="24"/>
  <c r="H401" i="24"/>
  <c r="G401" i="24"/>
  <c r="J400" i="24"/>
  <c r="H400" i="24"/>
  <c r="G400" i="24"/>
  <c r="J399" i="24"/>
  <c r="H399" i="24"/>
  <c r="G399" i="24"/>
  <c r="J398" i="24"/>
  <c r="H398" i="24"/>
  <c r="G398" i="24"/>
  <c r="J397" i="24"/>
  <c r="H397" i="24"/>
  <c r="G397" i="24"/>
  <c r="J396" i="24"/>
  <c r="H396" i="24"/>
  <c r="G396" i="24"/>
  <c r="J395" i="24"/>
  <c r="H395" i="24"/>
  <c r="G395" i="24"/>
  <c r="J394" i="24"/>
  <c r="H394" i="24"/>
  <c r="G394" i="24"/>
  <c r="J393" i="24"/>
  <c r="H393" i="24"/>
  <c r="G393" i="24"/>
  <c r="J392" i="24"/>
  <c r="H392" i="24"/>
  <c r="G392" i="24"/>
  <c r="J391" i="24"/>
  <c r="H391" i="24"/>
  <c r="G391" i="24"/>
  <c r="J390" i="24"/>
  <c r="H390" i="24"/>
  <c r="G390" i="24"/>
  <c r="J389" i="24"/>
  <c r="H389" i="24"/>
  <c r="G389" i="24"/>
  <c r="J388" i="24"/>
  <c r="H388" i="24"/>
  <c r="G388" i="24"/>
  <c r="J387" i="24"/>
  <c r="H387" i="24"/>
  <c r="G387" i="24"/>
  <c r="J386" i="24"/>
  <c r="H386" i="24"/>
  <c r="G386" i="24"/>
  <c r="J385" i="24"/>
  <c r="H385" i="24"/>
  <c r="G385" i="24"/>
  <c r="J384" i="24"/>
  <c r="H384" i="24"/>
  <c r="G384" i="24"/>
  <c r="J383" i="24"/>
  <c r="H383" i="24"/>
  <c r="G383" i="24"/>
  <c r="J382" i="24"/>
  <c r="H382" i="24"/>
  <c r="G382" i="24"/>
  <c r="J381" i="24"/>
  <c r="H381" i="24"/>
  <c r="G381" i="24"/>
  <c r="J380" i="24"/>
  <c r="H380" i="24"/>
  <c r="G380" i="24"/>
  <c r="J379" i="24"/>
  <c r="H379" i="24"/>
  <c r="G379" i="24"/>
  <c r="J378" i="24"/>
  <c r="H378" i="24"/>
  <c r="G378" i="24"/>
  <c r="J377" i="24"/>
  <c r="H377" i="24"/>
  <c r="G377" i="24"/>
  <c r="J376" i="24"/>
  <c r="H376" i="24"/>
  <c r="G376" i="24"/>
  <c r="J375" i="24"/>
  <c r="H375" i="24"/>
  <c r="G375" i="24"/>
  <c r="J374" i="24"/>
  <c r="H374" i="24"/>
  <c r="G374" i="24"/>
  <c r="J373" i="24"/>
  <c r="H373" i="24"/>
  <c r="G373" i="24"/>
  <c r="J372" i="24"/>
  <c r="H372" i="24"/>
  <c r="G372" i="24"/>
  <c r="J371" i="24"/>
  <c r="H371" i="24"/>
  <c r="G371" i="24"/>
  <c r="J370" i="24"/>
  <c r="H370" i="24"/>
  <c r="G370" i="24"/>
  <c r="J369" i="24"/>
  <c r="H369" i="24"/>
  <c r="G369" i="24"/>
  <c r="J368" i="24"/>
  <c r="H368" i="24"/>
  <c r="G368" i="24"/>
  <c r="J367" i="24"/>
  <c r="H367" i="24"/>
  <c r="G367" i="24"/>
  <c r="J366" i="24"/>
  <c r="H366" i="24"/>
  <c r="G366" i="24"/>
  <c r="J365" i="24"/>
  <c r="H365" i="24"/>
  <c r="G365" i="24"/>
  <c r="J364" i="24"/>
  <c r="H364" i="24"/>
  <c r="G364" i="24"/>
  <c r="J363" i="24"/>
  <c r="H363" i="24"/>
  <c r="G363" i="24"/>
  <c r="J362" i="24"/>
  <c r="H362" i="24"/>
  <c r="G362" i="24"/>
  <c r="J361" i="24"/>
  <c r="H361" i="24"/>
  <c r="G361" i="24"/>
  <c r="J360" i="24"/>
  <c r="H360" i="24"/>
  <c r="G360" i="24"/>
  <c r="J359" i="24"/>
  <c r="H359" i="24"/>
  <c r="G359" i="24"/>
  <c r="J358" i="24"/>
  <c r="H358" i="24"/>
  <c r="G358" i="24"/>
  <c r="J357" i="24"/>
  <c r="H357" i="24"/>
  <c r="G357" i="24"/>
  <c r="J356" i="24"/>
  <c r="H356" i="24"/>
  <c r="G356" i="24"/>
  <c r="J355" i="24"/>
  <c r="H355" i="24"/>
  <c r="G355" i="24"/>
  <c r="J354" i="24"/>
  <c r="H354" i="24"/>
  <c r="G354" i="24"/>
  <c r="J353" i="24"/>
  <c r="H353" i="24"/>
  <c r="G353" i="24"/>
  <c r="J352" i="24"/>
  <c r="H352" i="24"/>
  <c r="G352" i="24"/>
  <c r="J351" i="24"/>
  <c r="H351" i="24"/>
  <c r="G351" i="24"/>
  <c r="J350" i="24"/>
  <c r="H350" i="24"/>
  <c r="G350" i="24"/>
  <c r="J349" i="24"/>
  <c r="H349" i="24"/>
  <c r="G349" i="24"/>
  <c r="J348" i="24"/>
  <c r="H348" i="24"/>
  <c r="G348" i="24"/>
  <c r="J347" i="24"/>
  <c r="H347" i="24"/>
  <c r="G347" i="24"/>
  <c r="J346" i="24"/>
  <c r="H346" i="24"/>
  <c r="G346" i="24"/>
  <c r="J345" i="24"/>
  <c r="H345" i="24"/>
  <c r="G345" i="24"/>
  <c r="J344" i="24"/>
  <c r="H344" i="24"/>
  <c r="G344" i="24"/>
  <c r="J343" i="24"/>
  <c r="H343" i="24"/>
  <c r="G343" i="24"/>
  <c r="J342" i="24"/>
  <c r="H342" i="24"/>
  <c r="G342" i="24"/>
  <c r="J341" i="24"/>
  <c r="H341" i="24"/>
  <c r="G341" i="24"/>
  <c r="J340" i="24"/>
  <c r="H340" i="24"/>
  <c r="G340" i="24"/>
  <c r="J339" i="24"/>
  <c r="H339" i="24"/>
  <c r="G339" i="24"/>
  <c r="J338" i="24"/>
  <c r="H338" i="24"/>
  <c r="G338" i="24"/>
  <c r="J337" i="24"/>
  <c r="H337" i="24"/>
  <c r="G337" i="24"/>
  <c r="J336" i="24"/>
  <c r="H336" i="24"/>
  <c r="G336" i="24"/>
  <c r="J335" i="24"/>
  <c r="H335" i="24"/>
  <c r="G335" i="24"/>
  <c r="J334" i="24"/>
  <c r="H334" i="24"/>
  <c r="G334" i="24"/>
  <c r="J333" i="24"/>
  <c r="H333" i="24"/>
  <c r="G333" i="24"/>
  <c r="J332" i="24"/>
  <c r="H332" i="24"/>
  <c r="G332" i="24"/>
  <c r="J331" i="24"/>
  <c r="H331" i="24"/>
  <c r="G331" i="24"/>
  <c r="J330" i="24"/>
  <c r="H330" i="24"/>
  <c r="G330" i="24"/>
  <c r="J329" i="24"/>
  <c r="H329" i="24"/>
  <c r="G329" i="24"/>
  <c r="J328" i="24"/>
  <c r="H328" i="24"/>
  <c r="G328" i="24"/>
  <c r="J327" i="24"/>
  <c r="H327" i="24"/>
  <c r="G327" i="24"/>
  <c r="J326" i="24"/>
  <c r="H326" i="24"/>
  <c r="G326" i="24"/>
  <c r="J325" i="24"/>
  <c r="H325" i="24"/>
  <c r="G325" i="24"/>
  <c r="J324" i="24"/>
  <c r="H324" i="24"/>
  <c r="G324" i="24"/>
  <c r="J323" i="24"/>
  <c r="H323" i="24"/>
  <c r="G323" i="24"/>
  <c r="J322" i="24"/>
  <c r="H322" i="24"/>
  <c r="G322" i="24"/>
  <c r="J321" i="24"/>
  <c r="H321" i="24"/>
  <c r="G321" i="24"/>
  <c r="J320" i="24"/>
  <c r="H320" i="24"/>
  <c r="G320" i="24"/>
  <c r="J319" i="24"/>
  <c r="H319" i="24"/>
  <c r="G319" i="24"/>
  <c r="J318" i="24"/>
  <c r="H318" i="24"/>
  <c r="G318" i="24"/>
  <c r="J317" i="24"/>
  <c r="H317" i="24"/>
  <c r="G317" i="24"/>
  <c r="J316" i="24"/>
  <c r="H316" i="24"/>
  <c r="G316" i="24"/>
  <c r="J315" i="24"/>
  <c r="H315" i="24"/>
  <c r="G315" i="24"/>
  <c r="J314" i="24"/>
  <c r="H314" i="24"/>
  <c r="G314" i="24"/>
  <c r="J313" i="24"/>
  <c r="H313" i="24"/>
  <c r="G313" i="24"/>
  <c r="J312" i="24"/>
  <c r="H312" i="24"/>
  <c r="G312" i="24"/>
  <c r="J311" i="24"/>
  <c r="H311" i="24"/>
  <c r="G311" i="24"/>
  <c r="J310" i="24"/>
  <c r="H310" i="24"/>
  <c r="G310" i="24"/>
  <c r="J309" i="24"/>
  <c r="H309" i="24"/>
  <c r="G309" i="24"/>
  <c r="J308" i="24"/>
  <c r="H308" i="24"/>
  <c r="G308" i="24"/>
  <c r="J307" i="24"/>
  <c r="H307" i="24"/>
  <c r="G307" i="24"/>
  <c r="J306" i="24"/>
  <c r="H306" i="24"/>
  <c r="G306" i="24"/>
  <c r="J305" i="24"/>
  <c r="H305" i="24"/>
  <c r="G305" i="24"/>
  <c r="J304" i="24"/>
  <c r="H304" i="24"/>
  <c r="G304" i="24"/>
  <c r="J303" i="24"/>
  <c r="H303" i="24"/>
  <c r="G303" i="24"/>
  <c r="J302" i="24"/>
  <c r="H302" i="24"/>
  <c r="G302" i="24"/>
  <c r="J301" i="24"/>
  <c r="H301" i="24"/>
  <c r="G301" i="24"/>
  <c r="J300" i="24"/>
  <c r="H300" i="24"/>
  <c r="G300" i="24"/>
  <c r="J299" i="24"/>
  <c r="H299" i="24"/>
  <c r="G299" i="24"/>
  <c r="J298" i="24"/>
  <c r="H298" i="24"/>
  <c r="G298" i="24"/>
  <c r="J297" i="24"/>
  <c r="H297" i="24"/>
  <c r="G297" i="24"/>
  <c r="J296" i="24"/>
  <c r="H296" i="24"/>
  <c r="G296" i="24"/>
  <c r="J295" i="24"/>
  <c r="H295" i="24"/>
  <c r="G295" i="24"/>
  <c r="J294" i="24"/>
  <c r="H294" i="24"/>
  <c r="G294" i="24"/>
  <c r="J293" i="24"/>
  <c r="H293" i="24"/>
  <c r="G293" i="24"/>
  <c r="J292" i="24"/>
  <c r="H292" i="24"/>
  <c r="G292" i="24"/>
  <c r="J291" i="24"/>
  <c r="H291" i="24"/>
  <c r="G291" i="24"/>
  <c r="J290" i="24"/>
  <c r="H290" i="24"/>
  <c r="G290" i="24"/>
  <c r="J289" i="24"/>
  <c r="H289" i="24"/>
  <c r="G289" i="24"/>
  <c r="J288" i="24"/>
  <c r="H288" i="24"/>
  <c r="G288" i="24"/>
  <c r="J287" i="24"/>
  <c r="H287" i="24"/>
  <c r="G287" i="24"/>
  <c r="J286" i="24"/>
  <c r="H286" i="24"/>
  <c r="G286" i="24"/>
  <c r="J285" i="24"/>
  <c r="H285" i="24"/>
  <c r="G285" i="24"/>
  <c r="J284" i="24"/>
  <c r="H284" i="24"/>
  <c r="G284" i="24"/>
  <c r="J283" i="24"/>
  <c r="H283" i="24"/>
  <c r="G283" i="24"/>
  <c r="J282" i="24"/>
  <c r="H282" i="24"/>
  <c r="G282" i="24"/>
  <c r="J281" i="24"/>
  <c r="H281" i="24"/>
  <c r="G281" i="24"/>
  <c r="J280" i="24"/>
  <c r="H280" i="24"/>
  <c r="G280" i="24"/>
  <c r="J279" i="24"/>
  <c r="H279" i="24"/>
  <c r="G279" i="24"/>
  <c r="J278" i="24"/>
  <c r="H278" i="24"/>
  <c r="G278" i="24"/>
  <c r="J277" i="24"/>
  <c r="H277" i="24"/>
  <c r="G277" i="24"/>
  <c r="J276" i="24"/>
  <c r="H276" i="24"/>
  <c r="G276" i="24"/>
  <c r="J275" i="24"/>
  <c r="H275" i="24"/>
  <c r="G275" i="24"/>
  <c r="J274" i="24"/>
  <c r="H274" i="24"/>
  <c r="G274" i="24"/>
  <c r="J273" i="24"/>
  <c r="H273" i="24"/>
  <c r="G273" i="24"/>
  <c r="J272" i="24"/>
  <c r="H272" i="24"/>
  <c r="G272" i="24"/>
  <c r="J271" i="24"/>
  <c r="H271" i="24"/>
  <c r="G271" i="24"/>
  <c r="J270" i="24"/>
  <c r="H270" i="24"/>
  <c r="G270" i="24"/>
  <c r="J269" i="24"/>
  <c r="H269" i="24"/>
  <c r="G269" i="24"/>
  <c r="J268" i="24"/>
  <c r="H268" i="24"/>
  <c r="G268" i="24"/>
  <c r="J267" i="24"/>
  <c r="H267" i="24"/>
  <c r="G267" i="24"/>
  <c r="J266" i="24"/>
  <c r="H266" i="24"/>
  <c r="G266" i="24"/>
  <c r="J265" i="24"/>
  <c r="H265" i="24"/>
  <c r="G265" i="24"/>
  <c r="J264" i="24"/>
  <c r="H264" i="24"/>
  <c r="G264" i="24"/>
  <c r="J263" i="24"/>
  <c r="H263" i="24"/>
  <c r="G263" i="24"/>
  <c r="J262" i="24"/>
  <c r="H262" i="24"/>
  <c r="G262" i="24"/>
  <c r="J261" i="24"/>
  <c r="H261" i="24"/>
  <c r="G261" i="24"/>
  <c r="J260" i="24"/>
  <c r="H260" i="24"/>
  <c r="G260" i="24"/>
  <c r="J259" i="24"/>
  <c r="H259" i="24"/>
  <c r="G259" i="24"/>
  <c r="J258" i="24"/>
  <c r="H258" i="24"/>
  <c r="G258" i="24"/>
  <c r="J257" i="24"/>
  <c r="H257" i="24"/>
  <c r="G257" i="24"/>
  <c r="J256" i="24"/>
  <c r="H256" i="24"/>
  <c r="G256" i="24"/>
  <c r="J255" i="24"/>
  <c r="H255" i="24"/>
  <c r="G255" i="24"/>
  <c r="J254" i="24"/>
  <c r="H254" i="24"/>
  <c r="G254" i="24"/>
  <c r="J253" i="24"/>
  <c r="H253" i="24"/>
  <c r="G253" i="24"/>
  <c r="J252" i="24"/>
  <c r="H252" i="24"/>
  <c r="G252" i="24"/>
  <c r="J251" i="24"/>
  <c r="H251" i="24"/>
  <c r="G251" i="24"/>
  <c r="J250" i="24"/>
  <c r="H250" i="24"/>
  <c r="G250" i="24"/>
  <c r="J249" i="24"/>
  <c r="H249" i="24"/>
  <c r="G249" i="24"/>
  <c r="J248" i="24"/>
  <c r="H248" i="24"/>
  <c r="G248" i="24"/>
  <c r="J247" i="24"/>
  <c r="H247" i="24"/>
  <c r="G247" i="24"/>
  <c r="J246" i="24"/>
  <c r="H246" i="24"/>
  <c r="G246" i="24"/>
  <c r="J245" i="24"/>
  <c r="H245" i="24"/>
  <c r="G245" i="24"/>
  <c r="J244" i="24"/>
  <c r="H244" i="24"/>
  <c r="G244" i="24"/>
  <c r="J243" i="24"/>
  <c r="H243" i="24"/>
  <c r="G243" i="24"/>
  <c r="J242" i="24"/>
  <c r="H242" i="24"/>
  <c r="G242" i="24"/>
  <c r="J241" i="24"/>
  <c r="H241" i="24"/>
  <c r="G241" i="24"/>
  <c r="J240" i="24"/>
  <c r="H240" i="24"/>
  <c r="G240" i="24"/>
  <c r="J239" i="24"/>
  <c r="H239" i="24"/>
  <c r="G239" i="24"/>
  <c r="J238" i="24"/>
  <c r="H238" i="24"/>
  <c r="G238" i="24"/>
  <c r="J237" i="24"/>
  <c r="H237" i="24"/>
  <c r="G237" i="24"/>
  <c r="J236" i="24"/>
  <c r="H236" i="24"/>
  <c r="G236" i="24"/>
  <c r="J235" i="24"/>
  <c r="H235" i="24"/>
  <c r="G235" i="24"/>
  <c r="J234" i="24"/>
  <c r="H234" i="24"/>
  <c r="G234" i="24"/>
  <c r="J233" i="24"/>
  <c r="H233" i="24"/>
  <c r="G233" i="24"/>
  <c r="J232" i="24"/>
  <c r="H232" i="24"/>
  <c r="G232" i="24"/>
  <c r="J231" i="24"/>
  <c r="H231" i="24"/>
  <c r="G231" i="24"/>
  <c r="J230" i="24"/>
  <c r="H230" i="24"/>
  <c r="G230" i="24"/>
  <c r="J229" i="24"/>
  <c r="H229" i="24"/>
  <c r="G229" i="24"/>
  <c r="J228" i="24"/>
  <c r="H228" i="24"/>
  <c r="G228" i="24"/>
  <c r="J227" i="24"/>
  <c r="H227" i="24"/>
  <c r="G227" i="24"/>
  <c r="J226" i="24"/>
  <c r="H226" i="24"/>
  <c r="G226" i="24"/>
  <c r="J225" i="24"/>
  <c r="H225" i="24"/>
  <c r="G225" i="24"/>
  <c r="J224" i="24"/>
  <c r="H224" i="24"/>
  <c r="G224" i="24"/>
  <c r="J223" i="24"/>
  <c r="H223" i="24"/>
  <c r="G223" i="24"/>
  <c r="J222" i="24"/>
  <c r="H222" i="24"/>
  <c r="G222" i="24"/>
  <c r="J221" i="24"/>
  <c r="H221" i="24"/>
  <c r="G221" i="24"/>
  <c r="J220" i="24"/>
  <c r="H220" i="24"/>
  <c r="G220" i="24"/>
  <c r="J219" i="24"/>
  <c r="H219" i="24"/>
  <c r="G219" i="24"/>
  <c r="J218" i="24"/>
  <c r="H218" i="24"/>
  <c r="G218" i="24"/>
  <c r="J217" i="24"/>
  <c r="H217" i="24"/>
  <c r="G217" i="24"/>
  <c r="J216" i="24"/>
  <c r="H216" i="24"/>
  <c r="G216" i="24"/>
  <c r="J215" i="24"/>
  <c r="H215" i="24"/>
  <c r="G215" i="24"/>
  <c r="J214" i="24"/>
  <c r="H214" i="24"/>
  <c r="G214" i="24"/>
  <c r="J213" i="24"/>
  <c r="H213" i="24"/>
  <c r="G213" i="24"/>
  <c r="J212" i="24"/>
  <c r="H212" i="24"/>
  <c r="G212" i="24"/>
  <c r="J211" i="24"/>
  <c r="H211" i="24"/>
  <c r="G211" i="24"/>
  <c r="J210" i="24"/>
  <c r="H210" i="24"/>
  <c r="G210" i="24"/>
  <c r="J209" i="24"/>
  <c r="H209" i="24"/>
  <c r="G209" i="24"/>
  <c r="J208" i="24"/>
  <c r="H208" i="24"/>
  <c r="G208" i="24"/>
  <c r="J207" i="24"/>
  <c r="H207" i="24"/>
  <c r="G207" i="24"/>
  <c r="J206" i="24"/>
  <c r="H206" i="24"/>
  <c r="G206" i="24"/>
  <c r="J205" i="24"/>
  <c r="H205" i="24"/>
  <c r="G205" i="24"/>
  <c r="J204" i="24"/>
  <c r="H204" i="24"/>
  <c r="G204" i="24"/>
  <c r="J203" i="24"/>
  <c r="H203" i="24"/>
  <c r="G203" i="24"/>
  <c r="J202" i="24"/>
  <c r="H202" i="24"/>
  <c r="G202" i="24"/>
  <c r="J201" i="24"/>
  <c r="H201" i="24"/>
  <c r="G201" i="24"/>
  <c r="J200" i="24"/>
  <c r="H200" i="24"/>
  <c r="G200" i="24"/>
  <c r="J199" i="24"/>
  <c r="H199" i="24"/>
  <c r="G199" i="24"/>
  <c r="J198" i="24"/>
  <c r="H198" i="24"/>
  <c r="G198" i="24"/>
  <c r="J197" i="24"/>
  <c r="H197" i="24"/>
  <c r="G197" i="24"/>
  <c r="J196" i="24"/>
  <c r="H196" i="24"/>
  <c r="G196" i="24"/>
  <c r="J195" i="24"/>
  <c r="H195" i="24"/>
  <c r="G195" i="24"/>
  <c r="J194" i="24"/>
  <c r="H194" i="24"/>
  <c r="G194" i="24"/>
  <c r="J193" i="24"/>
  <c r="H193" i="24"/>
  <c r="G193" i="24"/>
  <c r="J192" i="24"/>
  <c r="H192" i="24"/>
  <c r="G192" i="24"/>
  <c r="J191" i="24"/>
  <c r="H191" i="24"/>
  <c r="G191" i="24"/>
  <c r="J190" i="24"/>
  <c r="H190" i="24"/>
  <c r="G190" i="24"/>
  <c r="J189" i="24"/>
  <c r="H189" i="24"/>
  <c r="G189" i="24"/>
  <c r="J188" i="24"/>
  <c r="H188" i="24"/>
  <c r="G188" i="24"/>
  <c r="J187" i="24"/>
  <c r="H187" i="24"/>
  <c r="G187" i="24"/>
  <c r="J186" i="24"/>
  <c r="H186" i="24"/>
  <c r="G186" i="24"/>
  <c r="J185" i="24"/>
  <c r="H185" i="24"/>
  <c r="G185" i="24"/>
  <c r="J184" i="24"/>
  <c r="H184" i="24"/>
  <c r="G184" i="24"/>
  <c r="J183" i="24"/>
  <c r="H183" i="24"/>
  <c r="G183" i="24"/>
  <c r="J182" i="24"/>
  <c r="H182" i="24"/>
  <c r="G182" i="24"/>
  <c r="J181" i="24"/>
  <c r="H181" i="24"/>
  <c r="G181" i="24"/>
  <c r="J180" i="24"/>
  <c r="H180" i="24"/>
  <c r="G180" i="24"/>
  <c r="J179" i="24"/>
  <c r="H179" i="24"/>
  <c r="G179" i="24"/>
  <c r="J178" i="24"/>
  <c r="H178" i="24"/>
  <c r="G178" i="24"/>
  <c r="J177" i="24"/>
  <c r="H177" i="24"/>
  <c r="G177" i="24"/>
  <c r="J176" i="24"/>
  <c r="H176" i="24"/>
  <c r="G176" i="24"/>
  <c r="J175" i="24"/>
  <c r="H175" i="24"/>
  <c r="G175" i="24"/>
  <c r="J174" i="24"/>
  <c r="H174" i="24"/>
  <c r="G174" i="24"/>
  <c r="J173" i="24"/>
  <c r="H173" i="24"/>
  <c r="G173" i="24"/>
  <c r="J172" i="24"/>
  <c r="H172" i="24"/>
  <c r="G172" i="24"/>
  <c r="J171" i="24"/>
  <c r="H171" i="24"/>
  <c r="G171" i="24"/>
  <c r="J170" i="24"/>
  <c r="H170" i="24"/>
  <c r="G170" i="24"/>
  <c r="J169" i="24"/>
  <c r="H169" i="24"/>
  <c r="G169" i="24"/>
  <c r="J168" i="24"/>
  <c r="H168" i="24"/>
  <c r="G168" i="24"/>
  <c r="J167" i="24"/>
  <c r="H167" i="24"/>
  <c r="G167" i="24"/>
  <c r="J166" i="24"/>
  <c r="H166" i="24"/>
  <c r="G166" i="24"/>
  <c r="J165" i="24"/>
  <c r="H165" i="24"/>
  <c r="G165" i="24"/>
  <c r="J164" i="24"/>
  <c r="H164" i="24"/>
  <c r="G164" i="24"/>
  <c r="J163" i="24"/>
  <c r="H163" i="24"/>
  <c r="G163" i="24"/>
  <c r="J162" i="24"/>
  <c r="H162" i="24"/>
  <c r="G162" i="24"/>
  <c r="J161" i="24"/>
  <c r="H161" i="24"/>
  <c r="G161" i="24"/>
  <c r="J160" i="24"/>
  <c r="H160" i="24"/>
  <c r="G160" i="24"/>
  <c r="J159" i="24"/>
  <c r="H159" i="24"/>
  <c r="G159" i="24"/>
  <c r="J158" i="24"/>
  <c r="H158" i="24"/>
  <c r="G158" i="24"/>
  <c r="J157" i="24"/>
  <c r="H157" i="24"/>
  <c r="G157" i="24"/>
  <c r="J156" i="24"/>
  <c r="H156" i="24"/>
  <c r="G156" i="24"/>
  <c r="J155" i="24"/>
  <c r="H155" i="24"/>
  <c r="G155" i="24"/>
  <c r="J154" i="24"/>
  <c r="H154" i="24"/>
  <c r="G154" i="24"/>
  <c r="J153" i="24"/>
  <c r="H153" i="24"/>
  <c r="G153" i="24"/>
  <c r="J152" i="24"/>
  <c r="H152" i="24"/>
  <c r="G152" i="24"/>
  <c r="J151" i="24"/>
  <c r="H151" i="24"/>
  <c r="G151" i="24"/>
  <c r="J150" i="24"/>
  <c r="H150" i="24"/>
  <c r="G150" i="24"/>
  <c r="J149" i="24"/>
  <c r="H149" i="24"/>
  <c r="G149" i="24"/>
  <c r="J148" i="24"/>
  <c r="H148" i="24"/>
  <c r="G148" i="24"/>
  <c r="J147" i="24"/>
  <c r="H147" i="24"/>
  <c r="G147" i="24"/>
  <c r="J146" i="24"/>
  <c r="H146" i="24"/>
  <c r="G146" i="24"/>
  <c r="J145" i="24"/>
  <c r="H145" i="24"/>
  <c r="G145" i="24"/>
  <c r="J144" i="24"/>
  <c r="H144" i="24"/>
  <c r="G144" i="24"/>
  <c r="J143" i="24"/>
  <c r="H143" i="24"/>
  <c r="G143" i="24"/>
  <c r="J142" i="24"/>
  <c r="H142" i="24"/>
  <c r="G142" i="24"/>
  <c r="J141" i="24"/>
  <c r="H141" i="24"/>
  <c r="G141" i="24"/>
  <c r="J140" i="24"/>
  <c r="H140" i="24"/>
  <c r="G140" i="24"/>
  <c r="J139" i="24"/>
  <c r="H139" i="24"/>
  <c r="G139" i="24"/>
  <c r="J138" i="24"/>
  <c r="H138" i="24"/>
  <c r="G138" i="24"/>
  <c r="J137" i="24"/>
  <c r="H137" i="24"/>
  <c r="G137" i="24"/>
  <c r="J136" i="24"/>
  <c r="H136" i="24"/>
  <c r="G136" i="24"/>
  <c r="J135" i="24"/>
  <c r="H135" i="24"/>
  <c r="G135" i="24"/>
  <c r="J134" i="24"/>
  <c r="H134" i="24"/>
  <c r="G134" i="24"/>
  <c r="J133" i="24"/>
  <c r="H133" i="24"/>
  <c r="G133" i="24"/>
  <c r="J132" i="24"/>
  <c r="H132" i="24"/>
  <c r="G132" i="24"/>
  <c r="J131" i="24"/>
  <c r="H131" i="24"/>
  <c r="G131" i="24"/>
  <c r="J130" i="24"/>
  <c r="H130" i="24"/>
  <c r="G130" i="24"/>
  <c r="J129" i="24"/>
  <c r="H129" i="24"/>
  <c r="G129" i="24"/>
  <c r="J128" i="24"/>
  <c r="H128" i="24"/>
  <c r="G128" i="24"/>
  <c r="J127" i="24"/>
  <c r="H127" i="24"/>
  <c r="G127" i="24"/>
  <c r="J126" i="24"/>
  <c r="H126" i="24"/>
  <c r="G126" i="24"/>
  <c r="J125" i="24"/>
  <c r="H125" i="24"/>
  <c r="G125" i="24"/>
  <c r="J124" i="24"/>
  <c r="H124" i="24"/>
  <c r="G124" i="24"/>
  <c r="J123" i="24"/>
  <c r="H123" i="24"/>
  <c r="G123" i="24"/>
  <c r="J122" i="24"/>
  <c r="H122" i="24"/>
  <c r="G122" i="24"/>
  <c r="J121" i="24"/>
  <c r="H121" i="24"/>
  <c r="G121" i="24"/>
  <c r="J120" i="24"/>
  <c r="H120" i="24"/>
  <c r="G120" i="24"/>
  <c r="J119" i="24"/>
  <c r="H119" i="24"/>
  <c r="G119" i="24"/>
  <c r="J118" i="24"/>
  <c r="H118" i="24"/>
  <c r="G118" i="24"/>
  <c r="J117" i="24"/>
  <c r="H117" i="24"/>
  <c r="G117" i="24"/>
  <c r="J116" i="24"/>
  <c r="H116" i="24"/>
  <c r="G116" i="24"/>
  <c r="J115" i="24"/>
  <c r="H115" i="24"/>
  <c r="G115" i="24"/>
  <c r="J114" i="24"/>
  <c r="H114" i="24"/>
  <c r="G114" i="24"/>
  <c r="J113" i="24"/>
  <c r="H113" i="24"/>
  <c r="G113" i="24"/>
  <c r="J112" i="24"/>
  <c r="H112" i="24"/>
  <c r="G112" i="24"/>
  <c r="J111" i="24"/>
  <c r="H111" i="24"/>
  <c r="G111" i="24"/>
  <c r="J110" i="24"/>
  <c r="H110" i="24"/>
  <c r="G110" i="24"/>
  <c r="J109" i="24"/>
  <c r="H109" i="24"/>
  <c r="G109" i="24"/>
  <c r="J108" i="24"/>
  <c r="H108" i="24"/>
  <c r="G108" i="24"/>
  <c r="J107" i="24"/>
  <c r="H107" i="24"/>
  <c r="G107" i="24"/>
  <c r="J106" i="24"/>
  <c r="H106" i="24"/>
  <c r="G106" i="24"/>
  <c r="J105" i="24"/>
  <c r="H105" i="24"/>
  <c r="G105" i="24"/>
  <c r="J104" i="24"/>
  <c r="H104" i="24"/>
  <c r="G104" i="24"/>
  <c r="J103" i="24"/>
  <c r="H103" i="24"/>
  <c r="G103" i="24"/>
  <c r="J102" i="24"/>
  <c r="H102" i="24"/>
  <c r="G102" i="24"/>
  <c r="J101" i="24"/>
  <c r="H101" i="24"/>
  <c r="G101" i="24"/>
  <c r="J100" i="24"/>
  <c r="H100" i="24"/>
  <c r="G100" i="24"/>
  <c r="J99" i="24"/>
  <c r="H99" i="24"/>
  <c r="G99" i="24"/>
  <c r="J98" i="24"/>
  <c r="H98" i="24"/>
  <c r="G98" i="24"/>
  <c r="J97" i="24"/>
  <c r="H97" i="24"/>
  <c r="G97" i="24"/>
  <c r="J96" i="24"/>
  <c r="H96" i="24"/>
  <c r="G96" i="24"/>
  <c r="J95" i="24"/>
  <c r="H95" i="24"/>
  <c r="G95" i="24"/>
  <c r="J94" i="24"/>
  <c r="H94" i="24"/>
  <c r="G94" i="24"/>
  <c r="J93" i="24"/>
  <c r="H93" i="24"/>
  <c r="G93" i="24"/>
  <c r="J92" i="24"/>
  <c r="H92" i="24"/>
  <c r="G92" i="24"/>
  <c r="J91" i="24"/>
  <c r="H91" i="24"/>
  <c r="G91" i="24"/>
  <c r="J90" i="24"/>
  <c r="H90" i="24"/>
  <c r="G90" i="24"/>
  <c r="J89" i="24"/>
  <c r="H89" i="24"/>
  <c r="G89" i="24"/>
  <c r="J88" i="24"/>
  <c r="H88" i="24"/>
  <c r="G88" i="24"/>
  <c r="J87" i="24"/>
  <c r="H87" i="24"/>
  <c r="G87" i="24"/>
  <c r="J86" i="24"/>
  <c r="H86" i="24"/>
  <c r="G86" i="24"/>
  <c r="J85" i="24"/>
  <c r="H85" i="24"/>
  <c r="G85" i="24"/>
  <c r="J84" i="24"/>
  <c r="H84" i="24"/>
  <c r="G84" i="24"/>
  <c r="J83" i="24"/>
  <c r="H83" i="24"/>
  <c r="G83" i="24"/>
  <c r="J82" i="24"/>
  <c r="H82" i="24"/>
  <c r="G82" i="24"/>
  <c r="J81" i="24"/>
  <c r="H81" i="24"/>
  <c r="G81" i="24"/>
  <c r="J80" i="24"/>
  <c r="H80" i="24"/>
  <c r="G80" i="24"/>
  <c r="J79" i="24"/>
  <c r="H79" i="24"/>
  <c r="G79" i="24"/>
  <c r="J78" i="24"/>
  <c r="H78" i="24"/>
  <c r="G78" i="24"/>
  <c r="J77" i="24"/>
  <c r="H77" i="24"/>
  <c r="G77" i="24"/>
  <c r="J76" i="24"/>
  <c r="H76" i="24"/>
  <c r="G76" i="24"/>
  <c r="J75" i="24"/>
  <c r="H75" i="24"/>
  <c r="G75" i="24"/>
  <c r="J74" i="24"/>
  <c r="H74" i="24"/>
  <c r="G74" i="24"/>
  <c r="J73" i="24"/>
  <c r="H73" i="24"/>
  <c r="G73" i="24"/>
  <c r="J72" i="24"/>
  <c r="H72" i="24"/>
  <c r="G72" i="24"/>
  <c r="J71" i="24"/>
  <c r="H71" i="24"/>
  <c r="G71" i="24"/>
  <c r="J70" i="24"/>
  <c r="H70" i="24"/>
  <c r="G70" i="24"/>
  <c r="J69" i="24"/>
  <c r="H69" i="24"/>
  <c r="G69" i="24"/>
  <c r="J68" i="24"/>
  <c r="H68" i="24"/>
  <c r="G68" i="24"/>
  <c r="J67" i="24"/>
  <c r="H67" i="24"/>
  <c r="G67" i="24"/>
  <c r="J66" i="24"/>
  <c r="H66" i="24"/>
  <c r="G66" i="24"/>
  <c r="J65" i="24"/>
  <c r="H65" i="24"/>
  <c r="G65" i="24"/>
  <c r="J64" i="24"/>
  <c r="H64" i="24"/>
  <c r="G64" i="24"/>
  <c r="J63" i="24"/>
  <c r="H63" i="24"/>
  <c r="G63" i="24"/>
  <c r="J62" i="24"/>
  <c r="H62" i="24"/>
  <c r="G62" i="24"/>
  <c r="J61" i="24"/>
  <c r="H61" i="24"/>
  <c r="G61" i="24"/>
  <c r="J60" i="24"/>
  <c r="H60" i="24"/>
  <c r="G60" i="24"/>
  <c r="J59" i="24"/>
  <c r="H59" i="24"/>
  <c r="G59" i="24"/>
  <c r="J58" i="24"/>
  <c r="H58" i="24"/>
  <c r="G58" i="24"/>
  <c r="J57" i="24"/>
  <c r="H57" i="24"/>
  <c r="G57" i="24"/>
  <c r="J56" i="24"/>
  <c r="H56" i="24"/>
  <c r="G56" i="24"/>
  <c r="J55" i="24"/>
  <c r="H55" i="24"/>
  <c r="G55" i="24"/>
  <c r="J54" i="24"/>
  <c r="H54" i="24"/>
  <c r="G54" i="24"/>
  <c r="J53" i="24"/>
  <c r="H53" i="24"/>
  <c r="G53" i="24"/>
  <c r="J52" i="24"/>
  <c r="H52" i="24"/>
  <c r="G52" i="24"/>
  <c r="J51" i="24"/>
  <c r="H51" i="24"/>
  <c r="G51" i="24"/>
  <c r="J50" i="24"/>
  <c r="H50" i="24"/>
  <c r="G50" i="24"/>
  <c r="J49" i="24"/>
  <c r="H49" i="24"/>
  <c r="G49" i="24"/>
  <c r="J48" i="24"/>
  <c r="H48" i="24"/>
  <c r="G48" i="24"/>
  <c r="J47" i="24"/>
  <c r="H47" i="24"/>
  <c r="G47" i="24"/>
  <c r="J46" i="24"/>
  <c r="H46" i="24"/>
  <c r="G46" i="24"/>
  <c r="J45" i="24"/>
  <c r="H45" i="24"/>
  <c r="G45" i="24"/>
  <c r="J44" i="24"/>
  <c r="H44" i="24"/>
  <c r="G44" i="24"/>
  <c r="J43" i="24"/>
  <c r="H43" i="24"/>
  <c r="G43" i="24"/>
  <c r="J42" i="24"/>
  <c r="H42" i="24"/>
  <c r="G42" i="24"/>
  <c r="J41" i="24"/>
  <c r="H41" i="24"/>
  <c r="G41" i="24"/>
  <c r="J40" i="24"/>
  <c r="H40" i="24"/>
  <c r="G40" i="24"/>
  <c r="Q39" i="24"/>
  <c r="J39" i="24"/>
  <c r="H39" i="24"/>
  <c r="G39" i="24"/>
  <c r="Q38" i="24"/>
  <c r="J38" i="24"/>
  <c r="H38" i="24"/>
  <c r="G38" i="24"/>
  <c r="Q37" i="24"/>
  <c r="J37" i="24"/>
  <c r="H37" i="24"/>
  <c r="G37" i="24"/>
  <c r="Q36" i="24"/>
  <c r="J36" i="24"/>
  <c r="H36" i="24"/>
  <c r="G36" i="24"/>
  <c r="Q35" i="24"/>
  <c r="J35" i="24"/>
  <c r="H35" i="24"/>
  <c r="G35" i="24"/>
  <c r="Q34" i="24"/>
  <c r="J34" i="24"/>
  <c r="H34" i="24"/>
  <c r="G34" i="24"/>
  <c r="Q33" i="24"/>
  <c r="J33" i="24"/>
  <c r="H33" i="24"/>
  <c r="G33" i="24"/>
  <c r="Q32" i="24"/>
  <c r="J32" i="24"/>
  <c r="H32" i="24"/>
  <c r="G32" i="24"/>
  <c r="Q31" i="24"/>
  <c r="J31" i="24"/>
  <c r="H31" i="24"/>
  <c r="G31" i="24"/>
  <c r="Q30" i="24"/>
  <c r="J30" i="24"/>
  <c r="H30" i="24"/>
  <c r="G30" i="24"/>
  <c r="Q29" i="24"/>
  <c r="J29" i="24"/>
  <c r="H29" i="24"/>
  <c r="G29" i="24"/>
  <c r="Q28" i="24"/>
  <c r="J28" i="24"/>
  <c r="H28" i="24"/>
  <c r="G28" i="24"/>
  <c r="Q27" i="24"/>
  <c r="J27" i="24"/>
  <c r="H27" i="24"/>
  <c r="G27" i="24"/>
  <c r="Q26" i="24"/>
  <c r="J26" i="24"/>
  <c r="H26" i="24"/>
  <c r="G26" i="24"/>
  <c r="Q25" i="24"/>
  <c r="J25" i="24"/>
  <c r="H25" i="24"/>
  <c r="G25" i="24"/>
  <c r="Q24" i="24"/>
  <c r="J24" i="24"/>
  <c r="H24" i="24"/>
  <c r="G24" i="24"/>
  <c r="Q23" i="24"/>
  <c r="J23" i="24"/>
  <c r="H23" i="24"/>
  <c r="G23" i="24"/>
  <c r="Q22" i="24"/>
  <c r="J22" i="24"/>
  <c r="H22" i="24"/>
  <c r="G22" i="24"/>
  <c r="Q21" i="24"/>
  <c r="J21" i="24"/>
  <c r="H21" i="24"/>
  <c r="G21" i="24"/>
  <c r="Q20" i="24"/>
  <c r="J20" i="24"/>
  <c r="H20" i="24"/>
  <c r="G20" i="24"/>
  <c r="Q19" i="24"/>
  <c r="J19" i="24"/>
  <c r="H19" i="24"/>
  <c r="G19" i="24"/>
  <c r="Q18" i="24"/>
  <c r="J18" i="24"/>
  <c r="H18" i="24"/>
  <c r="G18" i="24"/>
  <c r="Q17" i="24"/>
  <c r="J17" i="24"/>
  <c r="H17" i="24"/>
  <c r="G17" i="24"/>
  <c r="Q16" i="24"/>
  <c r="J16" i="24"/>
  <c r="H16" i="24"/>
  <c r="G16" i="24"/>
  <c r="Q15" i="24"/>
  <c r="J15" i="24"/>
  <c r="H15" i="24"/>
  <c r="G15" i="24"/>
  <c r="Q14" i="24"/>
  <c r="J14" i="24"/>
  <c r="H14" i="24"/>
  <c r="G14" i="24"/>
  <c r="Q13" i="24"/>
  <c r="J13" i="24"/>
  <c r="H13" i="24"/>
  <c r="G13" i="24"/>
  <c r="J12" i="24"/>
  <c r="H12" i="24"/>
  <c r="G12" i="24"/>
  <c r="J11" i="24"/>
  <c r="H11" i="24"/>
  <c r="G11" i="24"/>
  <c r="J10" i="24"/>
  <c r="H10" i="24"/>
  <c r="G10" i="24"/>
  <c r="Q9" i="24"/>
  <c r="Q10" i="24"/>
  <c r="Q11" i="24"/>
  <c r="Q12" i="24"/>
  <c r="J9" i="24"/>
  <c r="H9" i="24"/>
  <c r="G9" i="24"/>
  <c r="J8" i="24"/>
  <c r="H8" i="24"/>
  <c r="G8" i="24"/>
  <c r="J7" i="24"/>
  <c r="H7" i="24"/>
  <c r="G7" i="24"/>
  <c r="J6" i="24"/>
  <c r="H6" i="24"/>
  <c r="G6" i="24"/>
  <c r="J5" i="24"/>
  <c r="H5" i="24"/>
  <c r="G5" i="24"/>
  <c r="J4" i="24"/>
  <c r="H4" i="24"/>
  <c r="G4" i="24"/>
  <c r="Q3" i="24"/>
  <c r="Q4" i="24"/>
  <c r="Q5" i="24"/>
  <c r="Q6" i="24"/>
  <c r="Q7" i="24"/>
  <c r="Q8" i="24"/>
  <c r="J3" i="24"/>
  <c r="H3" i="24"/>
  <c r="G3" i="24"/>
  <c r="J2" i="24"/>
  <c r="H2" i="24"/>
  <c r="G2" i="24"/>
</calcChain>
</file>

<file path=xl/sharedStrings.xml><?xml version="1.0" encoding="utf-8"?>
<sst xmlns="http://schemas.openxmlformats.org/spreadsheetml/2006/main" count="14991" uniqueCount="1726">
  <si>
    <t>&lt;60</t>
  </si>
  <si>
    <t>&gt;90</t>
  </si>
  <si>
    <t>Attribute</t>
  </si>
  <si>
    <t>Indicator</t>
  </si>
  <si>
    <t>60-70</t>
  </si>
  <si>
    <t>70-80</t>
  </si>
  <si>
    <t>80-90</t>
  </si>
  <si>
    <t>Percentage Of Students</t>
  </si>
  <si>
    <t>Assessments</t>
  </si>
  <si>
    <t>Out Of</t>
  </si>
  <si>
    <t>This sheet has no functional purpose except to provide a place to keep track of what the assessments are and what the codes mean.</t>
  </si>
  <si>
    <t>Indicator Weight</t>
  </si>
  <si>
    <t>Final Contribution</t>
  </si>
  <si>
    <t>A1</t>
  </si>
  <si>
    <t>A2</t>
  </si>
  <si>
    <t>Q1-a</t>
  </si>
  <si>
    <t>Q1-b</t>
  </si>
  <si>
    <t xml:space="preserve">5. Final Exam - 30% </t>
  </si>
  <si>
    <t>4. Mid-term Exam - 10%</t>
  </si>
  <si>
    <t>3. Project - 30%</t>
  </si>
  <si>
    <t>2. Quizzes - 20%</t>
  </si>
  <si>
    <t>1. Assignments - 10%</t>
  </si>
  <si>
    <t>F-a - Final, Section a: supply chain management</t>
  </si>
  <si>
    <t>F-b - Final, Section b: push and pull systems</t>
  </si>
  <si>
    <t>F-c - Final, Section c: aggregate planning</t>
  </si>
  <si>
    <t>Q1-a - Quiz 1, Question a: operations analysis</t>
  </si>
  <si>
    <t>Q1-b - Quiz 1, Question b: motion study and work design</t>
  </si>
  <si>
    <t>Q2-c - Quiz 2, Question c: time study</t>
  </si>
  <si>
    <t>Q2-d - Quiz 2, Question d: layout design and material handling</t>
  </si>
  <si>
    <t xml:space="preserve">P3 - Part 3: write a final report detailing the progress of the project </t>
  </si>
  <si>
    <t xml:space="preserve">A1 - Assignment 1: write and debug Processing and Java code </t>
  </si>
  <si>
    <t>A2 - Assignment 2: solve problems and work with user input and files</t>
  </si>
  <si>
    <t>P1 - Part 1: analyze a prototype information system using a case study</t>
  </si>
  <si>
    <t>M1-a - Mid-term 1, Section a: simple harmonic motions</t>
  </si>
  <si>
    <t>M1-b - Mid-term 2, Section b: waves and sounds</t>
  </si>
  <si>
    <t>P2 - Part 2: design an information system based upon foundations of application development</t>
  </si>
  <si>
    <t>SAMPLE 101</t>
  </si>
  <si>
    <t>In SAMPLE 101, students were evaluated according to their performance on assignments, quizzes, a project, a mid-term, and a final exam.</t>
  </si>
  <si>
    <r>
      <t xml:space="preserve">Notes to users: Your continued feedback and suggestions for this tool would be greatly appreciated. If there are any derivatives or improvements made to the workbook, please kindly share a copy with us (at mpirnia@uwaterloo.ca, kmckay@uwaterloo.ca) so that we can continue to learn and improve. We would also request that if the workbook is referenced, it should be noted that the workbook is </t>
    </r>
    <r>
      <rPr>
        <b/>
        <u/>
        <sz val="10"/>
        <color rgb="FF000000"/>
        <rFont val="Tahoma"/>
        <family val="2"/>
      </rPr>
      <t>copyright Kenneth N. McKay and provided courtesy of the Department of Management Sciences, Faculty of Engineering, University of Waterloo</t>
    </r>
    <r>
      <rPr>
        <b/>
        <sz val="10"/>
        <color rgb="FF000000"/>
        <rFont val="Tahoma"/>
        <family val="2"/>
      </rPr>
      <t>. Please note that this product is provided “As Is” without any implicit or explicit warranties.</t>
    </r>
  </si>
  <si>
    <t>Course Name</t>
  </si>
  <si>
    <t>Score</t>
  </si>
  <si>
    <t>Department Code</t>
  </si>
  <si>
    <t xml:space="preserve">Course Information </t>
  </si>
  <si>
    <t>Course Number</t>
  </si>
  <si>
    <t>Instructor's Last Name</t>
  </si>
  <si>
    <t>Instructor's First Name</t>
  </si>
  <si>
    <t>Term</t>
  </si>
  <si>
    <t>Winter</t>
  </si>
  <si>
    <t xml:space="preserve">Spring </t>
  </si>
  <si>
    <t>Fall</t>
  </si>
  <si>
    <t>Year</t>
  </si>
  <si>
    <t>Cohort</t>
  </si>
  <si>
    <t xml:space="preserve">Type </t>
  </si>
  <si>
    <t>Core</t>
  </si>
  <si>
    <t>Elective</t>
  </si>
  <si>
    <t>Option</t>
  </si>
  <si>
    <t>2A</t>
  </si>
  <si>
    <t>Type</t>
  </si>
  <si>
    <t>X</t>
  </si>
  <si>
    <t>Problem Analysis</t>
  </si>
  <si>
    <t>Investigation</t>
  </si>
  <si>
    <t>Design</t>
  </si>
  <si>
    <t>Professionalism</t>
  </si>
  <si>
    <t>Q2-c</t>
  </si>
  <si>
    <t>Q2-d</t>
  </si>
  <si>
    <t>P1</t>
  </si>
  <si>
    <t>P2</t>
  </si>
  <si>
    <t>P3</t>
  </si>
  <si>
    <t>M1-a</t>
  </si>
  <si>
    <t>M2-a</t>
  </si>
  <si>
    <t>F-a</t>
  </si>
  <si>
    <t>F-b</t>
  </si>
  <si>
    <t>F-c</t>
  </si>
  <si>
    <t>Recognize and address uncertainty</t>
  </si>
  <si>
    <t>Diagnose search quality problems and suggest areas of engine improvement for future experiments</t>
  </si>
  <si>
    <t>Design and conduct an experiment to test a proposed system change</t>
  </si>
  <si>
    <t>Build relevant models that provide valuable insights for operational and/or strategic decision making</t>
  </si>
  <si>
    <t>Implement optimization approaches in real-life applications using different mathematical software (e.g. Matlab, Cplex, Gurobi, Lindo, Excel solver)</t>
  </si>
  <si>
    <t>Build database applications using the php programming language</t>
  </si>
  <si>
    <t>Comprehend the professional practice of engineering</t>
  </si>
  <si>
    <t>Assess risk and uncertainties associated with engineering economic decisions</t>
  </si>
  <si>
    <t>Select the most economical investment decision among several alternatives</t>
  </si>
  <si>
    <t>M1-b</t>
  </si>
  <si>
    <t xml:space="preserve">Course </t>
  </si>
  <si>
    <t xml:space="preserve">Time </t>
  </si>
  <si>
    <t xml:space="preserve">Indicator </t>
  </si>
  <si>
    <t>Prog. Level Indicator</t>
  </si>
  <si>
    <t>MSCI 100</t>
  </si>
  <si>
    <t>F16</t>
  </si>
  <si>
    <t>1A</t>
  </si>
  <si>
    <t>Communication</t>
  </si>
  <si>
    <t>MSCI 121</t>
  </si>
  <si>
    <t>W16</t>
  </si>
  <si>
    <t>1B</t>
  </si>
  <si>
    <t>MSCI 211</t>
  </si>
  <si>
    <t>S16</t>
  </si>
  <si>
    <t>2B</t>
  </si>
  <si>
    <t>MSCI 311</t>
  </si>
  <si>
    <t>3A</t>
  </si>
  <si>
    <t>Generate an organized and professional report with appropriate page length, section headings, and correct spelling and grammar</t>
  </si>
  <si>
    <t>MSCI 334</t>
  </si>
  <si>
    <t xml:space="preserve">Convey project findings through a clear and cohesive oral presentation </t>
  </si>
  <si>
    <t>MSCI 346</t>
  </si>
  <si>
    <t>Explain the design, components, and functionalities of a database system</t>
  </si>
  <si>
    <t xml:space="preserve">Generate a written report detailing the design explanation of a database </t>
  </si>
  <si>
    <t>MSCI 401</t>
  </si>
  <si>
    <t>4A</t>
  </si>
  <si>
    <t>Communicate design through a written report (style/format/clarity)</t>
  </si>
  <si>
    <t>Communicate design orally (clarity/audience consideration/Q&amp;A)</t>
  </si>
  <si>
    <t>Generate engineering documentation and data</t>
  </si>
  <si>
    <t>Communicate design to peers; provide and receive feedback</t>
  </si>
  <si>
    <t>MSCI 402</t>
  </si>
  <si>
    <t>4B</t>
  </si>
  <si>
    <t>Generate engineering documentation &amp; data</t>
  </si>
  <si>
    <t>Communicate design to the public at large</t>
  </si>
  <si>
    <t>MSCI 421</t>
  </si>
  <si>
    <t>Prepare and present a solution to a real-life problem in a video presentation</t>
  </si>
  <si>
    <t>Describe a solution to a real-life problem through a written report</t>
  </si>
  <si>
    <t>MSCI 431</t>
  </si>
  <si>
    <t>Generate a concise report that clearly explains technical material and uses correct spelling, grammar, punctuation, and sentence/paragraph structure</t>
  </si>
  <si>
    <t>MSCI 433</t>
  </si>
  <si>
    <t>Generate a written report outlining implications of proposed changes to a management engineering approach in a case study</t>
  </si>
  <si>
    <t>Present finalized work from the course project through an oral presentation</t>
  </si>
  <si>
    <t>MSCI 434</t>
  </si>
  <si>
    <t>MSCI 435</t>
  </si>
  <si>
    <t xml:space="preserve">Generate a clear and professional proposal and report including quantitative and qualitative methods </t>
  </si>
  <si>
    <t>MSCI 436</t>
  </si>
  <si>
    <t xml:space="preserve">Present information orally </t>
  </si>
  <si>
    <t>Write summaries of completed work</t>
  </si>
  <si>
    <t>Document and present solution</t>
  </si>
  <si>
    <t>Written work tone (moved from prof.)</t>
  </si>
  <si>
    <t>Quality and style of presentation</t>
  </si>
  <si>
    <t>MSCI 442</t>
  </si>
  <si>
    <t>Create a video presentation using techniques to convey an argument</t>
  </si>
  <si>
    <t>Generate questions that challenge and reflect a thorough understanding of the opposing argument</t>
  </si>
  <si>
    <t>Present well-constructed arguments using sound knowledge and evidence supporting the case</t>
  </si>
  <si>
    <t>MSCI 444</t>
  </si>
  <si>
    <t>Create clear and concise design documentation including the problem statement, constraints, scope, and appropriate graphical representations (e.g. diagrams)</t>
  </si>
  <si>
    <t xml:space="preserve">Demonstrate the functionality of a proposed model through a succinct oral presentation </t>
  </si>
  <si>
    <t>MSCI 454</t>
  </si>
  <si>
    <t xml:space="preserve">Provide constructive feedback to pitch makers </t>
  </si>
  <si>
    <t>Generate clear and well-written pitch feedback</t>
  </si>
  <si>
    <t>WKRPT 200</t>
  </si>
  <si>
    <t>Generate a professional report with correct formatting and appearance</t>
  </si>
  <si>
    <t>Generate a professional report with correct spelling, punctuation, and grammar</t>
  </si>
  <si>
    <t>Organize ideas and arguments in a logical manner</t>
  </si>
  <si>
    <t>Integrate and explain the use of graphical representations (e.g. plots, tables, scales) where appropriate</t>
  </si>
  <si>
    <t>WKRPT 300</t>
  </si>
  <si>
    <t>3B</t>
  </si>
  <si>
    <t>Generate a professional report with correct spelling</t>
  </si>
  <si>
    <t>Generate a professional report with correct grammar and punctuation</t>
  </si>
  <si>
    <t>WKRPT 400</t>
  </si>
  <si>
    <t>Create a decision support tool in Excel to help plan and execute projects</t>
  </si>
  <si>
    <t>Illustrate Design concepts through several prototypes</t>
  </si>
  <si>
    <t>Design robust and user-friendly computer programs using the fundamentals of Java language</t>
  </si>
  <si>
    <t>MSCI 131</t>
  </si>
  <si>
    <t>Apply analytical techniques to Design and improve methods and processes</t>
  </si>
  <si>
    <t>Apply analytical methods for Designing facilities including layout, storage/warehousing, and material handling systems</t>
  </si>
  <si>
    <t>MSCI 332</t>
  </si>
  <si>
    <t>Develop an exact or heuristic solution methodology to solve a model</t>
  </si>
  <si>
    <t>MSCI 333</t>
  </si>
  <si>
    <t>Design and build a simulation model</t>
  </si>
  <si>
    <t>Design near optimal forecasting methods</t>
  </si>
  <si>
    <t>Model or system Design for term project company</t>
  </si>
  <si>
    <t>MSCI 342</t>
  </si>
  <si>
    <t>Explain how to Design software systems for efficient construction by teams</t>
  </si>
  <si>
    <t>Design and construction of a complex software application</t>
  </si>
  <si>
    <t xml:space="preserve">Design and query relational databases using SQL </t>
  </si>
  <si>
    <t>Generate conceptual Design (Design concepts generation and evaluation)</t>
  </si>
  <si>
    <t>Generate preliminary Design</t>
  </si>
  <si>
    <t>Evaluate Design</t>
  </si>
  <si>
    <t>Generate detailed Design, justify decision points</t>
  </si>
  <si>
    <t>Verify Design meets specifications; evaluation of Design</t>
  </si>
  <si>
    <t>Develop an efficient and realistic stochastic model that addresses the needs of a real-life application</t>
  </si>
  <si>
    <t>Develop and propose practical approaches to solve management engineering problems in several areas</t>
  </si>
  <si>
    <t>Develop optimization models for a real-life scenario, based on given data and constraints</t>
  </si>
  <si>
    <t xml:space="preserve">Identify Design/solution requirements </t>
  </si>
  <si>
    <t xml:space="preserve">Identify Design approach for DSS or BI system </t>
  </si>
  <si>
    <t>Design and Develop a DSS or BI to solve a business problem</t>
  </si>
  <si>
    <t>Apply appropriate systems Design techniques in order to Design solutions that would address an organization's needs</t>
  </si>
  <si>
    <t>MSCI 446</t>
  </si>
  <si>
    <t>Design the characteristics of a product using the technology adoption life cycle</t>
  </si>
  <si>
    <t>MSCI 541</t>
  </si>
  <si>
    <t>Design and implement solution(s) to open-ended problems</t>
  </si>
  <si>
    <t>Identify risks and constraints associated with the practice of management engineering</t>
  </si>
  <si>
    <t>Econ&amp;ProjMgt</t>
  </si>
  <si>
    <t>MSCI 261</t>
  </si>
  <si>
    <t>MSCI 263</t>
  </si>
  <si>
    <t>Develop a fundamental understanding of economics in the context of markets</t>
  </si>
  <si>
    <t>Comprehend economics</t>
  </si>
  <si>
    <t>Apply project management knowledge, tools, and techniques</t>
  </si>
  <si>
    <t>Apply risk management knowledge, tools, and techniques</t>
  </si>
  <si>
    <t>Apply risk management knowledge. Tools, and techniques</t>
  </si>
  <si>
    <t>Generate a clear, convincing, and detailed business plan and executive summary to potential investors</t>
  </si>
  <si>
    <t>ME 219</t>
  </si>
  <si>
    <t>Construct efficient Free Body Diagrams (FBD)</t>
  </si>
  <si>
    <t>Eng. Tools</t>
  </si>
  <si>
    <t>ME 235</t>
  </si>
  <si>
    <t>Implement CES materials selsction softwate for materials selection</t>
  </si>
  <si>
    <t>Use Instorn testing meachine for mechanical propreties prediction</t>
  </si>
  <si>
    <t>ME 250</t>
  </si>
  <si>
    <t>Select the appropriate engineering tools such as thermodynamic property tables and mass and energy conservation equations</t>
  </si>
  <si>
    <t>Use/modify appropriate equations for ideal gases and practical gases</t>
  </si>
  <si>
    <t>Understand the limitations of the property tables, ideal gas law and compressibility factor</t>
  </si>
  <si>
    <t>Apply Excel knowledge (e.g. forms, button, VBA) for business analytics and to optimize a decision support tool</t>
  </si>
  <si>
    <t>Prepare an Ishikawa cause and effect diagram to illustrate various effects</t>
  </si>
  <si>
    <t>Use the Processing IDE for writing and running Processing programs</t>
  </si>
  <si>
    <t>Use the Eclipse IDE for writing and running Java programs</t>
  </si>
  <si>
    <t>Develop a practical business plan</t>
  </si>
  <si>
    <t>MSCI 331</t>
  </si>
  <si>
    <t>Use Microsoft Excel to solve linear and integer programs</t>
  </si>
  <si>
    <t>Use statistical methods to find the type of distributions, estimate the parameters, and implement Goodness-of-fit test</t>
  </si>
  <si>
    <t>Use statistical methods in input and output analysis</t>
  </si>
  <si>
    <t>Develop a simulation program and show how statistics are collected in the simulation program using Arena software</t>
  </si>
  <si>
    <t>Use statistics to solve an open-ended management engineering problem</t>
  </si>
  <si>
    <t>Use optimization to solve an open-ended management enginering problem</t>
  </si>
  <si>
    <t>Use Excel to build forecasting models in solving open-ended problems</t>
  </si>
  <si>
    <t>Create a web application in PHP</t>
  </si>
  <si>
    <t>Demonstrate the use of a version control system</t>
  </si>
  <si>
    <t>Demostrate proper choice and use of data storage technologies</t>
  </si>
  <si>
    <t>Use the MySQL database management system</t>
  </si>
  <si>
    <t>Select, apply, and adapt engineering tools</t>
  </si>
  <si>
    <t>Develop a stochastic model using appropriate engineering tools (e.g. Excel, transition matrix, flowchart)</t>
  </si>
  <si>
    <t>Draw and support conclusions using engineering tools</t>
  </si>
  <si>
    <t>Select proper tools to analyze data</t>
  </si>
  <si>
    <t>Develop a DSS or BI system within Microsoft Office and VBA</t>
  </si>
  <si>
    <t>Integrate a collection of tools and methods to solve a problem</t>
  </si>
  <si>
    <t xml:space="preserve">Use software tools to implement and document design (e.g. Astah Professional) </t>
  </si>
  <si>
    <t>MSCI 452</t>
  </si>
  <si>
    <t>Build influence diagrams to solve real-life problems</t>
  </si>
  <si>
    <t>Build decision trees to solve real-life problems</t>
  </si>
  <si>
    <t>Apply engineering tools and techniques in practical problems</t>
  </si>
  <si>
    <t>Identify factors and behaviours that contribute to an equitable environment - diversity</t>
  </si>
  <si>
    <t>Ethics</t>
  </si>
  <si>
    <t>Identify ethical considerations, reflect on project's impact</t>
  </si>
  <si>
    <t>Impact on safety of all stakeholders. Identify and confirm to applicable standards &amp; regulations</t>
  </si>
  <si>
    <t>Impact</t>
  </si>
  <si>
    <t>Identify Impact of the design on the environment</t>
  </si>
  <si>
    <t>Identify cultural and social Impact of the design</t>
  </si>
  <si>
    <t>MSCI 422</t>
  </si>
  <si>
    <t>Role of innovation on economic growth and development</t>
  </si>
  <si>
    <t>Describe the Impact of information technology in society with reference to potential future occupations</t>
  </si>
  <si>
    <t>Recognize that multiple perspectives on organizational, political, and social issues shape society and individual behaviour</t>
  </si>
  <si>
    <t xml:space="preserve">Gather, process and analyze real world problems related to energy balance and efficiency of piston-cylinder system, nozzles, diffuser, turbines, heat exchangers, heat pumps, heat engines and refrigerators, etc. </t>
  </si>
  <si>
    <t>Recognize and address the different behaviors of real substances (solid, liquid, vapor and mixtures) and ideal gases</t>
  </si>
  <si>
    <t>Synthesize information to reach mass and energy balance, thermal efficiency, and entropy transfer and increasing</t>
  </si>
  <si>
    <t>Collect and analyze real data sets (e.g. traffic activity, Case Day research)</t>
  </si>
  <si>
    <t>Read real-world data from a file and computing similarity index using Java</t>
  </si>
  <si>
    <t xml:space="preserve">Gather data related to time and motion study </t>
  </si>
  <si>
    <t>MSCI 240</t>
  </si>
  <si>
    <t>Empirically measure and analyze the efficiency of a computer program using both internal timings and a professional quality code profiler</t>
  </si>
  <si>
    <t>Implement data processing techniques (e.g. interviews) to gather necessary information for critiquing an organizational environment</t>
  </si>
  <si>
    <t>Diagnose and propose solution(s) and recommendation(s) for a real organization to improve their effectiveness</t>
  </si>
  <si>
    <t>Implement data processing techniques (e.g. interviews) to gather necessary information to critique an organizational environment</t>
  </si>
  <si>
    <t>Implement sensitivity analyses to account for uncertainties</t>
  </si>
  <si>
    <t>Collect data to determine or estimate the values of problem parameters</t>
  </si>
  <si>
    <t>Investigate costs and benefits in relation to the model of interest from simulation results</t>
  </si>
  <si>
    <t xml:space="preserve">Gather, process, and analyze real world data sets </t>
  </si>
  <si>
    <t>Examine and implement mathematical/experimental/survey methodologies</t>
  </si>
  <si>
    <t>Verify and interpret results; recognize assumptions and limitations</t>
  </si>
  <si>
    <t>Examine &amp; implement mathematical/experimental/survey methodologies</t>
  </si>
  <si>
    <t>Verify and interpret results; recognize assumptions &amp; limitations</t>
  </si>
  <si>
    <t xml:space="preserve">Verify that activities in the information technology areas of organisations are aligned with business requirements </t>
  </si>
  <si>
    <t>Process Data/Clean Data</t>
  </si>
  <si>
    <t>Gather, process and analyze real world data sets</t>
  </si>
  <si>
    <t>Analyze research issues in information technology in society</t>
  </si>
  <si>
    <t>Gather and analyze information pertaining to user requirements</t>
  </si>
  <si>
    <t>Gather information about the product, market, process and strategy</t>
  </si>
  <si>
    <t>CHE 102</t>
  </si>
  <si>
    <t>Explain the behaviour of ideal systems (including different states of matter, physical and chemical equilibrium and reaction kinetics) in terms of the molecular nature of matter</t>
  </si>
  <si>
    <t>Knowledge</t>
  </si>
  <si>
    <t>Write balanced chemical reactions and perform stoichiometric calculations</t>
  </si>
  <si>
    <t>MATH 115</t>
  </si>
  <si>
    <t>Recognize vectors, lines, and planes and their related charactristics such as intersections</t>
  </si>
  <si>
    <t>Identify solution methodologies to solve systems of linear equations</t>
  </si>
  <si>
    <t>Recognize the link between matrices and linear mappings</t>
  </si>
  <si>
    <t>Identify complex numbers and their difference from real numbers</t>
  </si>
  <si>
    <t>Recognize the concepts of linear independence, spanning, subspace, and bases</t>
  </si>
  <si>
    <t>MATH 116</t>
  </si>
  <si>
    <t>Use differentiation to solve a variety of application problems including curve sketching, related rates, and optimization problems</t>
  </si>
  <si>
    <t>Use integration to solve a variety of application problems including average value of a function, areas under and between curves, and volumes of revolution</t>
  </si>
  <si>
    <t>Use trigonometric, exponential, and logarithmic functions to solve a variety of problems</t>
  </si>
  <si>
    <t>MATH 118</t>
  </si>
  <si>
    <t>Select an appropriate integration technique and apply it to solve indefinite or definite integrals</t>
  </si>
  <si>
    <t>Select an appropriate series test to determine if an infinite series is convergent or divergent</t>
  </si>
  <si>
    <t>Find a power series representation of a function and find a closed form for a function represented by a power series</t>
  </si>
  <si>
    <t>Recognize and apply Ordinary Differential Equations (ODE) to solve a problem</t>
  </si>
  <si>
    <t>Recognize and apply Parametic and Polar coordinates to solve a problem</t>
  </si>
  <si>
    <t>Proofs for convergence of sequences</t>
  </si>
  <si>
    <t>Recognize and describe the concepts of equilibrium/force analysis</t>
  </si>
  <si>
    <t>Recognize and describe simple loading cases (axial, torsion, and bending) and associate them with corresponding simple structures (trusses, struts/rods, shafts, beams)</t>
  </si>
  <si>
    <t>Recognize the key elements of materials' properties</t>
  </si>
  <si>
    <t>Define basic treatments of materials and comprehend their effect on mechnical propertirs</t>
  </si>
  <si>
    <t>Identify substances of thermodynamic significance and distinguish between the types of energy and their transformation</t>
  </si>
  <si>
    <t>Understand the concept of balance in relation to mass (conservation of mass) and energy (1st Law of Thermodynamics)</t>
  </si>
  <si>
    <t>Understand the concept of entropy (2nd Law of Thermodynamics)</t>
  </si>
  <si>
    <t>Identify the differences and relationship between efficiency and effectiveness</t>
  </si>
  <si>
    <t>Recognize Ishikawa cause and effect diagram</t>
  </si>
  <si>
    <t>Describe the functions of a decision support tool</t>
  </si>
  <si>
    <t>Recognize how programs are written and compiled.</t>
  </si>
  <si>
    <t>Boolean logic and conditionals</t>
  </si>
  <si>
    <t>Primitive Data and loops</t>
  </si>
  <si>
    <t>Program Logic, Methods, Parameters</t>
  </si>
  <si>
    <t>Arrays and array traversal</t>
  </si>
  <si>
    <t>User input through console and files</t>
  </si>
  <si>
    <t>Recognize the key elements of object oriented programming using Java</t>
  </si>
  <si>
    <t>Recognize work design principles</t>
  </si>
  <si>
    <t>Identify time study and work measurement techniques</t>
  </si>
  <si>
    <t>Define objectives for facilities planning</t>
  </si>
  <si>
    <t>Identify the basic concepts and theories of organizational behaviour in the workplace (e.g. perception, personality, emotions, values, diversity, motivation, groups and teamwork)</t>
  </si>
  <si>
    <t>Recognize the role and impact of effective interaction, organizational vision, and organizational structure in the workplace</t>
  </si>
  <si>
    <t>Use abstraction to separate interface from implementation as demonstrated by implementing abstract data types as Java objects</t>
  </si>
  <si>
    <t>Recognize algorithmic complexity of operations given the data structure and algorithm and knowledge of the tradeoffs in time, space, implementation and maintenance</t>
  </si>
  <si>
    <t>MSCI 252</t>
  </si>
  <si>
    <t>Recognize data description, counting, probability, and random variables</t>
  </si>
  <si>
    <t>Identify different discrete probability distributions</t>
  </si>
  <si>
    <t>Identify sampling and different continuous probability distributions</t>
  </si>
  <si>
    <t>Identify test of hypothesis and regression</t>
  </si>
  <si>
    <t>Recognize the impact of interest rate in financial calculations</t>
  </si>
  <si>
    <t>Recognize the impact of taxation in making engineering economics decisions</t>
  </si>
  <si>
    <t>Recognize the impact of inflation in making engineering economics decisions</t>
  </si>
  <si>
    <t>Explain components of financial statements and use them in investment decisions</t>
  </si>
  <si>
    <t>Develop an understanding of how consumers make decisions and how individuals' decisions relate to market demand for products</t>
  </si>
  <si>
    <t>Develop an understanding of firms' strategic decisions regarding production, pricing, market entry and exit</t>
  </si>
  <si>
    <t>Develop an understanding of different market concentrations and how firms' decisions regarding pricing and production depend on competition</t>
  </si>
  <si>
    <t xml:space="preserve">Identify the main elements of organizational goals and effectiveness </t>
  </si>
  <si>
    <t xml:space="preserve">Identify the main elements of organizational structure and design </t>
  </si>
  <si>
    <t xml:space="preserve">Describe organization-environment interactions </t>
  </si>
  <si>
    <t xml:space="preserve">Recognize the organizational effects of technology </t>
  </si>
  <si>
    <t>Formulate linear and integer programs to model real-life problems</t>
  </si>
  <si>
    <t>Recognize the major capabilities and limitations of deterministic optimization models and methods as applied to Management Engineering decision problems</t>
  </si>
  <si>
    <t>Build a broad understanding of mathematical models and their application context</t>
  </si>
  <si>
    <t xml:space="preserve">Identify probability distributions </t>
  </si>
  <si>
    <t>Identify performance measures and necessary notation</t>
  </si>
  <si>
    <t>Recognize deterministic inventory models and apply appropriate inventory models for different situations</t>
  </si>
  <si>
    <t>Recognize stochastic inventory models and apply appropriate inventory models for different situations</t>
  </si>
  <si>
    <t>Identify basic forecasting models and choose appropriate forecasting model for different situations</t>
  </si>
  <si>
    <t>Recognize the appopriate calculation for indepandent and dependant demand in MRP</t>
  </si>
  <si>
    <t xml:space="preserve">Recognize production planning and scheduling and identify the strengths and weaknesses of each supply chain </t>
  </si>
  <si>
    <t>Contribute to class discussion based on knowledge of subjects</t>
  </si>
  <si>
    <t>Describe the key principles behind process methodologies (waterfall, agile, scrum, kanban)</t>
  </si>
  <si>
    <t>Demonstrate how to test software</t>
  </si>
  <si>
    <t>Model data using Entity-Relationship (ER) diagrams</t>
  </si>
  <si>
    <t>Identify the relationship between technology and business performance</t>
  </si>
  <si>
    <t>Understand the basics of technological changes and innovation</t>
  </si>
  <si>
    <t>Recognize the sources of innovation</t>
  </si>
  <si>
    <t>Recognize the role of intellectual property rights on technological changes</t>
  </si>
  <si>
    <t>Describe the key elements of Probability Theory</t>
  </si>
  <si>
    <t>Describe Stochastic and Markov Processes</t>
  </si>
  <si>
    <t>Identify the components of Queuing Theory, Reliability, Inventory Theory</t>
  </si>
  <si>
    <t>Identify and describe applications of management enginering concepts in a variety of areas (e.g. finance, power systems and markets, airline operations, sustainability, health care)</t>
  </si>
  <si>
    <t>Discuss the role of pricing and revenue managemnent in profit maximization</t>
  </si>
  <si>
    <t xml:space="preserve">Recognize the role of DRP in supply chain management </t>
  </si>
  <si>
    <t xml:space="preserve">Recognize the characteristics of different modes of transportation </t>
  </si>
  <si>
    <t xml:space="preserve">Recognize models and heuristics for vehicle routing </t>
  </si>
  <si>
    <t xml:space="preserve">Recognize the appropriate model for supply chain design </t>
  </si>
  <si>
    <t xml:space="preserve">Recognize the strengths and weaknesses of several forms of supply chain contracts </t>
  </si>
  <si>
    <t>Identify the fundamental elements of models and analytical tools which may aid decision making in logistics</t>
  </si>
  <si>
    <t>Recognize mathematical programming models (MIP, NLP)</t>
  </si>
  <si>
    <t>Recognize optimization methodologies to solve mathematical prog. Models</t>
  </si>
  <si>
    <t>Recognize the difference between decision support systems and business intelligence</t>
  </si>
  <si>
    <t>Recognize the methods, processes, and tools available to design, deploy and sustain a DSS or BI system</t>
  </si>
  <si>
    <t>Identify the role(s) of information technology in society in a number of different fields</t>
  </si>
  <si>
    <t>Identify the key principles, philosophies, and practices behind methodologies (e.g. structured and agile)</t>
  </si>
  <si>
    <t xml:space="preserve">Explain the advantages and disadvantages of information system design techniques and methodologies </t>
  </si>
  <si>
    <t>Recognize the key elements of Data mining algorithms</t>
  </si>
  <si>
    <t>Develop a strong understanding of decision trees</t>
  </si>
  <si>
    <t>Develop a strong understanding of Bayes Theorem and Bayesian revision</t>
  </si>
  <si>
    <t>Recognize value of information</t>
  </si>
  <si>
    <t>Recognize basic utility theory and utility functions</t>
  </si>
  <si>
    <t>Recognize multi-attribute decision making</t>
  </si>
  <si>
    <t>Formulate an initial business pitch including a concise description of the concept and potential market and/or consumer</t>
  </si>
  <si>
    <t>Identify and follow the steps involved in the Lean Startup process to develop a technology business</t>
  </si>
  <si>
    <t>Recognize the components of a business plan</t>
  </si>
  <si>
    <t>Identify and explain the operation of the key components of a search engine</t>
  </si>
  <si>
    <t>MSCI 555</t>
  </si>
  <si>
    <t>Identify project menagement concepts [Critical Path Method (CPM), Program Evaluation and Review Technique (PERT), Time/Cost Tradeoff]</t>
  </si>
  <si>
    <t>Recognize Scheduling concepts and methodologies [Dispatch Rules and Shifting Bottleneck, Mixed Integer Programming (MIP), Constraint Programming, Local Search, Timetabling]</t>
  </si>
  <si>
    <t>PHYS 125</t>
  </si>
  <si>
    <t>Identify and solve problems related to "Harmonic Motions"</t>
  </si>
  <si>
    <t>Identify and solve problems related to "Waves and Sound"</t>
  </si>
  <si>
    <t>Identify and solve problems related to "Optics"</t>
  </si>
  <si>
    <t>Identify and solve problems related to "Modern Physics"</t>
  </si>
  <si>
    <t>Self-guided problem solving</t>
  </si>
  <si>
    <t>LifeLongLearning</t>
  </si>
  <si>
    <t>Evaluate what is known and what is not known</t>
  </si>
  <si>
    <t>Comprehend and apply new knowledge</t>
  </si>
  <si>
    <t>Evaluate effectiveness of knowledge application (lessons learned)</t>
  </si>
  <si>
    <t>Adapt to changing circumstances</t>
  </si>
  <si>
    <t>Evaluate effectiveness of knowledge application (lessons - learned)</t>
  </si>
  <si>
    <t>Apply the Ideal Gas Law while appreciating the limitations of this law</t>
  </si>
  <si>
    <t>Identify which principles of physical chemistry are relevant to the analysis of problems involving physical and chemical equilibrium and rates of reaction</t>
  </si>
  <si>
    <t>Select and apply an appropriate law to solve problems described above and explain his/her reasoning to others in theh field of chemistry and/or chemical engineering</t>
  </si>
  <si>
    <t>Solve systems of linear equations using matrices and inverse matrices</t>
  </si>
  <si>
    <t>Solve Geometrical problems, using Matrix charactristics</t>
  </si>
  <si>
    <t>Apply certain linear mappings to solve problems</t>
  </si>
  <si>
    <t>Design, model, and evaluate a simple structure</t>
  </si>
  <si>
    <t xml:space="preserve">Apply equilibrium equations to analyze simple problems and solve for unknowns </t>
  </si>
  <si>
    <t>Formulate and solve problems involving axial, torsion, and bending stresses</t>
  </si>
  <si>
    <t>Formulate and solve problems involving beams, shafts, trusses, and struts</t>
  </si>
  <si>
    <t>Measure the mechanical properties of materials</t>
  </si>
  <si>
    <t>Differentiate between between different materials used in engineering design</t>
  </si>
  <si>
    <t>Select a dimension range for safet and boundary requirements</t>
  </si>
  <si>
    <t xml:space="preserve">Formulate a general thermodynamic problem statement by identifying approximations, assumptions and constraints </t>
  </si>
  <si>
    <t>Solve open ended problems of moderate complexity related to conservation of mass and energy in closed and open systems</t>
  </si>
  <si>
    <t>Evaluate solutions by checking on unit homogeneity and increasing of entropy principle (2nd law)</t>
  </si>
  <si>
    <t>Approach and analyze processes</t>
  </si>
  <si>
    <t>Conduct requirements analysis</t>
  </si>
  <si>
    <t>Express algorithms in pseudo-code and be able to trace the execution of computer code by hand</t>
  </si>
  <si>
    <t>Deconstruct a problem into manageable sizes and implement a solution using a Java program</t>
  </si>
  <si>
    <t>Identify error(s) in a given code and debug</t>
  </si>
  <si>
    <t>Analyze and interpret data and charts for work design and facilities planning</t>
  </si>
  <si>
    <t>Apply time study and work measurement techniques</t>
  </si>
  <si>
    <t xml:space="preserve">Generate and evaluate alternatives for facilities planning </t>
  </si>
  <si>
    <t>Apply organizational behaviour theories in analyzing a live organization to identify its problems and viable solutions</t>
  </si>
  <si>
    <t>Analyze algorithms and predict their ability to scale with increasing input sizes</t>
  </si>
  <si>
    <t>Select appropriate data structures and algorithms for programming tasks</t>
  </si>
  <si>
    <t>Apply properties of probability distributions to solve various problems</t>
  </si>
  <si>
    <t>Deduce managerial insights based on the applications of basic concepts of probability</t>
  </si>
  <si>
    <t>Interpret the outcomes of statistical tests</t>
  </si>
  <si>
    <t>Implement and make decisions based on basic statistical analysis</t>
  </si>
  <si>
    <t>Apply basic financial calculations, useful in personal life and business</t>
  </si>
  <si>
    <t>Analyze how consumers' decisions relate to market demand for products</t>
  </si>
  <si>
    <t>Evaluate firms' strategic decisions regarding production, pricing, market entry and exit</t>
  </si>
  <si>
    <t>Analyze different market concentrations and how firms' decisions regarding pricing and production depend on competition</t>
  </si>
  <si>
    <t xml:space="preserve">Diagnose and analyze key elements of organizational ineffectiveness </t>
  </si>
  <si>
    <t>Solve linear programs using the graphical solution and simplex methods</t>
  </si>
  <si>
    <t>Formulate and interpret the dual of a linear program</t>
  </si>
  <si>
    <t>Formulate deterministic optimization models: objectives, decisions and constraints</t>
  </si>
  <si>
    <t>Describe the theory behind available solution methods and apply exact and heuristic algorithms</t>
  </si>
  <si>
    <t>Describe a problem related to deterministic optimization by placing it in its general context and framework</t>
  </si>
  <si>
    <t>Compare and contrast solutions by assessing the validity of proposed solutions</t>
  </si>
  <si>
    <t>Justify the simulation model by using any method(s)</t>
  </si>
  <si>
    <t>Carry out and a thorough analysis of the performance measurements of interest (which may include the construction of a confidence interval and/or comparison of different models)</t>
  </si>
  <si>
    <t>Formulate and solve open-ended problems with moderate complexity</t>
  </si>
  <si>
    <t>Recommend strategies for operations managers to pursue based upon qualitative and quantitative analysis of realistic case studies</t>
  </si>
  <si>
    <t>Identify the scope and vision of a client's problem</t>
  </si>
  <si>
    <t>Outline the requirements of a customer's problem (user stories, software requirements specification)</t>
  </si>
  <si>
    <t>Solve an actual problem to the best extent possible within a time constraint</t>
  </si>
  <si>
    <t>Analyze the quality of the solution via acceptance testing, data driven decisions, and A/B testing</t>
  </si>
  <si>
    <t>Simulate a requirement analysis by creating ER tables and considering constraints</t>
  </si>
  <si>
    <t>Identify the need, benchmarks, requirements, objective, specifications, and scope</t>
  </si>
  <si>
    <t>Research existing solutions (literature/patent research) and conduct competitive analysis</t>
  </si>
  <si>
    <t>Identify need, benchmarks, requirements, objective, specifications</t>
  </si>
  <si>
    <t>Generate criteria and design concepts, justify solution</t>
  </si>
  <si>
    <t>Recommend a solution for a given real-world problem and explain how the proposed solution can benefit the business</t>
  </si>
  <si>
    <t>Apply basic concepts to the real world problems</t>
  </si>
  <si>
    <t>Relate polices issues to economic concepts</t>
  </si>
  <si>
    <t xml:space="preserve">Critique and propose areas of improvement for the MC-model by addressing weak points and unrealistic issues </t>
  </si>
  <si>
    <t>Analyze and critique the management engineering approaches used by practitioners to address real-life situations</t>
  </si>
  <si>
    <t>Replicate results and extend the work on a study by changing the assumptions and/or modeling the framework</t>
  </si>
  <si>
    <t>Solve vehicle routing problems using appropriate heuristics</t>
  </si>
  <si>
    <t>Use DRP to manage and control inventories and flows between echelons</t>
  </si>
  <si>
    <t xml:space="preserve">Model MIP and NLP optimization problems </t>
  </si>
  <si>
    <t xml:space="preserve">Solve open ended optimization problems using different methodologies </t>
  </si>
  <si>
    <t>Break down complex business problems into their parts (project presentation)</t>
  </si>
  <si>
    <t>Identify Problem Requirements  (project presentation)</t>
  </si>
  <si>
    <t>Identify what parts of a problem may be addressed using a computer solution (presentation)</t>
  </si>
  <si>
    <t>Identify and explain the advantages of a particular information technology case in society</t>
  </si>
  <si>
    <t>Identify and explain the drawbacks of a particular information technology case in society</t>
  </si>
  <si>
    <t>Synthesize 'for' and 'against' cases and highlight the strengths and weaknesses of these beliefs</t>
  </si>
  <si>
    <t>Apply systems analysis methodology techniques for addressing the identified problem</t>
  </si>
  <si>
    <t>Identify inefficiences in how an organization performs tasks</t>
  </si>
  <si>
    <t xml:space="preserve">Identify the nature and scope of a suitable problem </t>
  </si>
  <si>
    <t xml:space="preserve">Apply data mining algorithms in realistic problems </t>
  </si>
  <si>
    <t>Identify the shortfalls of various decision criteria</t>
  </si>
  <si>
    <t>Discuss scoring rules and biases in decision making</t>
  </si>
  <si>
    <t xml:space="preserve">Analyze the value proposition </t>
  </si>
  <si>
    <t xml:space="preserve">Analyze the market </t>
  </si>
  <si>
    <t>Analyze the product characteristics</t>
  </si>
  <si>
    <t>Implement and compute offline effectiveness measures using a custom or existing test collection</t>
  </si>
  <si>
    <t>Make and justify decisions based on the outcome of experiments (using statistics)</t>
  </si>
  <si>
    <t>Apply scheduling concepts in different applications (sports, workforce, healthcare, queuing)</t>
  </si>
  <si>
    <t>Analyze operations-level real data to identify potential weaknesses and limitations of a schedule</t>
  </si>
  <si>
    <t>Analyze uncertainties in systems</t>
  </si>
  <si>
    <t>Select and apply an optimal scheduling algorithm for addressing a problem</t>
  </si>
  <si>
    <t>Analyze and deconstruct the problem</t>
  </si>
  <si>
    <t>Convert a physical situation into a mathematical model</t>
  </si>
  <si>
    <t xml:space="preserve">Identify and formulate the problem definition </t>
  </si>
  <si>
    <t xml:space="preserve">Analyze the economical value and significance of their contribution </t>
  </si>
  <si>
    <t>Recommend new solution(s), methodologies, and/or future steps</t>
  </si>
  <si>
    <t>Organize and approach advisory meetings in a professional manner</t>
  </si>
  <si>
    <t>Demonstrate Professionalism during lectures and class presentations</t>
  </si>
  <si>
    <t>Be courteous, engaged, attentive, and professional</t>
  </si>
  <si>
    <t>Be curteous, attentive, and professional</t>
  </si>
  <si>
    <t>Manage and resolve conflicts with regard to team work</t>
  </si>
  <si>
    <t>Teamwork</t>
  </si>
  <si>
    <t>Contribute to a team as an effective member by following the roles and responsibilities as assigned and agreed upon amongst the team</t>
  </si>
  <si>
    <t>Develop interpersonal skills by working with others in teams and gain deeper understanding of team process</t>
  </si>
  <si>
    <t>Work efficiently as a team producing software</t>
  </si>
  <si>
    <t>Manage tasks and respond to changes in team processes</t>
  </si>
  <si>
    <t>Assign tasks and allocate resources (tall pole, Gantt)</t>
  </si>
  <si>
    <t>Apply strategies for addressing people and team issues (Bozo bit, upward management)</t>
  </si>
  <si>
    <t>Reflect on team behaviour qualities</t>
  </si>
  <si>
    <t>Be able to provide high quality feedback to teammates</t>
  </si>
  <si>
    <t>Problem solving and individual contribution to the team</t>
  </si>
  <si>
    <t>Collaboration</t>
  </si>
  <si>
    <t>Focus and punctuality</t>
  </si>
  <si>
    <t>Leadership</t>
  </si>
  <si>
    <t>Perseverance</t>
  </si>
  <si>
    <t>Contribute to the team</t>
  </si>
  <si>
    <t>Collaborate with other team members</t>
  </si>
  <si>
    <t>Illustrate Focus &amp; punctuality in meetings</t>
  </si>
  <si>
    <t>Communicate with team members</t>
  </si>
  <si>
    <t>Demonstrate leadership abilities</t>
  </si>
  <si>
    <t>Show perseverance</t>
  </si>
  <si>
    <t>Work constructively in a team</t>
  </si>
  <si>
    <t># Prog. Level Indicator</t>
  </si>
  <si>
    <t>Sub# Prog. Level Ind</t>
  </si>
  <si>
    <t>Crs-Level Indicator</t>
  </si>
  <si>
    <t>Prog-Level Indicator</t>
  </si>
  <si>
    <t>Prog. Indicator</t>
  </si>
  <si>
    <t>Knowledge Base</t>
  </si>
  <si>
    <r>
      <rPr>
        <b/>
        <sz val="11"/>
        <color theme="1"/>
        <rFont val="Times New Roman"/>
        <family val="1"/>
      </rPr>
      <t xml:space="preserve">Recognize </t>
    </r>
    <r>
      <rPr>
        <sz val="11"/>
        <color theme="1"/>
        <rFont val="Times New Roman"/>
        <family val="1"/>
      </rPr>
      <t>the key elements of object-oriented programming using Java</t>
    </r>
  </si>
  <si>
    <r>
      <rPr>
        <b/>
        <sz val="11"/>
        <color theme="1"/>
        <rFont val="Times New Roman"/>
        <family val="1"/>
      </rPr>
      <t xml:space="preserve">Describe </t>
    </r>
    <r>
      <rPr>
        <sz val="11"/>
        <color theme="1"/>
        <rFont val="Times New Roman"/>
        <family val="1"/>
      </rPr>
      <t>the main components of decision analysis</t>
    </r>
  </si>
  <si>
    <r>
      <rPr>
        <b/>
        <sz val="11"/>
        <color theme="1"/>
        <rFont val="Times New Roman"/>
        <family val="1"/>
      </rPr>
      <t xml:space="preserve">Model </t>
    </r>
    <r>
      <rPr>
        <sz val="11"/>
        <color theme="1"/>
        <rFont val="Times New Roman"/>
        <family val="1"/>
      </rPr>
      <t xml:space="preserve">an optimization problem to replicate a practical situation </t>
    </r>
  </si>
  <si>
    <r>
      <t xml:space="preserve">Critically </t>
    </r>
    <r>
      <rPr>
        <b/>
        <sz val="11"/>
        <color theme="1"/>
        <rFont val="Times New Roman"/>
        <family val="1"/>
      </rPr>
      <t>evaluate</t>
    </r>
    <r>
      <rPr>
        <sz val="11"/>
        <color theme="1"/>
        <rFont val="Times New Roman"/>
        <family val="1"/>
      </rPr>
      <t xml:space="preserve"> solutions, including performing "reality checks" on design problems and solutions</t>
    </r>
  </si>
  <si>
    <r>
      <rPr>
        <b/>
        <sz val="11"/>
        <color theme="1"/>
        <rFont val="Times New Roman"/>
        <family val="1"/>
      </rPr>
      <t xml:space="preserve">Implement </t>
    </r>
    <r>
      <rPr>
        <sz val="11"/>
        <color theme="1"/>
        <rFont val="Times New Roman"/>
        <family val="1"/>
      </rPr>
      <t>data processing techniques to gather necessary information for critiquing an organizational environment</t>
    </r>
  </si>
  <si>
    <r>
      <rPr>
        <b/>
        <sz val="11"/>
        <color theme="1"/>
        <rFont val="Times New Roman"/>
        <family val="1"/>
      </rPr>
      <t xml:space="preserve">Recognize </t>
    </r>
    <r>
      <rPr>
        <sz val="11"/>
        <color theme="1"/>
        <rFont val="Times New Roman"/>
        <family val="1"/>
      </rPr>
      <t>and</t>
    </r>
    <r>
      <rPr>
        <b/>
        <sz val="11"/>
        <color theme="1"/>
        <rFont val="Times New Roman"/>
        <family val="1"/>
      </rPr>
      <t xml:space="preserve"> address</t>
    </r>
    <r>
      <rPr>
        <sz val="11"/>
        <color theme="1"/>
        <rFont val="Times New Roman"/>
        <family val="1"/>
      </rPr>
      <t xml:space="preserve"> uncertainty</t>
    </r>
  </si>
  <si>
    <r>
      <rPr>
        <b/>
        <sz val="11"/>
        <color theme="1"/>
        <rFont val="Times New Roman"/>
        <family val="1"/>
      </rPr>
      <t xml:space="preserve">Diagnose </t>
    </r>
    <r>
      <rPr>
        <sz val="11"/>
        <color theme="1"/>
        <rFont val="Times New Roman"/>
        <family val="1"/>
      </rPr>
      <t>search quality problems and suggest areas of engine improvement for future experiments</t>
    </r>
  </si>
  <si>
    <r>
      <rPr>
        <b/>
        <sz val="11"/>
        <color theme="1"/>
        <rFont val="Times New Roman"/>
        <family val="1"/>
      </rPr>
      <t>Apply</t>
    </r>
    <r>
      <rPr>
        <sz val="11"/>
        <color theme="1"/>
        <rFont val="Times New Roman"/>
        <family val="1"/>
      </rPr>
      <t xml:space="preserve"> analytical techniques to design and improve methods and processes</t>
    </r>
  </si>
  <si>
    <r>
      <rPr>
        <b/>
        <sz val="11"/>
        <color theme="1"/>
        <rFont val="Times New Roman"/>
        <family val="1"/>
      </rPr>
      <t xml:space="preserve">Design </t>
    </r>
    <r>
      <rPr>
        <sz val="11"/>
        <color theme="1"/>
        <rFont val="Times New Roman"/>
        <family val="1"/>
      </rPr>
      <t xml:space="preserve">and </t>
    </r>
    <r>
      <rPr>
        <b/>
        <sz val="11"/>
        <color theme="1"/>
        <rFont val="Times New Roman"/>
        <family val="1"/>
      </rPr>
      <t>conduct</t>
    </r>
    <r>
      <rPr>
        <sz val="11"/>
        <color theme="1"/>
        <rFont val="Times New Roman"/>
        <family val="1"/>
      </rPr>
      <t xml:space="preserve"> an experiment to test a proposed system change</t>
    </r>
  </si>
  <si>
    <r>
      <rPr>
        <b/>
        <sz val="11"/>
        <color theme="1"/>
        <rFont val="Times New Roman"/>
        <family val="1"/>
      </rPr>
      <t>Generate</t>
    </r>
    <r>
      <rPr>
        <sz val="11"/>
        <color theme="1"/>
        <rFont val="Times New Roman"/>
        <family val="1"/>
      </rPr>
      <t xml:space="preserve"> a diverse set of candidate engineering design solutions</t>
    </r>
  </si>
  <si>
    <r>
      <rPr>
        <b/>
        <sz val="11"/>
        <color theme="1"/>
        <rFont val="Times New Roman"/>
        <family val="1"/>
      </rPr>
      <t>Build</t>
    </r>
    <r>
      <rPr>
        <sz val="11"/>
        <color theme="1"/>
        <rFont val="Times New Roman"/>
        <family val="1"/>
      </rPr>
      <t xml:space="preserve"> relevant models that provide valuable insights for operational and/or strategic decision making</t>
    </r>
  </si>
  <si>
    <t>Use of Engineering Tools</t>
  </si>
  <si>
    <r>
      <rPr>
        <b/>
        <sz val="11"/>
        <color theme="1"/>
        <rFont val="Times New Roman"/>
        <family val="1"/>
      </rPr>
      <t xml:space="preserve">Implement </t>
    </r>
    <r>
      <rPr>
        <sz val="11"/>
        <color theme="1"/>
        <rFont val="Times New Roman"/>
        <family val="1"/>
      </rPr>
      <t>optimization approaches in real-life applications using different mathematical software (e.g. Matlab, Cplex, Gurobi, Lindo, Excel solver)</t>
    </r>
  </si>
  <si>
    <r>
      <rPr>
        <b/>
        <sz val="11"/>
        <color theme="1"/>
        <rFont val="Times New Roman"/>
        <family val="1"/>
      </rPr>
      <t xml:space="preserve">Build </t>
    </r>
    <r>
      <rPr>
        <sz val="11"/>
        <color theme="1"/>
        <rFont val="Times New Roman"/>
        <family val="1"/>
      </rPr>
      <t>database applications using the php programming language</t>
    </r>
  </si>
  <si>
    <t>Individual and Team Work</t>
  </si>
  <si>
    <r>
      <rPr>
        <b/>
        <sz val="11"/>
        <color theme="1"/>
        <rFont val="Times New Roman"/>
        <family val="1"/>
      </rPr>
      <t xml:space="preserve">Demonstrate </t>
    </r>
    <r>
      <rPr>
        <sz val="11"/>
        <color theme="1"/>
        <rFont val="Times New Roman"/>
        <family val="1"/>
      </rPr>
      <t>leadership abilities through varying roles in a project</t>
    </r>
  </si>
  <si>
    <r>
      <rPr>
        <b/>
        <sz val="11"/>
        <color theme="1"/>
        <rFont val="Times New Roman"/>
        <family val="1"/>
      </rPr>
      <t>Develop</t>
    </r>
    <r>
      <rPr>
        <sz val="11"/>
        <color theme="1"/>
        <rFont val="Times New Roman"/>
        <family val="1"/>
      </rPr>
      <t xml:space="preserve"> interpersonal skills by working with others</t>
    </r>
  </si>
  <si>
    <t>Communication Skills</t>
  </si>
  <si>
    <r>
      <rPr>
        <b/>
        <sz val="11"/>
        <color theme="1"/>
        <rFont val="Times New Roman"/>
        <family val="1"/>
      </rPr>
      <t xml:space="preserve">Generate </t>
    </r>
    <r>
      <rPr>
        <sz val="11"/>
        <color theme="1"/>
        <rFont val="Times New Roman"/>
        <family val="1"/>
      </rPr>
      <t>an organized and professional report with appropriate page length, section headings, and/or correct spelling and grammar</t>
    </r>
  </si>
  <si>
    <r>
      <rPr>
        <b/>
        <sz val="11"/>
        <color theme="1"/>
        <rFont val="Times New Roman"/>
        <family val="1"/>
      </rPr>
      <t>Prepare</t>
    </r>
    <r>
      <rPr>
        <sz val="11"/>
        <color theme="1"/>
        <rFont val="Times New Roman"/>
        <family val="1"/>
      </rPr>
      <t xml:space="preserve"> and </t>
    </r>
    <r>
      <rPr>
        <b/>
        <sz val="11"/>
        <color theme="1"/>
        <rFont val="Times New Roman"/>
        <family val="1"/>
      </rPr>
      <t>present</t>
    </r>
    <r>
      <rPr>
        <sz val="11"/>
        <color theme="1"/>
        <rFont val="Times New Roman"/>
        <family val="1"/>
      </rPr>
      <t xml:space="preserve"> a solution to a real-life problem</t>
    </r>
  </si>
  <si>
    <r>
      <rPr>
        <b/>
        <sz val="11"/>
        <color theme="1"/>
        <rFont val="Times New Roman"/>
        <family val="1"/>
      </rPr>
      <t xml:space="preserve">Comprehend </t>
    </r>
    <r>
      <rPr>
        <sz val="11"/>
        <color theme="1"/>
        <rFont val="Times New Roman"/>
        <family val="1"/>
      </rPr>
      <t>the professional practice of engineering</t>
    </r>
  </si>
  <si>
    <t>Impact On Society</t>
  </si>
  <si>
    <r>
      <rPr>
        <b/>
        <sz val="11"/>
        <color theme="1"/>
        <rFont val="Times New Roman"/>
        <family val="1"/>
      </rPr>
      <t>Describe</t>
    </r>
    <r>
      <rPr>
        <sz val="11"/>
        <color theme="1"/>
        <rFont val="Times New Roman"/>
        <family val="1"/>
      </rPr>
      <t xml:space="preserve"> the impact of information technology in society with reference to future occupations</t>
    </r>
  </si>
  <si>
    <r>
      <rPr>
        <b/>
        <sz val="11"/>
        <color theme="1"/>
        <rFont val="Times New Roman"/>
        <family val="1"/>
      </rPr>
      <t>Identify</t>
    </r>
    <r>
      <rPr>
        <sz val="11"/>
        <color theme="1"/>
        <rFont val="Times New Roman"/>
        <family val="1"/>
      </rPr>
      <t xml:space="preserve"> the cultural and societal impact of the design of a project</t>
    </r>
  </si>
  <si>
    <t>Ethics and Equity</t>
  </si>
  <si>
    <r>
      <rPr>
        <b/>
        <sz val="11"/>
        <color theme="1"/>
        <rFont val="Times New Roman"/>
        <family val="1"/>
      </rPr>
      <t xml:space="preserve">Identify </t>
    </r>
    <r>
      <rPr>
        <sz val="11"/>
        <color theme="1"/>
        <rFont val="Times New Roman"/>
        <family val="1"/>
      </rPr>
      <t>the ethical considerations of a proposed design project</t>
    </r>
  </si>
  <si>
    <r>
      <rPr>
        <b/>
        <sz val="11"/>
        <color theme="1"/>
        <rFont val="Times New Roman"/>
        <family val="1"/>
      </rPr>
      <t xml:space="preserve">Apply </t>
    </r>
    <r>
      <rPr>
        <sz val="11"/>
        <color theme="1"/>
        <rFont val="Times New Roman"/>
        <family val="1"/>
      </rPr>
      <t>ethical reasoning to professional dilemmas</t>
    </r>
  </si>
  <si>
    <r>
      <rPr>
        <b/>
        <sz val="11"/>
        <color theme="1"/>
        <rFont val="Times New Roman"/>
        <family val="1"/>
      </rPr>
      <t>Display</t>
    </r>
    <r>
      <rPr>
        <sz val="11"/>
        <color theme="1"/>
        <rFont val="Times New Roman"/>
        <family val="1"/>
      </rPr>
      <t xml:space="preserve"> honesty, trustworthiness, and academic integrity</t>
    </r>
  </si>
  <si>
    <r>
      <rPr>
        <b/>
        <sz val="11"/>
        <color theme="1"/>
        <rFont val="Times New Roman"/>
        <family val="1"/>
      </rPr>
      <t>Demonstrate</t>
    </r>
    <r>
      <rPr>
        <sz val="11"/>
        <color theme="1"/>
        <rFont val="Times New Roman"/>
        <family val="1"/>
      </rPr>
      <t xml:space="preserve"> the desire to improve society, including appreciating the roles of sustainable design and occupational health and safety</t>
    </r>
  </si>
  <si>
    <r>
      <rPr>
        <b/>
        <sz val="11"/>
        <color theme="1"/>
        <rFont val="Times New Roman"/>
        <family val="1"/>
      </rPr>
      <t>Explain</t>
    </r>
    <r>
      <rPr>
        <sz val="11"/>
        <color theme="1"/>
        <rFont val="Times New Roman"/>
        <family val="1"/>
      </rPr>
      <t xml:space="preserve"> how the Engineering Code of Ethics and equity principles can be applied to professional situations</t>
    </r>
  </si>
  <si>
    <t>Economics and Project Management</t>
  </si>
  <si>
    <r>
      <rPr>
        <b/>
        <sz val="11"/>
        <color theme="1"/>
        <rFont val="Times New Roman"/>
        <family val="1"/>
      </rPr>
      <t xml:space="preserve">Apply </t>
    </r>
    <r>
      <rPr>
        <sz val="11"/>
        <color theme="1"/>
        <rFont val="Times New Roman"/>
        <family val="1"/>
      </rPr>
      <t>project management techniques in engineering projects</t>
    </r>
  </si>
  <si>
    <r>
      <rPr>
        <b/>
        <sz val="11"/>
        <color theme="1"/>
        <rFont val="Times New Roman"/>
        <family val="1"/>
      </rPr>
      <t>Assess</t>
    </r>
    <r>
      <rPr>
        <sz val="11"/>
        <color theme="1"/>
        <rFont val="Times New Roman"/>
        <family val="1"/>
      </rPr>
      <t xml:space="preserve"> risk and uncertainties associated with engineering economic decisions</t>
    </r>
  </si>
  <si>
    <r>
      <rPr>
        <b/>
        <sz val="11"/>
        <color theme="1"/>
        <rFont val="Times New Roman"/>
        <family val="1"/>
      </rPr>
      <t xml:space="preserve">Select </t>
    </r>
    <r>
      <rPr>
        <sz val="11"/>
        <color theme="1"/>
        <rFont val="Times New Roman"/>
        <family val="1"/>
      </rPr>
      <t>the most economical investment decision among several alternatives</t>
    </r>
  </si>
  <si>
    <t>Life Long Learning</t>
  </si>
  <si>
    <r>
      <rPr>
        <b/>
        <sz val="11"/>
        <color theme="1"/>
        <rFont val="Times New Roman"/>
        <family val="1"/>
      </rPr>
      <t>Evaluate</t>
    </r>
    <r>
      <rPr>
        <sz val="11"/>
        <color theme="1"/>
        <rFont val="Times New Roman"/>
        <family val="1"/>
      </rPr>
      <t xml:space="preserve"> the effectiveness of knowledge application from lessons learned in the design process</t>
    </r>
  </si>
  <si>
    <r>
      <t xml:space="preserve">Accurately </t>
    </r>
    <r>
      <rPr>
        <b/>
        <sz val="11"/>
        <color theme="1"/>
        <rFont val="Times New Roman"/>
        <family val="1"/>
      </rPr>
      <t>identify</t>
    </r>
    <r>
      <rPr>
        <sz val="11"/>
        <color theme="1"/>
        <rFont val="Times New Roman"/>
        <family val="1"/>
      </rPr>
      <t xml:space="preserve"> gaps in their knowledge and understanding</t>
    </r>
  </si>
  <si>
    <t>Assignment report style, format, clarity</t>
  </si>
  <si>
    <t>7b</t>
  </si>
  <si>
    <t>MGTE Program Level Indicators</t>
  </si>
  <si>
    <t>CEAB Attributes</t>
  </si>
  <si>
    <t>7c</t>
  </si>
  <si>
    <t>1a</t>
  </si>
  <si>
    <r>
      <rPr>
        <b/>
        <sz val="11"/>
        <color theme="1"/>
        <rFont val="Calibri"/>
        <family val="2"/>
        <scheme val="minor"/>
      </rPr>
      <t>Explain</t>
    </r>
    <r>
      <rPr>
        <sz val="11"/>
        <color theme="1"/>
        <rFont val="Calibri"/>
        <family val="2"/>
        <scheme val="minor"/>
      </rPr>
      <t xml:space="preserve"> knowledge of mathematics relavant to MGTE.</t>
    </r>
  </si>
  <si>
    <t>Knowledge base for engineering</t>
  </si>
  <si>
    <t>1b</t>
  </si>
  <si>
    <r>
      <rPr>
        <b/>
        <sz val="11"/>
        <color theme="1"/>
        <rFont val="Calibri"/>
        <family val="2"/>
        <scheme val="minor"/>
      </rPr>
      <t>Explain</t>
    </r>
    <r>
      <rPr>
        <sz val="11"/>
        <color theme="1"/>
        <rFont val="Calibri"/>
        <family val="2"/>
        <scheme val="minor"/>
      </rPr>
      <t xml:space="preserve"> knowledge of natural sceinces relavant to engineering.</t>
    </r>
  </si>
  <si>
    <t>1c</t>
  </si>
  <si>
    <r>
      <rPr>
        <b/>
        <sz val="11"/>
        <color theme="1"/>
        <rFont val="Calibri"/>
        <family val="2"/>
        <scheme val="minor"/>
      </rPr>
      <t>Identify</t>
    </r>
    <r>
      <rPr>
        <sz val="11"/>
        <color theme="1"/>
        <rFont val="Calibri"/>
        <family val="2"/>
        <scheme val="minor"/>
      </rPr>
      <t xml:space="preserve"> knowledge of engineering fundamentals.</t>
    </r>
  </si>
  <si>
    <t>1d</t>
  </si>
  <si>
    <r>
      <rPr>
        <b/>
        <sz val="11"/>
        <color theme="1"/>
        <rFont val="Calibri"/>
        <family val="2"/>
        <scheme val="minor"/>
      </rPr>
      <t>Apply</t>
    </r>
    <r>
      <rPr>
        <sz val="11"/>
        <color theme="1"/>
        <rFont val="Calibri"/>
        <family val="2"/>
        <scheme val="minor"/>
      </rPr>
      <t xml:space="preserve"> knowledge of operations research relavant to MGTE.</t>
    </r>
  </si>
  <si>
    <t>Communicate design through the poster format (layout/visual aids/tables/figures)</t>
  </si>
  <si>
    <t>7a</t>
  </si>
  <si>
    <t>1e</t>
  </si>
  <si>
    <r>
      <rPr>
        <b/>
        <sz val="11"/>
        <color theme="1"/>
        <rFont val="Calibri"/>
        <family val="2"/>
        <scheme val="minor"/>
      </rPr>
      <t>Apply</t>
    </r>
    <r>
      <rPr>
        <sz val="11"/>
        <color theme="1"/>
        <rFont val="Calibri"/>
        <family val="2"/>
        <scheme val="minor"/>
      </rPr>
      <t xml:space="preserve"> knowledge of information system relavant to MGTE.</t>
    </r>
  </si>
  <si>
    <t>1f</t>
  </si>
  <si>
    <r>
      <rPr>
        <b/>
        <sz val="11"/>
        <color theme="1"/>
        <rFont val="Calibri"/>
        <family val="2"/>
        <scheme val="minor"/>
      </rPr>
      <t>Apply</t>
    </r>
    <r>
      <rPr>
        <sz val="11"/>
        <color theme="1"/>
        <rFont val="Calibri"/>
        <family val="2"/>
        <scheme val="minor"/>
      </rPr>
      <t xml:space="preserve"> knowledge of organizational behavior relavant to MGTE.</t>
    </r>
  </si>
  <si>
    <t>2a</t>
  </si>
  <si>
    <r>
      <rPr>
        <b/>
        <sz val="11"/>
        <color theme="1"/>
        <rFont val="Calibri"/>
        <family val="2"/>
        <scheme val="minor"/>
      </rPr>
      <t xml:space="preserve">Identify </t>
    </r>
    <r>
      <rPr>
        <sz val="11"/>
        <color theme="1"/>
        <rFont val="Calibri"/>
        <family val="2"/>
        <scheme val="minor"/>
      </rPr>
      <t>appropriate frameworks for a problem.</t>
    </r>
  </si>
  <si>
    <t xml:space="preserve">Problem Analysis </t>
  </si>
  <si>
    <t>Communicate the findings from the term project through an oral presentation (criteria include quality of slides, responses to audience, etc.)</t>
  </si>
  <si>
    <t>2b</t>
  </si>
  <si>
    <r>
      <rPr>
        <b/>
        <sz val="11"/>
        <color theme="1"/>
        <rFont val="Calibri"/>
        <family val="2"/>
        <scheme val="minor"/>
      </rPr>
      <t>Convert</t>
    </r>
    <r>
      <rPr>
        <sz val="11"/>
        <color theme="1"/>
        <rFont val="Calibri"/>
        <family val="2"/>
        <scheme val="minor"/>
      </rPr>
      <t xml:space="preserve"> a problem into its abstract model equivalent.</t>
    </r>
  </si>
  <si>
    <t>2c</t>
  </si>
  <si>
    <r>
      <rPr>
        <b/>
        <sz val="11"/>
        <color theme="1"/>
        <rFont val="Calibri"/>
        <family val="2"/>
        <scheme val="minor"/>
      </rPr>
      <t xml:space="preserve">Investigate </t>
    </r>
    <r>
      <rPr>
        <sz val="11"/>
        <color theme="1"/>
        <rFont val="Calibri"/>
        <family val="2"/>
        <scheme val="minor"/>
      </rPr>
      <t>various alternatives of a framework, model and solution.</t>
    </r>
  </si>
  <si>
    <t>2d</t>
  </si>
  <si>
    <r>
      <rPr>
        <b/>
        <sz val="11"/>
        <color theme="1"/>
        <rFont val="Calibri"/>
        <family val="2"/>
        <scheme val="minor"/>
      </rPr>
      <t>Choose</t>
    </r>
    <r>
      <rPr>
        <sz val="11"/>
        <color theme="1"/>
        <rFont val="Calibri"/>
        <family val="2"/>
        <scheme val="minor"/>
      </rPr>
      <t xml:space="preserve"> an appropriate method to determine the best/ optimal solution of a model.</t>
    </r>
  </si>
  <si>
    <t>Create Audio/Visual Presentations</t>
  </si>
  <si>
    <t>3a</t>
  </si>
  <si>
    <r>
      <rPr>
        <b/>
        <sz val="11"/>
        <color theme="1"/>
        <rFont val="Calibri"/>
        <family val="2"/>
        <scheme val="minor"/>
      </rPr>
      <t>Identify</t>
    </r>
    <r>
      <rPr>
        <sz val="11"/>
        <color theme="1"/>
        <rFont val="Calibri"/>
        <family val="2"/>
        <scheme val="minor"/>
      </rPr>
      <t xml:space="preserve"> critical issues or attributes, sensetive to system assumptions and uncertainties for further analysis or improvement.</t>
    </r>
  </si>
  <si>
    <t>3b</t>
  </si>
  <si>
    <r>
      <rPr>
        <b/>
        <sz val="11"/>
        <color theme="1"/>
        <rFont val="Calibri"/>
        <family val="2"/>
        <scheme val="minor"/>
      </rPr>
      <t>Gather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process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analyze</t>
    </r>
    <r>
      <rPr>
        <sz val="11"/>
        <color theme="1"/>
        <rFont val="Calibri"/>
        <family val="2"/>
        <scheme val="minor"/>
      </rPr>
      <t xml:space="preserve"> real world data, using appropriate methods.</t>
    </r>
  </si>
  <si>
    <t>Critique design processes and approaches and provide a rationale for a chosen design</t>
  </si>
  <si>
    <t>4a</t>
  </si>
  <si>
    <r>
      <rPr>
        <b/>
        <sz val="11"/>
        <color theme="1"/>
        <rFont val="Calibri"/>
        <family val="2"/>
        <scheme val="minor"/>
      </rPr>
      <t>Follow</t>
    </r>
    <r>
      <rPr>
        <sz val="11"/>
        <color theme="1"/>
        <rFont val="Calibri"/>
        <family val="2"/>
        <scheme val="minor"/>
      </rPr>
      <t xml:space="preserve"> a structured design methodology.</t>
    </r>
  </si>
  <si>
    <t>Deliver an oral presentation outlining recommendations based on a thorough analysis of a real case</t>
  </si>
  <si>
    <t>4b</t>
  </si>
  <si>
    <r>
      <rPr>
        <b/>
        <sz val="11"/>
        <color theme="1"/>
        <rFont val="Calibri"/>
        <family val="2"/>
        <scheme val="minor"/>
      </rPr>
      <t>Evaluate/ test</t>
    </r>
    <r>
      <rPr>
        <sz val="11"/>
        <color theme="1"/>
        <rFont val="Calibri"/>
        <family val="2"/>
        <scheme val="minor"/>
      </rPr>
      <t xml:space="preserve"> design.</t>
    </r>
  </si>
  <si>
    <t>4c</t>
  </si>
  <si>
    <r>
      <rPr>
        <b/>
        <sz val="11"/>
        <color theme="1"/>
        <rFont val="Calibri"/>
        <family val="2"/>
        <scheme val="minor"/>
      </rPr>
      <t>Design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</t>
    </r>
    <r>
      <rPr>
        <sz val="11"/>
        <color theme="1"/>
        <rFont val="Calibri"/>
        <family val="2"/>
        <scheme val="minor"/>
      </rPr>
      <t xml:space="preserve"> software and mathematical models for solving an open ended business/ organization problems.</t>
    </r>
  </si>
  <si>
    <t>5a</t>
  </si>
  <si>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programming languages and software tools to build information systems.</t>
    </r>
  </si>
  <si>
    <t>Describe the process and/or strategy for writing a code that addresses a problem</t>
  </si>
  <si>
    <t>5b</t>
  </si>
  <si>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develop</t>
    </r>
    <r>
      <rPr>
        <sz val="11"/>
        <color theme="1"/>
        <rFont val="Calibri"/>
        <family val="2"/>
        <scheme val="minor"/>
      </rPr>
      <t xml:space="preserve"> mathematical and other engineering tools for decision support.</t>
    </r>
  </si>
  <si>
    <t>5c</t>
  </si>
  <si>
    <r>
      <rPr>
        <b/>
        <sz val="11"/>
        <color theme="1"/>
        <rFont val="Calibri"/>
        <family val="2"/>
        <scheme val="minor"/>
      </rPr>
      <t>Choose</t>
    </r>
    <r>
      <rPr>
        <sz val="11"/>
        <color theme="1"/>
        <rFont val="Calibri"/>
        <family val="2"/>
        <scheme val="minor"/>
      </rPr>
      <t xml:space="preserve"> an appropriate engineering tool, considering its limitation.</t>
    </r>
  </si>
  <si>
    <t>6a</t>
  </si>
  <si>
    <r>
      <t xml:space="preserve">Perform </t>
    </r>
    <r>
      <rPr>
        <sz val="12"/>
        <color rgb="FF000000"/>
        <rFont val="Calibri"/>
        <family val="2"/>
        <scheme val="minor"/>
      </rPr>
      <t>as an active contributor to getting tasks completed.</t>
    </r>
  </si>
  <si>
    <t>Individual and team work</t>
  </si>
  <si>
    <t>6b</t>
  </si>
  <si>
    <r>
      <t xml:space="preserve">Communicate and collaborate </t>
    </r>
    <r>
      <rPr>
        <sz val="12"/>
        <color rgb="FF000000"/>
        <rFont val="Calibri"/>
        <family val="2"/>
        <scheme val="minor"/>
      </rPr>
      <t xml:space="preserve">with other team members and </t>
    </r>
    <r>
      <rPr>
        <b/>
        <sz val="12"/>
        <color rgb="FF000000"/>
        <rFont val="Calibri"/>
        <family val="2"/>
        <scheme val="minor"/>
      </rPr>
      <t xml:space="preserve">Manage and resolve </t>
    </r>
    <r>
      <rPr>
        <sz val="12"/>
        <color rgb="FF000000"/>
        <rFont val="Calibri"/>
        <family val="2"/>
        <scheme val="minor"/>
      </rPr>
      <t>conflicts as they arise.</t>
    </r>
  </si>
  <si>
    <r>
      <t xml:space="preserve">Orally </t>
    </r>
    <r>
      <rPr>
        <b/>
        <sz val="12"/>
        <color theme="1"/>
        <rFont val="Calibri"/>
        <family val="2"/>
        <scheme val="minor"/>
      </rPr>
      <t xml:space="preserve">present </t>
    </r>
    <r>
      <rPr>
        <sz val="12"/>
        <color theme="1"/>
        <rFont val="Calibri"/>
        <family val="2"/>
        <scheme val="minor"/>
      </rPr>
      <t>information (of proposals, design and solutions) within the profession and to society at large.</t>
    </r>
  </si>
  <si>
    <t>Communication skills</t>
  </si>
  <si>
    <r>
      <t xml:space="preserve">Generate </t>
    </r>
    <r>
      <rPr>
        <sz val="12"/>
        <color theme="1"/>
        <rFont val="Calibri"/>
        <family val="2"/>
        <scheme val="minor"/>
      </rPr>
      <t>effective engineering documentation, using communication tools within the profession and to society at large.</t>
    </r>
  </si>
  <si>
    <r>
      <rPr>
        <b/>
        <sz val="12"/>
        <color theme="1"/>
        <rFont val="Calibri"/>
        <family val="2"/>
        <scheme val="minor"/>
      </rPr>
      <t>Interpret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use logic</t>
    </r>
    <r>
      <rPr>
        <sz val="12"/>
        <color theme="1"/>
        <rFont val="Calibri"/>
        <family val="2"/>
        <scheme val="minor"/>
      </rPr>
      <t>) to critically analyze ideas, solutions, and results.</t>
    </r>
  </si>
  <si>
    <t>8a</t>
  </si>
  <si>
    <r>
      <t xml:space="preserve">Articulate </t>
    </r>
    <r>
      <rPr>
        <sz val="11"/>
        <color theme="1"/>
        <rFont val="Calibri"/>
        <family val="2"/>
        <scheme val="minor"/>
      </rPr>
      <t>the importance of professionalism in the workplace.</t>
    </r>
  </si>
  <si>
    <t>8b</t>
  </si>
  <si>
    <r>
      <t xml:space="preserve">Comprehend </t>
    </r>
    <r>
      <rPr>
        <sz val="11"/>
        <color theme="1"/>
        <rFont val="Calibri"/>
        <family val="2"/>
        <scheme val="minor"/>
      </rPr>
      <t>the professional practice of engineering.</t>
    </r>
  </si>
  <si>
    <t>9a</t>
  </si>
  <si>
    <r>
      <t xml:space="preserve">Identify </t>
    </r>
    <r>
      <rPr>
        <sz val="11"/>
        <color theme="1"/>
        <rFont val="Calibri"/>
        <family val="2"/>
        <scheme val="minor"/>
      </rPr>
      <t>the relevance of different types of impacts (environmental, social, economical, safety and cultural) on engineering and IT activities.</t>
    </r>
  </si>
  <si>
    <t>Impact of engineering</t>
  </si>
  <si>
    <t>9b</t>
  </si>
  <si>
    <r>
      <t xml:space="preserve">Recognize </t>
    </r>
    <r>
      <rPr>
        <sz val="11"/>
        <color theme="1"/>
        <rFont val="Calibri"/>
        <family val="2"/>
        <scheme val="minor"/>
      </rPr>
      <t>that multiple perspectives on organizational, political, and social issues shape society and individual behavior.</t>
    </r>
  </si>
  <si>
    <t>9c</t>
  </si>
  <si>
    <r>
      <t xml:space="preserve">Describe </t>
    </r>
    <r>
      <rPr>
        <sz val="11"/>
        <color theme="1"/>
        <rFont val="Calibri"/>
        <family val="2"/>
        <scheme val="minor"/>
      </rPr>
      <t>the impact of information technology in society with reference to potential occupations.</t>
    </r>
  </si>
  <si>
    <t>Generate a project log, activity tracking report, and project report following the work term report guidelines</t>
  </si>
  <si>
    <t>10a</t>
  </si>
  <si>
    <r>
      <t xml:space="preserve">Identify </t>
    </r>
    <r>
      <rPr>
        <sz val="11"/>
        <color theme="1"/>
        <rFont val="Calibri"/>
        <family val="2"/>
        <scheme val="minor"/>
      </rPr>
      <t>ethical considerations on engineering projects.</t>
    </r>
  </si>
  <si>
    <t>Ethics and equity</t>
  </si>
  <si>
    <t>10b</t>
  </si>
  <si>
    <r>
      <rPr>
        <b/>
        <sz val="11"/>
        <color theme="1"/>
        <rFont val="Calibri"/>
        <family val="2"/>
        <scheme val="minor"/>
      </rPr>
      <t>Identify</t>
    </r>
    <r>
      <rPr>
        <sz val="11"/>
        <color theme="1"/>
        <rFont val="Calibri"/>
        <family val="2"/>
        <scheme val="minor"/>
      </rPr>
      <t xml:space="preserve"> factors that contribute to an equitable environment.</t>
    </r>
  </si>
  <si>
    <t>10c</t>
  </si>
  <si>
    <t>11a</t>
  </si>
  <si>
    <r>
      <t xml:space="preserve">Develop </t>
    </r>
    <r>
      <rPr>
        <sz val="11"/>
        <color theme="1"/>
        <rFont val="Calibri"/>
        <family val="2"/>
        <scheme val="minor"/>
      </rPr>
      <t>a fundamental understanding of economics and project management concepts.</t>
    </r>
  </si>
  <si>
    <t>Economics and project management</t>
  </si>
  <si>
    <t>11b</t>
  </si>
  <si>
    <r>
      <t xml:space="preserve">Assess </t>
    </r>
    <r>
      <rPr>
        <sz val="11"/>
        <color theme="1"/>
        <rFont val="Calibri"/>
        <family val="2"/>
        <scheme val="minor"/>
      </rPr>
      <t>risk and uncertainties associated with engineering economic decisions.</t>
    </r>
  </si>
  <si>
    <t>11c</t>
  </si>
  <si>
    <r>
      <t xml:space="preserve">Apply </t>
    </r>
    <r>
      <rPr>
        <sz val="11"/>
        <color theme="1"/>
        <rFont val="Calibri"/>
        <family val="2"/>
        <scheme val="minor"/>
      </rPr>
      <t>project management knowledge, tools and techniques in engineering projects with attention to risk.</t>
    </r>
  </si>
  <si>
    <t>12a</t>
  </si>
  <si>
    <r>
      <t xml:space="preserve">Identify </t>
    </r>
    <r>
      <rPr>
        <sz val="11"/>
        <color theme="1"/>
        <rFont val="Calibri"/>
        <family val="2"/>
        <scheme val="minor"/>
      </rPr>
      <t>what is known and what is unknown to be able to adapt to new circumstances.</t>
    </r>
  </si>
  <si>
    <t>Life-long learning</t>
  </si>
  <si>
    <t>12b</t>
  </si>
  <si>
    <r>
      <t xml:space="preserve">Find/ search </t>
    </r>
    <r>
      <rPr>
        <sz val="11"/>
        <color rgb="FF000000"/>
        <rFont val="Calibri"/>
        <family val="2"/>
        <scheme val="minor"/>
      </rPr>
      <t>for new info using current methods/ tools.</t>
    </r>
  </si>
  <si>
    <t>Generate professional written reports using correct formatting, spelling, and grammar</t>
  </si>
  <si>
    <t>12c</t>
  </si>
  <si>
    <r>
      <t>Evaluate</t>
    </r>
    <r>
      <rPr>
        <sz val="11"/>
        <color rgb="FF000000"/>
        <rFont val="Calibri"/>
        <family val="2"/>
        <scheme val="minor"/>
      </rPr>
      <t xml:space="preserve"> effectiveness of knowledge application.</t>
    </r>
  </si>
  <si>
    <t>Prepare well-organized presentations that convey information effectively</t>
  </si>
  <si>
    <t xml:space="preserve">Present a newly created website using a database backend through a lab demonstration </t>
  </si>
  <si>
    <t>Provide an overview of research findings in the project plan</t>
  </si>
  <si>
    <t>Provide individual feedback on initial project presentations</t>
  </si>
  <si>
    <t xml:space="preserve">Write a report on recommendations that follows accurate and sophisticated writing conventions (e.g. structured arguments, spelling/grammar) </t>
  </si>
  <si>
    <t>3c</t>
  </si>
  <si>
    <t>Msci</t>
  </si>
  <si>
    <t>261x</t>
  </si>
  <si>
    <t>TestCourse</t>
  </si>
  <si>
    <t>Pirnia</t>
  </si>
  <si>
    <t>Mehrdad</t>
  </si>
  <si>
    <t>Recognize the key elements of object-oriented programming using Java</t>
  </si>
  <si>
    <t>Describe the main components of decision analysis</t>
  </si>
  <si>
    <t xml:space="preserve">Model an optimization problem to replicate a practical situation </t>
  </si>
  <si>
    <t>Critically evaluate solutions, including performing "reality checks" on design problems and solutions</t>
  </si>
  <si>
    <t>Implement data processing techniques to gather necessary information for critiquing an organizational environment</t>
  </si>
  <si>
    <t>Apply analytical techniques to design and improve methods and processes</t>
  </si>
  <si>
    <t>Generate a diverse set of candidate engineering design solutions</t>
  </si>
  <si>
    <t>Demonstrate leadership abilities through varying roles in a project</t>
  </si>
  <si>
    <t>Develop interpersonal skills by working with others</t>
  </si>
  <si>
    <t>Generate an organized and professional report with appropriate page length, section headings, and/or correct spelling and grammar</t>
  </si>
  <si>
    <t>Prepare and present a solution to a real-life problem</t>
  </si>
  <si>
    <t>Describe the impact of information technology in society with reference to future occupations</t>
  </si>
  <si>
    <t>Identify the cultural and societal impact of the design of a project</t>
  </si>
  <si>
    <t>Identify the ethical considerations of a proposed design project</t>
  </si>
  <si>
    <t>Apply ethical reasoning to professional dilemmas</t>
  </si>
  <si>
    <t>Display honesty, trustworthiness, and academic integrity</t>
  </si>
  <si>
    <t>Demonstrate the desire to improve society, including appreciating the roles of sustainable design and occupational health and safety</t>
  </si>
  <si>
    <t>Explain how the Engineering Code of Ethics and equity principles can be applied to professional situations</t>
  </si>
  <si>
    <t>Apply project management techniques in engineering projects</t>
  </si>
  <si>
    <t>Evaluate the effectiveness of knowledge application from lessons learned in the design process</t>
  </si>
  <si>
    <t>Accurately identify gaps in their knowledge and understanding</t>
  </si>
  <si>
    <t>(Pirnia, Mehrdad));</t>
  </si>
  <si>
    <t>('Msci' , '261x' , 'TestCourse' , 'Spring ' , 2016 , 'Option'));</t>
  </si>
  <si>
    <t>(598829620, 'Knowledge Base', 'Recognize the key elements of object-oriented programming using Java', '', 0.2, 'Msci ' , '261x' , 'TestCourse' , 'Pirnia' , 'Mehrdad' , 'Spring ' , 2016 , '2A' , 'Option') ,</t>
  </si>
  <si>
    <t>(684014860, 'Knowledge Base', 'Recognize the key elements of object-oriented programming using Java', '', 0.54, 'Msci ' , '261x' , 'TestCourse' , 'Pirnia' , 'Mehrdad' , 'Spring ' , 2016 , '2A' , 'Option') ,</t>
  </si>
  <si>
    <t>(843228181, 'Knowledge Base', 'Recognize the key elements of object-oriented programming using Java', '', 0.656666666666667, 'Msci ' , '261x' , 'TestCourse' , 'Pirnia' , 'Mehrdad' , 'Spring ' , 2016 , '2A' , 'Option') ,</t>
  </si>
  <si>
    <t>(820549378, 'Knowledge Base', 'Recognize the key elements of object-oriented programming using Java', '', 0.396666666666667, 'Msci ' , '261x' , 'TestCourse' , 'Pirnia' , 'Mehrdad' , 'Spring ' , 2016 , '2A' , 'Option') ,</t>
  </si>
  <si>
    <t>(533572169, 'Knowledge Base', 'Recognize the key elements of object-oriented programming using Java', '', 0.35, 'Msci ' , '261x' , 'TestCourse' , 'Pirnia' , 'Mehrdad' , 'Spring ' , 2016 , '2A' , 'Option') ,</t>
  </si>
  <si>
    <t>(975325712, 'Knowledge Base', 'Recognize the key elements of object-oriented programming using Java', '', 0.466666666666667, 'Msci ' , '261x' , 'TestCourse' , 'Pirnia' , 'Mehrdad' , 'Spring ' , 2016 , '2A' , 'Option') ,</t>
  </si>
  <si>
    <t>(310082419, 'Knowledge Base', 'Recognize the key elements of object-oriented programming using Java', '', 0.176666666666667, 'Msci ' , '261x' , 'TestCourse' , 'Pirnia' , 'Mehrdad' , 'Spring ' , 2016 , '2A' , 'Option') ,</t>
  </si>
  <si>
    <t>(242132470, 'Knowledge Base', 'Recognize the key elements of object-oriented programming using Java', '', 0.24, 'Msci ' , '261x' , 'TestCourse' , 'Pirnia' , 'Mehrdad' , 'Spring ' , 2016 , '2A' , 'Option') ,</t>
  </si>
  <si>
    <t>(208248363, 'Knowledge Base', 'Recognize the key elements of object-oriented programming using Java', '', 0.59, 'Msci ' , '261x' , 'TestCourse' , 'Pirnia' , 'Mehrdad' , 'Spring ' , 2016 , '2A' , 'Option') ,</t>
  </si>
  <si>
    <t>(277055951, 'Knowledge Base', 'Recognize the key elements of object-oriented programming using Java', '', 0.34, 'Msci ' , '261x' , 'TestCourse' , 'Pirnia' , 'Mehrdad' , 'Spring ' , 2016 , '2A' , 'Option') ,</t>
  </si>
  <si>
    <t>(902907559, 'Knowledge Base', 'Recognize the key elements of object-oriented programming using Java', '', 0.823333333333333, 'Msci ' , '261x' , 'TestCourse' , 'Pirnia' , 'Mehrdad' , 'Spring ' , 2016 , '2A' , 'Option') ,</t>
  </si>
  <si>
    <t>(528297980, 'Knowledge Base', 'Recognize the key elements of object-oriented programming using Java', '', 0.62, 'Msci ' , '261x' , 'TestCourse' , 'Pirnia' , 'Mehrdad' , 'Spring ' , 2016 , '2A' , 'Option') ,</t>
  </si>
  <si>
    <t>(444882790, 'Knowledge Base', 'Recognize the key elements of object-oriented programming using Java', '', 0.316666666666667, 'Msci ' , '261x' , 'TestCourse' , 'Pirnia' , 'Mehrdad' , 'Spring ' , 2016 , '2A' , 'Option') ,</t>
  </si>
  <si>
    <t>(112085131, 'Knowledge Base', 'Recognize the key elements of object-oriented programming using Java', '', 0.153333333333333, 'Msci ' , '261x' , 'TestCourse' , 'Pirnia' , 'Mehrdad' , 'Spring ' , 2016 , '2A' , 'Option') ,</t>
  </si>
  <si>
    <t>(588642518, 'Knowledge Base', 'Recognize the key elements of object-oriented programming using Java', '', 0.626666666666667, 'Msci ' , '261x' , 'TestCourse' , 'Pirnia' , 'Mehrdad' , 'Spring ' , 2016 , '2A' , 'Option') ,</t>
  </si>
  <si>
    <t>(414520736, 'Knowledge Base', 'Recognize the key elements of object-oriented programming using Java', '', 0.74, 'Msci ' , '261x' , 'TestCourse' , 'Pirnia' , 'Mehrdad' , 'Spring ' , 2016 , '2A' , 'Option') ,</t>
  </si>
  <si>
    <t>(356558346, 'Knowledge Base', 'Recognize the key elements of object-oriented programming using Java', '', 0.536666666666667, 'Msci ' , '261x' , 'TestCourse' , 'Pirnia' , 'Mehrdad' , 'Spring ' , 2016 , '2A' , 'Option') ,</t>
  </si>
  <si>
    <t>(970698993, 'Knowledge Base', 'Recognize the key elements of object-oriented programming using Java', '', 0.833333333333333, 'Msci ' , '261x' , 'TestCourse' , 'Pirnia' , 'Mehrdad' , 'Spring ' , 2016 , '2A' , 'Option') ,</t>
  </si>
  <si>
    <t>(633537205, 'Knowledge Base', 'Recognize the key elements of object-oriented programming using Java', '', 0.273333333333333, 'Msci ' , '261x' , 'TestCourse' , 'Pirnia' , 'Mehrdad' , 'Spring ' , 2016 , '2A' , 'Option') ,</t>
  </si>
  <si>
    <t>(534292868, 'Knowledge Base', 'Recognize the key elements of object-oriented programming using Java', '', 0.75, 'Msci ' , '261x' , 'TestCourse' , 'Pirnia' , 'Mehrdad' , 'Spring ' , 2016 , '2A' , 'Option') ,</t>
  </si>
  <si>
    <t>(816787809, 'Knowledge Base', 'Recognize the key elements of object-oriented programming using Java', '', 0.613333333333333, 'Msci ' , '261x' , 'TestCourse' , 'Pirnia' , 'Mehrdad' , 'Spring ' , 2016 , '2A' , 'Option') ,</t>
  </si>
  <si>
    <t>(220052551, 'Knowledge Base', 'Recognize the key elements of object-oriented programming using Java', '', 0.71, 'Msci ' , '261x' , 'TestCourse' , 'Pirnia' , 'Mehrdad' , 'Spring ' , 2016 , '2A' , 'Option') ,</t>
  </si>
  <si>
    <t>(858571733, 'Knowledge Base', 'Recognize the key elements of object-oriented programming using Java', '', 0.26, 'Msci ' , '261x' , 'TestCourse' , 'Pirnia' , 'Mehrdad' , 'Spring ' , 2016 , '2A' , 'Option') ,</t>
  </si>
  <si>
    <t>(363436152, 'Knowledge Base', 'Recognize the key elements of object-oriented programming using Java', '', 0.323333333333333, 'Msci ' , '261x' , 'TestCourse' , 'Pirnia' , 'Mehrdad' , 'Spring ' , 2016 , '2A' , 'Option') ,</t>
  </si>
  <si>
    <t>(393495083, 'Knowledge Base', 'Recognize the key elements of object-oriented programming using Java', '', 0.74, 'Msci ' , '261x' , 'TestCourse' , 'Pirnia' , 'Mehrdad' , 'Spring ' , 2016 , '2A' , 'Option') ,</t>
  </si>
  <si>
    <t>(769635714, 'Knowledge Base', 'Recognize the key elements of object-oriented programming using Java', '', 0.803333333333333, 'Msci ' , '261x' , 'TestCourse' , 'Pirnia' , 'Mehrdad' , 'Spring ' , 2016 , '2A' , 'Option') ,</t>
  </si>
  <si>
    <t>(373048949, 'Knowledge Base', 'Recognize the key elements of object-oriented programming using Java', '', 0.766666666666667, 'Msci ' , '261x' , 'TestCourse' , 'Pirnia' , 'Mehrdad' , 'Spring ' , 2016 , '2A' , 'Option') ,</t>
  </si>
  <si>
    <t>(357061292, 'Knowledge Base', 'Recognize the key elements of object-oriented programming using Java', '', 0.316666666666667, 'Msci ' , '261x' , 'TestCourse' , 'Pirnia' , 'Mehrdad' , 'Spring ' , 2016 , '2A' , 'Option') ,</t>
  </si>
  <si>
    <t>(837310284, 'Knowledge Base', 'Recognize the key elements of object-oriented programming using Java', '', 0.366666666666667, 'Msci ' , '261x' , 'TestCourse' , 'Pirnia' , 'Mehrdad' , 'Spring ' , 2016 , '2A' , 'Option') ,</t>
  </si>
  <si>
    <t>(815854164, 'Knowledge Base', 'Recognize the key elements of object-oriented programming using Java', '', 0.676666666666667, 'Msci ' , '261x' , 'TestCourse' , 'Pirnia' , 'Mehrdad' , 'Spring ' , 2016 , '2A' , 'Option') ,</t>
  </si>
  <si>
    <t>(315378369, 'Knowledge Base', 'Recognize the key elements of object-oriented programming using Java', '', 0.196666666666667, 'Msci ' , '261x' , 'TestCourse' , 'Pirnia' , 'Mehrdad' , 'Spring ' , 2016 , '2A' , 'Option') ,</t>
  </si>
  <si>
    <t>(564410540, 'Knowledge Base', 'Recognize the key elements of object-oriented programming using Java', '', 0.306666666666667, 'Msci ' , '261x' , 'TestCourse' , 'Pirnia' , 'Mehrdad' , 'Spring ' , 2016 , '2A' , 'Option') ,</t>
  </si>
  <si>
    <t>(126539887, 'Knowledge Base', 'Recognize the key elements of object-oriented programming using Java', '', 0.28, 'Msci ' , '261x' , 'TestCourse' , 'Pirnia' , 'Mehrdad' , 'Spring ' , 2016 , '2A' , 'Option') ,</t>
  </si>
  <si>
    <t>(563937624, 'Knowledge Base', 'Recognize the key elements of object-oriented programming using Java', '', 0.283333333333333, 'Msci ' , '261x' , 'TestCourse' , 'Pirnia' , 'Mehrdad' , 'Spring ' , 2016 , '2A' , 'Option') ,</t>
  </si>
  <si>
    <t>(684291511, 'Knowledge Base', 'Recognize the key elements of object-oriented programming using Java', '', 0.463333333333333, 'Msci ' , '261x' , 'TestCourse' , 'Pirnia' , 'Mehrdad' , 'Spring ' , 2016 , '2A' , 'Option') ,</t>
  </si>
  <si>
    <t>(598829620, 'Knowledge Base', 'Describe the main components of decision analysis', '', 0.32, 'Msci ' , '261x' , 'TestCourse' , 'Pirnia' , 'Mehrdad' , 'Spring ' , 2016 , '2A' , 'Option') ,</t>
  </si>
  <si>
    <t>(684014860, 'Knowledge Base', 'Describe the main components of decision analysis', '', 0.6525, 'Msci ' , '261x' , 'TestCourse' , 'Pirnia' , 'Mehrdad' , 'Spring ' , 2016 , '2A' , 'Option') ,</t>
  </si>
  <si>
    <t>(843228181, 'Knowledge Base', 'Describe the main components of decision analysis', '', 0.5225, 'Msci ' , '261x' , 'TestCourse' , 'Pirnia' , 'Mehrdad' , 'Spring ' , 2016 , '2A' , 'Option') ,</t>
  </si>
  <si>
    <t>(820549378, 'Knowledge Base', 'Describe the main components of decision analysis', '', 0.4, 'Msci ' , '261x' , 'TestCourse' , 'Pirnia' , 'Mehrdad' , 'Spring ' , 2016 , '2A' , 'Option') ,</t>
  </si>
  <si>
    <t>(533572169, 'Knowledge Base', 'Describe the main components of decision analysis', '', 0.325, 'Msci ' , '261x' , 'TestCourse' , 'Pirnia' , 'Mehrdad' , 'Spring ' , 2016 , '2A' , 'Option') ,</t>
  </si>
  <si>
    <t>(975325712, 'Knowledge Base', 'Describe the main components of decision analysis', '', 0.405, 'Msci ' , '261x' , 'TestCourse' , 'Pirnia' , 'Mehrdad' , 'Spring ' , 2016 , '2A' , 'Option') ,</t>
  </si>
  <si>
    <t>(310082419, 'Knowledge Base', 'Describe the main components of decision analysis', '', 0.135, 'Msci ' , '261x' , 'TestCourse' , 'Pirnia' , 'Mehrdad' , 'Spring ' , 2016 , '2A' , 'Option') ,</t>
  </si>
  <si>
    <t>(242132470, 'Knowledge Base', 'Describe the main components of decision analysis', '', 0.2325, 'Msci ' , '261x' , 'TestCourse' , 'Pirnia' , 'Mehrdad' , 'Spring ' , 2016 , '2A' , 'Option') ,</t>
  </si>
  <si>
    <t>(208248363, 'Knowledge Base', 'Describe the main components of decision analysis', '', 0.445, 'Msci ' , '261x' , 'TestCourse' , 'Pirnia' , 'Mehrdad' , 'Spring ' , 2016 , '2A' , 'Option') ,</t>
  </si>
  <si>
    <t>(277055951, 'Knowledge Base', 'Describe the main components of decision analysis', '', 0.265, 'Msci ' , '261x' , 'TestCourse' , 'Pirnia' , 'Mehrdad' , 'Spring ' , 2016 , '2A' , 'Option') ,</t>
  </si>
  <si>
    <t>(902907559, 'Knowledge Base', 'Describe the main components of decision analysis', '', 0.8825, 'Msci ' , '261x' , 'TestCourse' , 'Pirnia' , 'Mehrdad' , 'Spring ' , 2016 , '2A' , 'Option') ,</t>
  </si>
  <si>
    <t>(528297980, 'Knowledge Base', 'Describe the main components of decision analysis', '', 0.62, 'Msci ' , '261x' , 'TestCourse' , 'Pirnia' , 'Mehrdad' , 'Spring ' , 2016 , '2A' , 'Option') ,</t>
  </si>
  <si>
    <t>(444882790, 'Knowledge Base', 'Describe the main components of decision analysis', '', 0.205, 'Msci ' , '261x' , 'TestCourse' , 'Pirnia' , 'Mehrdad' , 'Spring ' , 2016 , '2A' , 'Option') ,</t>
  </si>
  <si>
    <t>(112085131, 'Knowledge Base', 'Describe the main components of decision analysis', '', 0.2475, 'Msci ' , '261x' , 'TestCourse' , 'Pirnia' , 'Mehrdad' , 'Spring ' , 2016 , '2A' , 'Option') ,</t>
  </si>
  <si>
    <t>(588642518, 'Knowledge Base', 'Describe the main components of decision analysis', '', 0.885, 'Msci ' , '261x' , 'TestCourse' , 'Pirnia' , 'Mehrdad' , 'Spring ' , 2016 , '2A' , 'Option') ,</t>
  </si>
  <si>
    <t>(414520736, 'Knowledge Base', 'Describe the main components of decision analysis', '', 0.635, 'Msci ' , '261x' , 'TestCourse' , 'Pirnia' , 'Mehrdad' , 'Spring ' , 2016 , '2A' , 'Option') ,</t>
  </si>
  <si>
    <t>(356558346, 'Knowledge Base', 'Describe the main components of decision analysis', '', 0.4475, 'Msci ' , '261x' , 'TestCourse' , 'Pirnia' , 'Mehrdad' , 'Spring ' , 2016 , '2A' , 'Option') ,</t>
  </si>
  <si>
    <t>(970698993, 'Knowledge Base', 'Describe the main components of decision analysis', '', 0.9075, 'Msci ' , '261x' , 'TestCourse' , 'Pirnia' , 'Mehrdad' , 'Spring ' , 2016 , '2A' , 'Option') ,</t>
  </si>
  <si>
    <t>(633537205, 'Knowledge Base', 'Describe the main components of decision analysis', '', 0.3775, 'Msci ' , '261x' , 'TestCourse' , 'Pirnia' , 'Mehrdad' , 'Spring ' , 2016 , '2A' , 'Option') ,</t>
  </si>
  <si>
    <t>(534292868, 'Knowledge Base', 'Describe the main components of decision analysis', '', 0.895, 'Msci ' , '261x' , 'TestCourse' , 'Pirnia' , 'Mehrdad' , 'Spring ' , 2016 , '2A' , 'Option') ,</t>
  </si>
  <si>
    <t>(816787809, 'Knowledge Base', 'Describe the main components of decision analysis', '', 0.4225, 'Msci ' , '261x' , 'TestCourse' , 'Pirnia' , 'Mehrdad' , 'Spring ' , 2016 , '2A' , 'Option') ,</t>
  </si>
  <si>
    <t>(220052551, 'Knowledge Base', 'Describe the main components of decision analysis', '', 0.57, 'Msci ' , '261x' , 'TestCourse' , 'Pirnia' , 'Mehrdad' , 'Spring ' , 2016 , '2A' , 'Option') ,</t>
  </si>
  <si>
    <t>(858571733, 'Knowledge Base', 'Describe the main components of decision analysis', '', 0.3375, 'Msci ' , '261x' , 'TestCourse' , 'Pirnia' , 'Mehrdad' , 'Spring ' , 2016 , '2A' , 'Option') ,</t>
  </si>
  <si>
    <t>(363436152, 'Knowledge Base', 'Describe the main components of decision analysis', '', 0.1975, 'Msci ' , '261x' , 'TestCourse' , 'Pirnia' , 'Mehrdad' , 'Spring ' , 2016 , '2A' , 'Option') ,</t>
  </si>
  <si>
    <t>(393495083, 'Knowledge Base', 'Describe the main components of decision analysis', '', 0.855, 'Msci ' , '261x' , 'TestCourse' , 'Pirnia' , 'Mehrdad' , 'Spring ' , 2016 , '2A' , 'Option') ,</t>
  </si>
  <si>
    <t>(769635714, 'Knowledge Base', 'Describe the main components of decision analysis', '', 0.8475, 'Msci ' , '261x' , 'TestCourse' , 'Pirnia' , 'Mehrdad' , 'Spring ' , 2016 , '2A' , 'Option') ,</t>
  </si>
  <si>
    <t>(373048949, 'Knowledge Base', 'Describe the main components of decision analysis', '', 0.72, 'Msci ' , '261x' , 'TestCourse' , 'Pirnia' , 'Mehrdad' , 'Spring ' , 2016 , '2A' , 'Option') ,</t>
  </si>
  <si>
    <t>(357061292, 'Knowledge Base', 'Describe the main components of decision analysis', '', 0.0925, 'Msci ' , '261x' , 'TestCourse' , 'Pirnia' , 'Mehrdad' , 'Spring ' , 2016 , '2A' , 'Option') ,</t>
  </si>
  <si>
    <t>(837310284, 'Knowledge Base', 'Describe the main components of decision analysis', '', 0.3375, 'Msci ' , '261x' , 'TestCourse' , 'Pirnia' , 'Mehrdad' , 'Spring ' , 2016 , '2A' , 'Option') ,</t>
  </si>
  <si>
    <t>(815854164, 'Knowledge Base', 'Describe the main components of decision analysis', '', 0.9125, 'Msci ' , '261x' , 'TestCourse' , 'Pirnia' , 'Mehrdad' , 'Spring ' , 2016 , '2A' , 'Option') ,</t>
  </si>
  <si>
    <t>(315378369, 'Knowledge Base', 'Describe the main components of decision analysis', '', 0.205, 'Msci ' , '261x' , 'TestCourse' , 'Pirnia' , 'Mehrdad' , 'Spring ' , 2016 , '2A' , 'Option') ,</t>
  </si>
  <si>
    <t>(564410540, 'Knowledge Base', 'Describe the main components of decision analysis', '', 0.2525, 'Msci ' , '261x' , 'TestCourse' , 'Pirnia' , 'Mehrdad' , 'Spring ' , 2016 , '2A' , 'Option') ,</t>
  </si>
  <si>
    <t>(126539887, 'Knowledge Base', 'Describe the main components of decision analysis', '', 0.2925, 'Msci ' , '261x' , 'TestCourse' , 'Pirnia' , 'Mehrdad' , 'Spring ' , 2016 , '2A' , 'Option') ,</t>
  </si>
  <si>
    <t>(563937624, 'Knowledge Base', 'Describe the main components of decision analysis', '', 0.285, 'Msci ' , '261x' , 'TestCourse' , 'Pirnia' , 'Mehrdad' , 'Spring ' , 2016 , '2A' , 'Option') ,</t>
  </si>
  <si>
    <t>(684291511, 'Knowledge Base', 'Describe the main components of decision analysis', '', 0.3325, 'Msci ' , '261x' , 'TestCourse' , 'Pirnia' , 'Mehrdad' , 'Spring ' , 2016 , '2A' , 'Option') ,</t>
  </si>
  <si>
    <t>(598829620, 'Problem Analysis', 'Model an optimization problem to replicate a practical situation ', '', 0.15, 'Msci ' , '261x' , 'TestCourse' , 'Pirnia' , 'Mehrdad' , 'Spring ' , 2016 , '2A' , 'Option') ,</t>
  </si>
  <si>
    <t>(684014860, 'Problem Analysis', 'Model an optimization problem to replicate a practical situation ', '', 0.56, 'Msci ' , '261x' , 'TestCourse' , 'Pirnia' , 'Mehrdad' , 'Spring ' , 2016 , '2A' , 'Option') ,</t>
  </si>
  <si>
    <t>(843228181, 'Problem Analysis', 'Model an optimization problem to replicate a practical situation ', '', 0.61, 'Msci ' , '261x' , 'TestCourse' , 'Pirnia' , 'Mehrdad' , 'Spring ' , 2016 , '2A' , 'Option') ,</t>
  </si>
  <si>
    <t>(820549378, 'Problem Analysis', 'Model an optimization problem to replicate a practical situation ', '', 0.32, 'Msci ' , '261x' , 'TestCourse' , 'Pirnia' , 'Mehrdad' , 'Spring ' , 2016 , '2A' , 'Option') ,</t>
  </si>
  <si>
    <t>(533572169, 'Problem Analysis', 'Model an optimization problem to replicate a practical situation ', '', 0.3, 'Msci ' , '261x' , 'TestCourse' , 'Pirnia' , 'Mehrdad' , 'Spring ' , 2016 , '2A' , 'Option') ,</t>
  </si>
  <si>
    <t>(975325712, 'Problem Analysis', 'Model an optimization problem to replicate a practical situation ', '', 0.4, 'Msci ' , '261x' , 'TestCourse' , 'Pirnia' , 'Mehrdad' , 'Spring ' , 2016 , '2A' , 'Option') ,</t>
  </si>
  <si>
    <t>(310082419, 'Problem Analysis', 'Model an optimization problem to replicate a practical situation ', '', 0.04, 'Msci ' , '261x' , 'TestCourse' , 'Pirnia' , 'Mehrdad' , 'Spring ' , 2016 , '2A' , 'Option') ,</t>
  </si>
  <si>
    <t>(242132470, 'Problem Analysis', 'Model an optimization problem to replicate a practical situation ', '', 0.11, 'Msci ' , '261x' , 'TestCourse' , 'Pirnia' , 'Mehrdad' , 'Spring ' , 2016 , '2A' , 'Option') ,</t>
  </si>
  <si>
    <t>(208248363, 'Problem Analysis', 'Model an optimization problem to replicate a practical situation ', '', 0.51, 'Msci ' , '261x' , 'TestCourse' , 'Pirnia' , 'Mehrdad' , 'Spring ' , 2016 , '2A' , 'Option') ,</t>
  </si>
  <si>
    <t>(277055951, 'Problem Analysis', 'Model an optimization problem to replicate a practical situation ', '', 0.26, 'Msci ' , '261x' , 'TestCourse' , 'Pirnia' , 'Mehrdad' , 'Spring ' , 2016 , '2A' , 'Option') ,</t>
  </si>
  <si>
    <t>(902907559, 'Problem Analysis', 'Model an optimization problem to replicate a practical situation ', '', 0.86, 'Msci ' , '261x' , 'TestCourse' , 'Pirnia' , 'Mehrdad' , 'Spring ' , 2016 , '2A' , 'Option') ,</t>
  </si>
  <si>
    <t>(528297980, 'Problem Analysis', 'Model an optimization problem to replicate a practical situation ', '', 0.58, 'Msci ' , '261x' , 'TestCourse' , 'Pirnia' , 'Mehrdad' , 'Spring ' , 2016 , '2A' , 'Option') ,</t>
  </si>
  <si>
    <t>(444882790, 'Problem Analysis', 'Model an optimization problem to replicate a practical situation ', '', 0.05, 'Msci ' , '261x' , 'TestCourse' , 'Pirnia' , 'Mehrdad' , 'Spring ' , 2016 , '2A' , 'Option') ,</t>
  </si>
  <si>
    <t>(112085131, 'Problem Analysis', 'Model an optimization problem to replicate a practical situation ', '', 0.13, 'Msci ' , '261x' , 'TestCourse' , 'Pirnia' , 'Mehrdad' , 'Spring ' , 2016 , '2A' , 'Option') ,</t>
  </si>
  <si>
    <t>(588642518, 'Problem Analysis', 'Model an optimization problem to replicate a practical situation ', '', 0.94, 'Msci ' , '261x' , 'TestCourse' , 'Pirnia' , 'Mehrdad' , 'Spring ' , 2016 , '2A' , 'Option') ,</t>
  </si>
  <si>
    <t>(414520736, 'Problem Analysis', 'Model an optimization problem to replicate a practical situation ', '', 0.81, 'Msci ' , '261x' , 'TestCourse' , 'Pirnia' , 'Mehrdad' , 'Spring ' , 2016 , '2A' , 'Option') ,</t>
  </si>
  <si>
    <t>(356558346, 'Problem Analysis', 'Model an optimization problem to replicate a practical situation ', '', 0.43, 'Msci ' , '261x' , 'TestCourse' , 'Pirnia' , 'Mehrdad' , 'Spring ' , 2016 , '2A' , 'Option') ,</t>
  </si>
  <si>
    <t>(970698993, 'Problem Analysis', 'Model an optimization problem to replicate a practical situation ', '', 0.95, 'Msci ' , '261x' , 'TestCourse' , 'Pirnia' , 'Mehrdad' , 'Spring ' , 2016 , '2A' , 'Option') ,</t>
  </si>
  <si>
    <t>(633537205, 'Problem Analysis', 'Model an optimization problem to replicate a practical situation ', '', 0.36, 'Msci ' , '261x' , 'TestCourse' , 'Pirnia' , 'Mehrdad' , 'Spring ' , 2016 , '2A' , 'Option') ,</t>
  </si>
  <si>
    <t>(534292868, 'Problem Analysis', 'Model an optimization problem to replicate a practical situation ', '', 0.9, 'Msci ' , '261x' , 'TestCourse' , 'Pirnia' , 'Mehrdad' , 'Spring ' , 2016 , '2A' , 'Option') ,</t>
  </si>
  <si>
    <t>(816787809, 'Problem Analysis', 'Model an optimization problem to replicate a practical situation ', '', 0.47, 'Msci ' , '261x' , 'TestCourse' , 'Pirnia' , 'Mehrdad' , 'Spring ' , 2016 , '2A' , 'Option') ,</t>
  </si>
  <si>
    <t>(220052551, 'Problem Analysis', 'Model an optimization problem to replicate a practical situation ', '', 0.74, 'Msci ' , '261x' , 'TestCourse' , 'Pirnia' , 'Mehrdad' , 'Spring ' , 2016 , '2A' , 'Option') ,</t>
  </si>
  <si>
    <t>(858571733, 'Problem Analysis', 'Model an optimization problem to replicate a practical situation ', '', 0.19, 'Msci ' , '261x' , 'TestCourse' , 'Pirnia' , 'Mehrdad' , 'Spring ' , 2016 , '2A' , 'Option') ,</t>
  </si>
  <si>
    <t>(363436152, 'Problem Analysis', 'Model an optimization problem to replicate a practical situation ', '', 0.21, 'Msci ' , '261x' , 'TestCourse' , 'Pirnia' , 'Mehrdad' , 'Spring ' , 2016 , '2A' , 'Option') ,</t>
  </si>
  <si>
    <t>(393495083, 'Problem Analysis', 'Model an optimization problem to replicate a practical situation ', '', 0.91, 'Msci ' , '261x' , 'TestCourse' , 'Pirnia' , 'Mehrdad' , 'Spring ' , 2016 , '2A' , 'Option') ,</t>
  </si>
  <si>
    <t>(769635714, 'Problem Analysis', 'Model an optimization problem to replicate a practical situation ', '', 0.88, 'Msci ' , '261x' , 'TestCourse' , 'Pirnia' , 'Mehrdad' , 'Spring ' , 2016 , '2A' , 'Option') ,</t>
  </si>
  <si>
    <t>(373048949, 'Problem Analysis', 'Model an optimization problem to replicate a practical situation ', '', 0.8, 'Msci ' , '261x' , 'TestCourse' , 'Pirnia' , 'Mehrdad' , 'Spring ' , 2016 , '2A' , 'Option') ,</t>
  </si>
  <si>
    <t>(357061292, 'Problem Analysis', 'Model an optimization problem to replicate a practical situation ', '', 0.1, 'Msci ' , '261x' , 'TestCourse' , 'Pirnia' , 'Mehrdad' , 'Spring ' , 2016 , '2A' , 'Option') ,</t>
  </si>
  <si>
    <t>(837310284, 'Problem Analysis', 'Model an optimization problem to replicate a practical situation ', '', 0.45, 'Msci ' , '261x' , 'TestCourse' , 'Pirnia' , 'Mehrdad' , 'Spring ' , 2016 , '2A' , 'Option') ,</t>
  </si>
  <si>
    <t>(815854164, 'Problem Analysis', 'Model an optimization problem to replicate a practical situation ', '', 0.89, 'Msci ' , '261x' , 'TestCourse' , 'Pirnia' , 'Mehrdad' , 'Spring ' , 2016 , '2A' , 'Option') ,</t>
  </si>
  <si>
    <t>(315378369, 'Problem Analysis', 'Model an optimization problem to replicate a practical situation ', '', 0.12, 'Msci ' , '261x' , 'TestCourse' , 'Pirnia' , 'Mehrdad' , 'Spring ' , 2016 , '2A' , 'Option') ,</t>
  </si>
  <si>
    <t>(564410540, 'Problem Analysis', 'Model an optimization problem to replicate a practical situation ', '', 0.21, 'Msci ' , '261x' , 'TestCourse' , 'Pirnia' , 'Mehrdad' , 'Spring ' , 2016 , '2A' , 'Option') ,</t>
  </si>
  <si>
    <t>(126539887, 'Problem Analysis', 'Model an optimization problem to replicate a practical situation ', '', 0.07, 'Msci ' , '261x' , 'TestCourse' , 'Pirnia' , 'Mehrdad' , 'Spring ' , 2016 , '2A' , 'Option') ,</t>
  </si>
  <si>
    <t>(563937624, 'Problem Analysis', 'Model an optimization problem to replicate a practical situation ', '', 0.05, 'Msci ' , '261x' , 'TestCourse' , 'Pirnia' , 'Mehrdad' , 'Spring ' , 2016 , '2A' , 'Option') ,</t>
  </si>
  <si>
    <t>(684291511, 'Problem Analysis', 'Model an optimization problem to replicate a practical situation ', '', 0.37, 'Msci ' , '261x' , 'TestCourse' , 'Pirnia' , 'Mehrdad' , 'Spring ' , 2016 , '2A' , 'Option') ,</t>
  </si>
  <si>
    <t>(598829620, 'Problem Analysis', 'Critically evaluate solutions, including performing "reality checks" on design problems and solutions', '', 0.233333333333333, 'Msci ' , '261x' , 'TestCourse' , 'Pirnia' , 'Mehrdad' , 'Spring ' , 2016 , '2A' , 'Option') ,</t>
  </si>
  <si>
    <t>(684014860, 'Problem Analysis', 'Critically evaluate solutions, including performing "reality checks" on design problems and solutions', '', 0.283333333333333, 'Msci ' , '261x' , 'TestCourse' , 'Pirnia' , 'Mehrdad' , 'Spring ' , 2016 , '2A' , 'Option') ,</t>
  </si>
  <si>
    <t>(843228181, 'Problem Analysis', 'Critically evaluate solutions, including performing "reality checks" on design problems and solutions', '', 0.433333333333333, 'Msci ' , '261x' , 'TestCourse' , 'Pirnia' , 'Mehrdad' , 'Spring ' , 2016 , '2A' , 'Option') ,</t>
  </si>
  <si>
    <t>(820549378, 'Problem Analysis', 'Critically evaluate solutions, including performing "reality checks" on design problems and solutions', '', 0.47, 'Msci ' , '261x' , 'TestCourse' , 'Pirnia' , 'Mehrdad' , 'Spring ' , 2016 , '2A' , 'Option') ,</t>
  </si>
  <si>
    <t>(533572169, 'Problem Analysis', 'Critically evaluate solutions, including performing "reality checks" on design problems and solutions', '', 0.693333333333333, 'Msci ' , '261x' , 'TestCourse' , 'Pirnia' , 'Mehrdad' , 'Spring ' , 2016 , '2A' , 'Option') ,</t>
  </si>
  <si>
    <t>(975325712, 'Problem Analysis', 'Critically evaluate solutions, including performing "reality checks" on design problems and solutions', '', 0.61, 'Msci ' , '261x' , 'TestCourse' , 'Pirnia' , 'Mehrdad' , 'Spring ' , 2016 , '2A' , 'Option') ,</t>
  </si>
  <si>
    <t>(310082419, 'Problem Analysis', 'Critically evaluate solutions, including performing "reality checks" on design problems and solutions', '', 0.39, 'Msci ' , '261x' , 'TestCourse' , 'Pirnia' , 'Mehrdad' , 'Spring ' , 2016 , '2A' , 'Option') ,</t>
  </si>
  <si>
    <t>(242132470, 'Problem Analysis', 'Critically evaluate solutions, including performing "reality checks" on design problems and solutions', '', 0.553333333333333, 'Msci ' , '261x' , 'TestCourse' , 'Pirnia' , 'Mehrdad' , 'Spring ' , 2016 , '2A' , 'Option') ,</t>
  </si>
  <si>
    <t>(208248363, 'Problem Analysis', 'Critically evaluate solutions, including performing "reality checks" on design problems and solutions', '', 0.596666666666667, 'Msci ' , '261x' , 'TestCourse' , 'Pirnia' , 'Mehrdad' , 'Spring ' , 2016 , '2A' , 'Option') ,</t>
  </si>
  <si>
    <t>(277055951, 'Problem Analysis', 'Critically evaluate solutions, including performing "reality checks" on design problems and solutions', '', 0.606666666666667, 'Msci ' , '261x' , 'TestCourse' , 'Pirnia' , 'Mehrdad' , 'Spring ' , 2016 , '2A' , 'Option') ,</t>
  </si>
  <si>
    <t>(902907559, 'Problem Analysis', 'Critically evaluate solutions, including performing "reality checks" on design problems and solutions', '', 0.553333333333333, 'Msci ' , '261x' , 'TestCourse' , 'Pirnia' , 'Mehrdad' , 'Spring ' , 2016 , '2A' , 'Option') ,</t>
  </si>
  <si>
    <t>(528297980, 'Problem Analysis', 'Critically evaluate solutions, including performing "reality checks" on design problems and solutions', '', 0.72, 'Msci ' , '261x' , 'TestCourse' , 'Pirnia' , 'Mehrdad' , 'Spring ' , 2016 , '2A' , 'Option') ,</t>
  </si>
  <si>
    <t>(444882790, 'Problem Analysis', 'Critically evaluate solutions, including performing "reality checks" on design problems and solutions', '', 0.386666666666667, 'Msci ' , '261x' , 'TestCourse' , 'Pirnia' , 'Mehrdad' , 'Spring ' , 2016 , '2A' , 'Option') ,</t>
  </si>
  <si>
    <t>(112085131, 'Problem Analysis', 'Critically evaluate solutions, including performing "reality checks" on design problems and solutions', '', 0.406666666666667, 'Msci ' , '261x' , 'TestCourse' , 'Pirnia' , 'Mehrdad' , 'Spring ' , 2016 , '2A' , 'Option') ,</t>
  </si>
  <si>
    <t>(588642518, 'Problem Analysis', 'Critically evaluate solutions, including performing "reality checks" on design problems and solutions', '', 0.403333333333333, 'Msci ' , '261x' , 'TestCourse' , 'Pirnia' , 'Mehrdad' , 'Spring ' , 2016 , '2A' , 'Option') ,</t>
  </si>
  <si>
    <t>(414520736, 'Problem Analysis', 'Critically evaluate solutions, including performing "reality checks" on design problems and solutions', '', 0.816666666666667, 'Msci ' , '261x' , 'TestCourse' , 'Pirnia' , 'Mehrdad' , 'Spring ' , 2016 , '2A' , 'Option') ,</t>
  </si>
  <si>
    <t>(356558346, 'Problem Analysis', 'Critically evaluate solutions, including performing "reality checks" on design problems and solutions', '', 0.596666666666667, 'Msci ' , '261x' , 'TestCourse' , 'Pirnia' , 'Mehrdad' , 'Spring ' , 2016 , '2A' , 'Option') ,</t>
  </si>
  <si>
    <t>(970698993, 'Problem Analysis', 'Critically evaluate solutions, including performing "reality checks" on design problems and solutions', '', 0.633333333333333, 'Msci ' , '261x' , 'TestCourse' , 'Pirnia' , 'Mehrdad' , 'Spring ' , 2016 , '2A' , 'Option') ,</t>
  </si>
  <si>
    <t>(633537205, 'Problem Analysis', 'Critically evaluate solutions, including performing "reality checks" on design problems and solutions', '', 0.37, 'Msci ' , '261x' , 'TestCourse' , 'Pirnia' , 'Mehrdad' , 'Spring ' , 2016 , '2A' , 'Option') ,</t>
  </si>
  <si>
    <t>(534292868, 'Problem Analysis', 'Critically evaluate solutions, including performing "reality checks" on design problems and solutions', '', 0.506666666666667, 'Msci ' , '261x' , 'TestCourse' , 'Pirnia' , 'Mehrdad' , 'Spring ' , 2016 , '2A' , 'Option') ,</t>
  </si>
  <si>
    <t>(816787809, 'Problem Analysis', 'Critically evaluate solutions, including performing "reality checks" on design problems and solutions', '', 0.55, 'Msci ' , '261x' , 'TestCourse' , 'Pirnia' , 'Mehrdad' , 'Spring ' , 2016 , '2A' , 'Option') ,</t>
  </si>
  <si>
    <t>(220052551, 'Problem Analysis', 'Critically evaluate solutions, including performing "reality checks" on design problems and solutions', '', 0.78, 'Msci ' , '261x' , 'TestCourse' , 'Pirnia' , 'Mehrdad' , 'Spring ' , 2016 , '2A' , 'Option') ,</t>
  </si>
  <si>
    <t>(858571733, 'Problem Analysis', 'Critically evaluate solutions, including performing "reality checks" on design problems and solutions', '', 0.363333333333333, 'Msci ' , '261x' , 'TestCourse' , 'Pirnia' , 'Mehrdad' , 'Spring ' , 2016 , '2A' , 'Option') ,</t>
  </si>
  <si>
    <t>(363436152, 'Problem Analysis', 'Critically evaluate solutions, including performing "reality checks" on design problems and solutions', '', 0.52, 'Msci ' , '261x' , 'TestCourse' , 'Pirnia' , 'Mehrdad' , 'Spring ' , 2016 , '2A' , 'Option') ,</t>
  </si>
  <si>
    <t>(393495083, 'Problem Analysis', 'Critically evaluate solutions, including performing "reality checks" on design problems and solutions', '', 0.616666666666667, 'Msci ' , '261x' , 'TestCourse' , 'Pirnia' , 'Mehrdad' , 'Spring ' , 2016 , '2A' , 'Option') ,</t>
  </si>
  <si>
    <t>(769635714, 'Problem Analysis', 'Critically evaluate solutions, including performing "reality checks" on design problems and solutions', '', 0.656666666666667, 'Msci ' , '261x' , 'TestCourse' , 'Pirnia' , 'Mehrdad' , 'Spring ' , 2016 , '2A' , 'Option') ,</t>
  </si>
  <si>
    <t>(373048949, 'Problem Analysis', 'Critically evaluate solutions, including performing "reality checks" on design problems and solutions', '', 0.676666666666667, 'Msci ' , '261x' , 'TestCourse' , 'Pirnia' , 'Mehrdad' , 'Spring ' , 2016 , '2A' , 'Option') ,</t>
  </si>
  <si>
    <t>(357061292, 'Problem Analysis', 'Critically evaluate solutions, including performing "reality checks" on design problems and solutions', '', 0.486666666666667, 'Msci ' , '261x' , 'TestCourse' , 'Pirnia' , 'Mehrdad' , 'Spring ' , 2016 , '2A' , 'Option') ,</t>
  </si>
  <si>
    <t>(837310284, 'Problem Analysis', 'Critically evaluate solutions, including performing "reality checks" on design problems and solutions', '', 0.436666666666667, 'Msci ' , '261x' , 'TestCourse' , 'Pirnia' , 'Mehrdad' , 'Spring ' , 2016 , '2A' , 'Option') ,</t>
  </si>
  <si>
    <t>(815854164, 'Problem Analysis', 'Critically evaluate solutions, including performing "reality checks" on design problems and solutions', '', 0.47, 'Msci ' , '261x' , 'TestCourse' , 'Pirnia' , 'Mehrdad' , 'Spring ' , 2016 , '2A' , 'Option') ,</t>
  </si>
  <si>
    <t>(315378369, 'Problem Analysis', 'Critically evaluate solutions, including performing "reality checks" on design problems and solutions', '', 0.243333333333333, 'Msci ' , '261x' , 'TestCourse' , 'Pirnia' , 'Mehrdad' , 'Spring ' , 2016 , '2A' , 'Option') ,</t>
  </si>
  <si>
    <t>(564410540, 'Problem Analysis', 'Critically evaluate solutions, including performing "reality checks" on design problems and solutions', '', 0.483333333333333, 'Msci ' , '261x' , 'TestCourse' , 'Pirnia' , 'Mehrdad' , 'Spring ' , 2016 , '2A' , 'Option') ,</t>
  </si>
  <si>
    <t>(126539887, 'Problem Analysis', 'Critically evaluate solutions, including performing "reality checks" on design problems and solutions', '', 0.57, 'Msci ' , '261x' , 'TestCourse' , 'Pirnia' , 'Mehrdad' , 'Spring ' , 2016 , '2A' , 'Option') ,</t>
  </si>
  <si>
    <t>(563937624, 'Problem Analysis', 'Critically evaluate solutions, including performing "reality checks" on design problems and solutions', '', 0.573333333333333, 'Msci ' , '261x' , 'TestCourse' , 'Pirnia' , 'Mehrdad' , 'Spring ' , 2016 , '2A' , 'Option') ,</t>
  </si>
  <si>
    <t>(684291511, 'Problem Analysis', 'Critically evaluate solutions, including performing "reality checks" on design problems and solutions', '', 0.696666666666667, 'Msci ' , '261x' , 'TestCourse' , 'Pirnia' , 'Mehrdad' , 'Spring ' , 2016 , '2A' , 'Option') ,</t>
  </si>
  <si>
    <t>(598829620, 'Investigation', 'Implement data processing techniques to gather necessary information for critiquing an organizational environment', '', 0.2125, 'Msci ' , '261x' , 'TestCourse' , 'Pirnia' , 'Mehrdad' , 'Spring ' , 2016 , '2A' , 'Option') ,</t>
  </si>
  <si>
    <t>(684014860, 'Investigation', 'Implement data processing techniques to gather necessary information for critiquing an organizational environment', '', 0.56, 'Msci ' , '261x' , 'TestCourse' , 'Pirnia' , 'Mehrdad' , 'Spring ' , 2016 , '2A' , 'Option') ,</t>
  </si>
  <si>
    <t>(843228181, 'Investigation', 'Implement data processing techniques to gather necessary information for critiquing an organizational environment', '', 0.5625, 'Msci ' , '261x' , 'TestCourse' , 'Pirnia' , 'Mehrdad' , 'Spring ' , 2016 , '2A' , 'Option') ,</t>
  </si>
  <si>
    <t>(820549378, 'Investigation', 'Implement data processing techniques to gather necessary information for critiquing an organizational environment', '', 0.305, 'Msci ' , '261x' , 'TestCourse' , 'Pirnia' , 'Mehrdad' , 'Spring ' , 2016 , '2A' , 'Option') ,</t>
  </si>
  <si>
    <t>(533572169, 'Investigation', 'Implement data processing techniques to gather necessary information for critiquing an organizational environment', '', 0.235, 'Msci ' , '261x' , 'TestCourse' , 'Pirnia' , 'Mehrdad' , 'Spring ' , 2016 , '2A' , 'Option') ,</t>
  </si>
  <si>
    <t>(975325712, 'Investigation', 'Implement data processing techniques to gather necessary information for critiquing an organizational environment', '', 0.39, 'Msci ' , '261x' , 'TestCourse' , 'Pirnia' , 'Mehrdad' , 'Spring ' , 2016 , '2A' , 'Option') ,</t>
  </si>
  <si>
    <t>(310082419, 'Investigation', 'Implement data processing techniques to gather necessary information for critiquing an organizational environment', '', 0.085, 'Msci ' , '261x' , 'TestCourse' , 'Pirnia' , 'Mehrdad' , 'Spring ' , 2016 , '2A' , 'Option') ,</t>
  </si>
  <si>
    <t>(242132470, 'Investigation', 'Implement data processing techniques to gather necessary information for critiquing an organizational environment', '', 0.2225, 'Msci ' , '261x' , 'TestCourse' , 'Pirnia' , 'Mehrdad' , 'Spring ' , 2016 , '2A' , 'Option') ,</t>
  </si>
  <si>
    <t>(208248363, 'Investigation', 'Implement data processing techniques to gather necessary information for critiquing an organizational environment', '', 0.4825, 'Msci ' , '261x' , 'TestCourse' , 'Pirnia' , 'Mehrdad' , 'Spring ' , 2016 , '2A' , 'Option') ,</t>
  </si>
  <si>
    <t>(277055951, 'Investigation', 'Implement data processing techniques to gather necessary information for critiquing an organizational environment', '', 0.195, 'Msci ' , '261x' , 'TestCourse' , 'Pirnia' , 'Mehrdad' , 'Spring ' , 2016 , '2A' , 'Option') ,</t>
  </si>
  <si>
    <t>(902907559, 'Investigation', 'Implement data processing techniques to gather necessary information for critiquing an organizational environment', '', 0.675, 'Msci ' , '261x' , 'TestCourse' , 'Pirnia' , 'Mehrdad' , 'Spring ' , 2016 , '2A' , 'Option') ,</t>
  </si>
  <si>
    <t>(528297980, 'Investigation', 'Implement data processing techniques to gather necessary information for critiquing an organizational environment', '', 0.59, 'Msci ' , '261x' , 'TestCourse' , 'Pirnia' , 'Mehrdad' , 'Spring ' , 2016 , '2A' , 'Option') ,</t>
  </si>
  <si>
    <t>(444882790, 'Investigation', 'Implement data processing techniques to gather necessary information for critiquing an organizational environment', '', 0.0725, 'Msci ' , '261x' , 'TestCourse' , 'Pirnia' , 'Mehrdad' , 'Spring ' , 2016 , '2A' , 'Option') ,</t>
  </si>
  <si>
    <t>(112085131, 'Investigation', 'Implement data processing techniques to gather necessary information for critiquing an organizational environment', '', 0.1425, 'Msci ' , '261x' , 'TestCourse' , 'Pirnia' , 'Mehrdad' , 'Spring ' , 2016 , '2A' , 'Option') ,</t>
  </si>
  <si>
    <t>(588642518, 'Investigation', 'Implement data processing techniques to gather necessary information for critiquing an organizational environment', '', 0.875, 'Msci ' , '261x' , 'TestCourse' , 'Pirnia' , 'Mehrdad' , 'Spring ' , 2016 , '2A' , 'Option') ,</t>
  </si>
  <si>
    <t>(414520736, 'Investigation', 'Implement data processing techniques to gather necessary information for critiquing an organizational environment', '', 0.6425, 'Msci ' , '261x' , 'TestCourse' , 'Pirnia' , 'Mehrdad' , 'Spring ' , 2016 , '2A' , 'Option') ,</t>
  </si>
  <si>
    <t>(356558346, 'Investigation', 'Implement data processing techniques to gather necessary information for critiquing an organizational environment', '', 0.3325, 'Msci ' , '261x' , 'TestCourse' , 'Pirnia' , 'Mehrdad' , 'Spring ' , 2016 , '2A' , 'Option') ,</t>
  </si>
  <si>
    <t>(970698993, 'Investigation', 'Implement data processing techniques to gather necessary information for critiquing an organizational environment', '', 0.7325, 'Msci ' , '261x' , 'TestCourse' , 'Pirnia' , 'Mehrdad' , 'Spring ' , 2016 , '2A' , 'Option') ,</t>
  </si>
  <si>
    <t>(633537205, 'Investigation', 'Implement data processing techniques to gather necessary information for critiquing an organizational environment', '', 0.295, 'Msci ' , '261x' , 'TestCourse' , 'Pirnia' , 'Mehrdad' , 'Spring ' , 2016 , '2A' , 'Option') ,</t>
  </si>
  <si>
    <t>(534292868, 'Investigation', 'Implement data processing techniques to gather necessary information for critiquing an organizational environment', '', 0.695, 'Msci ' , '261x' , 'TestCourse' , 'Pirnia' , 'Mehrdad' , 'Spring ' , 2016 , '2A' , 'Option') ,</t>
  </si>
  <si>
    <t>(816787809, 'Investigation', 'Implement data processing techniques to gather necessary information for critiquing an organizational environment', '', 0.5125, 'Msci ' , '261x' , 'TestCourse' , 'Pirnia' , 'Mehrdad' , 'Spring ' , 2016 , '2A' , 'Option') ,</t>
  </si>
  <si>
    <t>(220052551, 'Investigation', 'Implement data processing techniques to gather necessary information for critiquing an organizational environment', '', 0.59, 'Msci ' , '261x' , 'TestCourse' , 'Pirnia' , 'Mehrdad' , 'Spring ' , 2016 , '2A' , 'Option') ,</t>
  </si>
  <si>
    <t>(858571733, 'Investigation', 'Implement data processing techniques to gather necessary information for critiquing an organizational environment', '', 0.1825, 'Msci ' , '261x' , 'TestCourse' , 'Pirnia' , 'Mehrdad' , 'Spring ' , 2016 , '2A' , 'Option') ,</t>
  </si>
  <si>
    <t>(363436152, 'Investigation', 'Implement data processing techniques to gather necessary information for critiquing an organizational environment', '', 0.2725, 'Msci ' , '261x' , 'TestCourse' , 'Pirnia' , 'Mehrdad' , 'Spring ' , 2016 , '2A' , 'Option') ,</t>
  </si>
  <si>
    <t>(393495083, 'Investigation', 'Implement data processing techniques to gather necessary information for critiquing an organizational environment', '', 0.7275, 'Msci ' , '261x' , 'TestCourse' , 'Pirnia' , 'Mehrdad' , 'Spring ' , 2016 , '2A' , 'Option') ,</t>
  </si>
  <si>
    <t>(769635714, 'Investigation', 'Implement data processing techniques to gather necessary information for critiquing an organizational environment', '', 0.82, 'Msci ' , '261x' , 'TestCourse' , 'Pirnia' , 'Mehrdad' , 'Spring ' , 2016 , '2A' , 'Option') ,</t>
  </si>
  <si>
    <t>(373048949, 'Investigation', 'Implement data processing techniques to gather necessary information for critiquing an organizational environment', '', 0.675, 'Msci ' , '261x' , 'TestCourse' , 'Pirnia' , 'Mehrdad' , 'Spring ' , 2016 , '2A' , 'Option') ,</t>
  </si>
  <si>
    <t>(357061292, 'Investigation', 'Implement data processing techniques to gather necessary information for critiquing an organizational environment', '', 0.2, 'Msci ' , '261x' , 'TestCourse' , 'Pirnia' , 'Mehrdad' , 'Spring ' , 2016 , '2A' , 'Option') ,</t>
  </si>
  <si>
    <t>(837310284, 'Investigation', 'Implement data processing techniques to gather necessary information for critiquing an organizational environment', '', 0.4275, 'Msci ' , '261x' , 'TestCourse' , 'Pirnia' , 'Mehrdad' , 'Spring ' , 2016 , '2A' , 'Option') ,</t>
  </si>
  <si>
    <t>(815854164, 'Investigation', 'Implement data processing techniques to gather necessary information for critiquing an organizational environment', '', 0.8225, 'Msci ' , '261x' , 'TestCourse' , 'Pirnia' , 'Mehrdad' , 'Spring ' , 2016 , '2A' , 'Option') ,</t>
  </si>
  <si>
    <t>(315378369, 'Investigation', 'Implement data processing techniques to gather necessary information for critiquing an organizational environment', '', 0.18, 'Msci ' , '261x' , 'TestCourse' , 'Pirnia' , 'Mehrdad' , 'Spring ' , 2016 , '2A' , 'Option') ,</t>
  </si>
  <si>
    <t>(564410540, 'Investigation', 'Implement data processing techniques to gather necessary information for critiquing an organizational environment', '', 0.3375, 'Msci ' , '261x' , 'TestCourse' , 'Pirnia' , 'Mehrdad' , 'Spring ' , 2016 , '2A' , 'Option') ,</t>
  </si>
  <si>
    <t>(126539887, 'Investigation', 'Implement data processing techniques to gather necessary information for critiquing an organizational environment', '', 0.2075, 'Msci ' , '261x' , 'TestCourse' , 'Pirnia' , 'Mehrdad' , 'Spring ' , 2016 , '2A' , 'Option') ,</t>
  </si>
  <si>
    <t>(563937624, 'Investigation', 'Implement data processing techniques to gather necessary information for critiquing an organizational environment', '', 0.0875, 'Msci ' , '261x' , 'TestCourse' , 'Pirnia' , 'Mehrdad' , 'Spring ' , 2016 , '2A' , 'Option') ,</t>
  </si>
  <si>
    <t>(684291511, 'Investigation', 'Implement data processing techniques to gather necessary information for critiquing an organizational environment', '', 0.4075, 'Msci ' , '261x' , 'TestCourse' , 'Pirnia' , 'Mehrdad' , 'Spring ' , 2016 , '2A' , 'Option') ,</t>
  </si>
  <si>
    <t>(598829620, 'Investigation', 'Recognize and address uncertainty', '', 0.275, 'Msci ' , '261x' , 'TestCourse' , 'Pirnia' , 'Mehrdad' , 'Spring ' , 2016 , '2A' , 'Option') ,</t>
  </si>
  <si>
    <t>(684014860, 'Investigation', 'Recognize and address uncertainty', '', 0.421666666666667, 'Msci ' , '261x' , 'TestCourse' , 'Pirnia' , 'Mehrdad' , 'Spring ' , 2016 , '2A' , 'Option') ,</t>
  </si>
  <si>
    <t>(843228181, 'Investigation', 'Recognize and address uncertainty', '', 0.458333333333333, 'Msci ' , '261x' , 'TestCourse' , 'Pirnia' , 'Mehrdad' , 'Spring ' , 2016 , '2A' , 'Option') ,</t>
  </si>
  <si>
    <t>(820549378, 'Investigation', 'Recognize and address uncertainty', '', 0.375, 'Msci ' , '261x' , 'TestCourse' , 'Pirnia' , 'Mehrdad' , 'Spring ' , 2016 , '2A' , 'Option') ,</t>
  </si>
  <si>
    <t>(533572169, 'Investigation', 'Recognize and address uncertainty', '', 0.41, 'Msci ' , '261x' , 'TestCourse' , 'Pirnia' , 'Mehrdad' , 'Spring ' , 2016 , '2A' , 'Option') ,</t>
  </si>
  <si>
    <t>(975325712, 'Investigation', 'Recognize and address uncertainty', '', 0.491666666666667, 'Msci ' , '261x' , 'TestCourse' , 'Pirnia' , 'Mehrdad' , 'Spring ' , 2016 , '2A' , 'Option') ,</t>
  </si>
  <si>
    <t>(310082419, 'Investigation', 'Recognize and address uncertainty', '', 0.275, 'Msci ' , '261x' , 'TestCourse' , 'Pirnia' , 'Mehrdad' , 'Spring ' , 2016 , '2A' , 'Option') ,</t>
  </si>
  <si>
    <t>(242132470, 'Investigation', 'Recognize and address uncertainty', '', 0.481666666666667, 'Msci ' , '261x' , 'TestCourse' , 'Pirnia' , 'Mehrdad' , 'Spring ' , 2016 , '2A' , 'Option') ,</t>
  </si>
  <si>
    <t>(208248363, 'Investigation', 'Recognize and address uncertainty', '', 0.516666666666667, 'Msci ' , '261x' , 'TestCourse' , 'Pirnia' , 'Mehrdad' , 'Spring ' , 2016 , '2A' , 'Option') ,</t>
  </si>
  <si>
    <t>(277055951, 'Investigation', 'Recognize and address uncertainty', '', 0.346666666666667, 'Msci ' , '261x' , 'TestCourse' , 'Pirnia' , 'Mehrdad' , 'Spring ' , 2016 , '2A' , 'Option') ,</t>
  </si>
  <si>
    <t>(902907559, 'Investigation', 'Recognize and address uncertainty', '', 0.46, 'Msci ' , '261x' , 'TestCourse' , 'Pirnia' , 'Mehrdad' , 'Spring ' , 2016 , '2A' , 'Option') ,</t>
  </si>
  <si>
    <t>(528297980, 'Investigation', 'Recognize and address uncertainty', '', 0.663333333333333, 'Msci ' , '261x' , 'TestCourse' , 'Pirnia' , 'Mehrdad' , 'Spring ' , 2016 , '2A' , 'Option') ,</t>
  </si>
  <si>
    <t>(444882790, 'Investigation', 'Recognize and address uncertainty', '', 0.248333333333333, 'Msci ' , '261x' , 'TestCourse' , 'Pirnia' , 'Mehrdad' , 'Spring ' , 2016 , '2A' , 'Option') ,</t>
  </si>
  <si>
    <t>(112085131, 'Investigation', 'Recognize and address uncertainty', '', 0.285, 'Msci ' , '261x' , 'TestCourse' , 'Pirnia' , 'Mehrdad' , 'Spring ' , 2016 , '2A' , 'Option') ,</t>
  </si>
  <si>
    <t>(588642518, 'Investigation', 'Recognize and address uncertainty', '', 0.585, 'Msci ' , '261x' , 'TestCourse' , 'Pirnia' , 'Mehrdad' , 'Spring ' , 2016 , '2A' , 'Option') ,</t>
  </si>
  <si>
    <t>(414520736, 'Investigation', 'Recognize and address uncertainty', '', 0.59, 'Msci ' , '261x' , 'TestCourse' , 'Pirnia' , 'Mehrdad' , 'Spring ' , 2016 , '2A' , 'Option') ,</t>
  </si>
  <si>
    <t>(356558346, 'Investigation', 'Recognize and address uncertainty', '', 0.383333333333333, 'Msci ' , '261x' , 'TestCourse' , 'Pirnia' , 'Mehrdad' , 'Spring ' , 2016 , '2A' , 'Option') ,</t>
  </si>
  <si>
    <t>(970698993, 'Investigation', 'Recognize and address uncertainty', '', 0.501666666666667, 'Msci ' , '261x' , 'TestCourse' , 'Pirnia' , 'Mehrdad' , 'Spring ' , 2016 , '2A' , 'Option') ,</t>
  </si>
  <si>
    <t>(633537205, 'Investigation', 'Recognize and address uncertainty', '', 0.278333333333333, 'Msci ' , '261x' , 'TestCourse' , 'Pirnia' , 'Mehrdad' , 'Spring ' , 2016 , '2A' , 'Option') ,</t>
  </si>
  <si>
    <t>(534292868, 'Investigation', 'Recognize and address uncertainty', '', 0.43, 'Msci ' , '261x' , 'TestCourse' , 'Pirnia' , 'Mehrdad' , 'Spring ' , 2016 , '2A' , 'Option') ,</t>
  </si>
  <si>
    <t>(816787809, 'Investigation', 'Recognize and address uncertainty', '', 0.566666666666667, 'Msci ' , '261x' , 'TestCourse' , 'Pirnia' , 'Mehrdad' , 'Spring ' , 2016 , '2A' , 'Option') ,</t>
  </si>
  <si>
    <t>(220052551, 'Investigation', 'Recognize and address uncertainty', '', 0.56, 'Msci ' , '261x' , 'TestCourse' , 'Pirnia' , 'Mehrdad' , 'Spring ' , 2016 , '2A' , 'Option') ,</t>
  </si>
  <si>
    <t>(858571733, 'Investigation', 'Recognize and address uncertainty', '', 0.266666666666667, 'Msci ' , '261x' , 'TestCourse' , 'Pirnia' , 'Mehrdad' , 'Spring ' , 2016 , '2A' , 'Option') ,</t>
  </si>
  <si>
    <t>(363436152, 'Investigation', 'Recognize and address uncertainty', '', 0.448333333333333, 'Msci ' , '261x' , 'TestCourse' , 'Pirnia' , 'Mehrdad' , 'Spring ' , 2016 , '2A' , 'Option') ,</t>
  </si>
  <si>
    <t>(393495083, 'Investigation', 'Recognize and address uncertainty', '', 0.52, 'Msci ' , '261x' , 'TestCourse' , 'Pirnia' , 'Mehrdad' , 'Spring ' , 2016 , '2A' , 'Option') ,</t>
  </si>
  <si>
    <t>(769635714, 'Investigation', 'Recognize and address uncertainty', '', 0.688333333333333, 'Msci ' , '261x' , 'TestCourse' , 'Pirnia' , 'Mehrdad' , 'Spring ' , 2016 , '2A' , 'Option') ,</t>
  </si>
  <si>
    <t>(373048949, 'Investigation', 'Recognize and address uncertainty', '', 0.571666666666667, 'Msci ' , '261x' , 'TestCourse' , 'Pirnia' , 'Mehrdad' , 'Spring ' , 2016 , '2A' , 'Option') ,</t>
  </si>
  <si>
    <t>(357061292, 'Investigation', 'Recognize and address uncertainty', '', 0.426666666666667, 'Msci ' , '261x' , 'TestCourse' , 'Pirnia' , 'Mehrdad' , 'Spring ' , 2016 , '2A' , 'Option') ,</t>
  </si>
  <si>
    <t>(837310284, 'Investigation', 'Recognize and address uncertainty', '', 0.413333333333333, 'Msci ' , '261x' , 'TestCourse' , 'Pirnia' , 'Mehrdad' , 'Spring ' , 2016 , '2A' , 'Option') ,</t>
  </si>
  <si>
    <t>(815854164, 'Investigation', 'Recognize and address uncertainty', '', 0.59, 'Msci ' , '261x' , 'TestCourse' , 'Pirnia' , 'Mehrdad' , 'Spring ' , 2016 , '2A' , 'Option') ,</t>
  </si>
  <si>
    <t>(315378369, 'Investigation', 'Recognize and address uncertainty', '', 0.261666666666667, 'Msci ' , '261x' , 'TestCourse' , 'Pirnia' , 'Mehrdad' , 'Spring ' , 2016 , '2A' , 'Option') ,</t>
  </si>
  <si>
    <t>(564410540, 'Investigation', 'Recognize and address uncertainty', '', 0.516666666666667, 'Msci ' , '261x' , 'TestCourse' , 'Pirnia' , 'Mehrdad' , 'Spring ' , 2016 , '2A' , 'Option') ,</t>
  </si>
  <si>
    <t>(126539887, 'Investigation', 'Recognize and address uncertainty', '', 0.503333333333333, 'Msci ' , '261x' , 'TestCourse' , 'Pirnia' , 'Mehrdad' , 'Spring ' , 2016 , '2A' , 'Option') ,</t>
  </si>
  <si>
    <t>(563937624, 'Investigation', 'Recognize and address uncertainty', '', 0.361666666666667, 'Msci ' , '261x' , 'TestCourse' , 'Pirnia' , 'Mehrdad' , 'Spring ' , 2016 , '2A' , 'Option') ,</t>
  </si>
  <si>
    <t>(684291511, 'Investigation', 'Recognize and address uncertainty', '', 0.583333333333333, 'Msci ' , '261x' , 'TestCourse' , 'Pirnia' , 'Mehrdad' , 'Spring ' , 2016 , '2A' , 'Option') ,</t>
  </si>
  <si>
    <t>(598829620, 'Investigation', 'Diagnose search quality problems and suggest areas of engine improvement for future experiments', '', 0.466666666666667, 'Msci ' , '261x' , 'TestCourse' , 'Pirnia' , 'Mehrdad' , 'Spring ' , 2016 , '2A' , 'Option') ,</t>
  </si>
  <si>
    <t>(684014860, 'Investigation', 'Diagnose search quality problems and suggest areas of engine improvement for future experiments', '', 0.64, 'Msci ' , '261x' , 'TestCourse' , 'Pirnia' , 'Mehrdad' , 'Spring ' , 2016 , '2A' , 'Option') ,</t>
  </si>
  <si>
    <t>(843228181, 'Investigation', 'Diagnose search quality problems and suggest areas of engine improvement for future experiments', '', 0.613333333333333, 'Msci ' , '261x' , 'TestCourse' , 'Pirnia' , 'Mehrdad' , 'Spring ' , 2016 , '2A' , 'Option') ,</t>
  </si>
  <si>
    <t>(820549378, 'Investigation', 'Diagnose search quality problems and suggest areas of engine improvement for future experiments', '', 0.44, 'Msci ' , '261x' , 'TestCourse' , 'Pirnia' , 'Mehrdad' , 'Spring ' , 2016 , '2A' , 'Option') ,</t>
  </si>
  <si>
    <t>(533572169, 'Investigation', 'Diagnose search quality problems and suggest areas of engine improvement for future experiments', '', 0.0266666666666667, 'Msci ' , '261x' , 'TestCourse' , 'Pirnia' , 'Mehrdad' , 'Spring ' , 2016 , '2A' , 'Option') ,</t>
  </si>
  <si>
    <t>(975325712, 'Investigation', 'Diagnose search quality problems and suggest areas of engine improvement for future experiments', '', 0.373333333333333, 'Msci ' , '261x' , 'TestCourse' , 'Pirnia' , 'Mehrdad' , 'Spring ' , 2016 , '2A' , 'Option') ,</t>
  </si>
  <si>
    <t>(310082419, 'Investigation', 'Diagnose search quality problems and suggest areas of engine improvement for future experiments', '', 0.346666666666667, 'Msci ' , '261x' , 'TestCourse' , 'Pirnia' , 'Mehrdad' , 'Spring ' , 2016 , '2A' , 'Option') ,</t>
  </si>
  <si>
    <t>(242132470, 'Investigation', 'Diagnose search quality problems and suggest areas of engine improvement for future experiments', '', 0.373333333333333, 'Msci ' , '261x' , 'TestCourse' , 'Pirnia' , 'Mehrdad' , 'Spring ' , 2016 , '2A' , 'Option') ,</t>
  </si>
  <si>
    <t>(208248363, 'Investigation', 'Diagnose search quality problems and suggest areas of engine improvement for future experiments', '', 0.533333333333333, 'Msci ' , '261x' , 'TestCourse' , 'Pirnia' , 'Mehrdad' , 'Spring ' , 2016 , '2A' , 'Option') ,</t>
  </si>
  <si>
    <t>(277055951, 'Investigation', 'Diagnose search quality problems and suggest areas of engine improvement for future experiments', '', 0.133333333333333, 'Msci ' , '261x' , 'TestCourse' , 'Pirnia' , 'Mehrdad' , 'Spring ' , 2016 , '2A' , 'Option') ,</t>
  </si>
  <si>
    <t>(902907559, 'Investigation', 'Diagnose search quality problems and suggest areas of engine improvement for future experiments', '', 0.413333333333333, 'Msci ' , '261x' , 'TestCourse' , 'Pirnia' , 'Mehrdad' , 'Spring ' , 2016 , '2A' , 'Option') ,</t>
  </si>
  <si>
    <t>(528297980, 'Investigation', 'Diagnose search quality problems and suggest areas of engine improvement for future experiments', '', 0.613333333333333, 'Msci ' , '261x' , 'TestCourse' , 'Pirnia' , 'Mehrdad' , 'Spring ' , 2016 , '2A' , 'Option') ,</t>
  </si>
  <si>
    <t>(444882790, 'Investigation', 'Diagnose search quality problems and suggest areas of engine improvement for future experiments', '', 0.36, 'Msci ' , '261x' , 'TestCourse' , 'Pirnia' , 'Mehrdad' , 'Spring ' , 2016 , '2A' , 'Option') ,</t>
  </si>
  <si>
    <t>(112085131, 'Investigation', 'Diagnose search quality problems and suggest areas of engine improvement for future experiments', '', 0.12, 'Msci ' , '261x' , 'TestCourse' , 'Pirnia' , 'Mehrdad' , 'Spring ' , 2016 , '2A' , 'Option') ,</t>
  </si>
  <si>
    <t>(588642518, 'Investigation', 'Diagnose search quality problems and suggest areas of engine improvement for future experiments', '', 0.453333333333333, 'Msci ' , '261x' , 'TestCourse' , 'Pirnia' , 'Mehrdad' , 'Spring ' , 2016 , '2A' , 'Option') ,</t>
  </si>
  <si>
    <t>(414520736, 'Investigation', 'Diagnose search quality problems and suggest areas of engine improvement for future experiments', '', 0.16, 'Msci ' , '261x' , 'TestCourse' , 'Pirnia' , 'Mehrdad' , 'Spring ' , 2016 , '2A' , 'Option') ,</t>
  </si>
  <si>
    <t>(356558346, 'Investigation', 'Diagnose search quality problems and suggest areas of engine improvement for future experiments', '', 0.226666666666667, 'Msci ' , '261x' , 'TestCourse' , 'Pirnia' , 'Mehrdad' , 'Spring ' , 2016 , '2A' , 'Option') ,</t>
  </si>
  <si>
    <t>(970698993, 'Investigation', 'Diagnose search quality problems and suggest areas of engine improvement for future experiments', '', 0.186666666666667, 'Msci ' , '261x' , 'TestCourse' , 'Pirnia' , 'Mehrdad' , 'Spring ' , 2016 , '2A' , 'Option') ,</t>
  </si>
  <si>
    <t>(633537205, 'Investigation', 'Diagnose search quality problems and suggest areas of engine improvement for future experiments', '', 0.133333333333333, 'Msci ' , '261x' , 'TestCourse' , 'Pirnia' , 'Mehrdad' , 'Spring ' , 2016 , '2A' , 'Option') ,</t>
  </si>
  <si>
    <t>(534292868, 'Investigation', 'Diagnose search quality problems and suggest areas of engine improvement for future experiments', '', 0.186666666666667, 'Msci ' , '261x' , 'TestCourse' , 'Pirnia' , 'Mehrdad' , 'Spring ' , 2016 , '2A' , 'Option') ,</t>
  </si>
  <si>
    <t>(816787809, 'Investigation', 'Diagnose search quality problems and suggest areas of engine improvement for future experiments', '', 0.76, 'Msci ' , '261x' , 'TestCourse' , 'Pirnia' , 'Mehrdad' , 'Spring ' , 2016 , '2A' , 'Option') ,</t>
  </si>
  <si>
    <t>(220052551, 'Investigation', 'Diagnose search quality problems and suggest areas of engine improvement for future experiments', '', 0.293333333333333, 'Msci ' , '261x' , 'TestCourse' , 'Pirnia' , 'Mehrdad' , 'Spring ' , 2016 , '2A' , 'Option') ,</t>
  </si>
  <si>
    <t>(858571733, 'Investigation', 'Diagnose search quality problems and suggest areas of engine improvement for future experiments', '', 0.173333333333333, 'Msci ' , '261x' , 'TestCourse' , 'Pirnia' , 'Mehrdad' , 'Spring ' , 2016 , '2A' , 'Option') ,</t>
  </si>
  <si>
    <t>(363436152, 'Investigation', 'Diagnose search quality problems and suggest areas of engine improvement for future experiments', '', 0.44, 'Msci ' , '261x' , 'TestCourse' , 'Pirnia' , 'Mehrdad' , 'Spring ' , 2016 , '2A' , 'Option') ,</t>
  </si>
  <si>
    <t>(393495083, 'Investigation', 'Diagnose search quality problems and suggest areas of engine improvement for future experiments', '', 0.186666666666667, 'Msci ' , '261x' , 'TestCourse' , 'Pirnia' , 'Mehrdad' , 'Spring ' , 2016 , '2A' , 'Option') ,</t>
  </si>
  <si>
    <t>(769635714, 'Investigation', 'Diagnose search quality problems and suggest areas of engine improvement for future experiments', '', 0.56, 'Msci ' , '261x' , 'TestCourse' , 'Pirnia' , 'Mehrdad' , 'Spring ' , 2016 , '2A' , 'Option') ,</t>
  </si>
  <si>
    <t>(373048949, 'Investigation', 'Diagnose search quality problems and suggest areas of engine improvement for future experiments', '', 0.333333333333333, 'Msci ' , '261x' , 'TestCourse' , 'Pirnia' , 'Mehrdad' , 'Spring ' , 2016 , '2A' , 'Option') ,</t>
  </si>
  <si>
    <t>(357061292, 'Investigation', 'Diagnose search quality problems and suggest areas of engine improvement for future experiments', '', 0.666666666666667, 'Msci ' , '261x' , 'TestCourse' , 'Pirnia' , 'Mehrdad' , 'Spring ' , 2016 , '2A' , 'Option') ,</t>
  </si>
  <si>
    <t>(837310284, 'Investigation', 'Diagnose search quality problems and suggest areas of engine improvement for future experiments', '', 0.24, 'Msci ' , '261x' , 'TestCourse' , 'Pirnia' , 'Mehrdad' , 'Spring ' , 2016 , '2A' , 'Option') ,</t>
  </si>
  <si>
    <t>(815854164, 'Investigation', 'Diagnose search quality problems and suggest areas of engine improvement for future experiments', '', 0.413333333333333, 'Msci ' , '261x' , 'TestCourse' , 'Pirnia' , 'Mehrdad' , 'Spring ' , 2016 , '2A' , 'Option') ,</t>
  </si>
  <si>
    <t>(315378369, 'Investigation', 'Diagnose search quality problems and suggest areas of engine improvement for future experiments', '', 0.373333333333333, 'Msci ' , '261x' , 'TestCourse' , 'Pirnia' , 'Mehrdad' , 'Spring ' , 2016 , '2A' , 'Option') ,</t>
  </si>
  <si>
    <t>(564410540, 'Investigation', 'Diagnose search quality problems and suggest areas of engine improvement for future experiments', '', 0.613333333333333, 'Msci ' , '261x' , 'TestCourse' , 'Pirnia' , 'Mehrdad' , 'Spring ' , 2016 , '2A' , 'Option') ,</t>
  </si>
  <si>
    <t>(126539887, 'Investigation', 'Diagnose search quality problems and suggest areas of engine improvement for future experiments', '', 0.613333333333333, 'Msci ' , '261x' , 'TestCourse' , 'Pirnia' , 'Mehrdad' , 'Spring ' , 2016 , '2A' , 'Option') ,</t>
  </si>
  <si>
    <t>(563937624, 'Investigation', 'Diagnose search quality problems and suggest areas of engine improvement for future experiments', '', 0.4, 'Msci ' , '261x' , 'TestCourse' , 'Pirnia' , 'Mehrdad' , 'Spring ' , 2016 , '2A' , 'Option') ,</t>
  </si>
  <si>
    <t>(684291511, 'Investigation', 'Diagnose search quality problems and suggest areas of engine improvement for future experiments', '', 0.48, 'Msci ' , '261x' , 'TestCourse' , 'Pirnia' , 'Mehrdad' , 'Spring ' , 2016 , '2A' , 'Option') ,</t>
  </si>
  <si>
    <t>(598829620, 'Design', 'Apply analytical techniques to design and improve methods and processes', '', 0.4, 'Msci ' , '261x' , 'TestCourse' , 'Pirnia' , 'Mehrdad' , 'Spring ' , 2016 , '2A' , 'Option') ,</t>
  </si>
  <si>
    <t>(684014860, 'Design', 'Apply analytical techniques to design and improve methods and processes', '', 0.56, 'Msci ' , '261x' , 'TestCourse' , 'Pirnia' , 'Mehrdad' , 'Spring ' , 2016 , '2A' , 'Option') ,</t>
  </si>
  <si>
    <t>(843228181, 'Design', 'Apply analytical techniques to design and improve methods and processes', '', 0.42, 'Msci ' , '261x' , 'TestCourse' , 'Pirnia' , 'Mehrdad' , 'Spring ' , 2016 , '2A' , 'Option') ,</t>
  </si>
  <si>
    <t>(820549378, 'Design', 'Apply analytical techniques to design and improve methods and processes', '', 0.26, 'Msci ' , '261x' , 'TestCourse' , 'Pirnia' , 'Mehrdad' , 'Spring ' , 2016 , '2A' , 'Option') ,</t>
  </si>
  <si>
    <t>(533572169, 'Design', 'Apply analytical techniques to design and improve methods and processes', '', 0.04, 'Msci ' , '261x' , 'TestCourse' , 'Pirnia' , 'Mehrdad' , 'Spring ' , 2016 , '2A' , 'Option') ,</t>
  </si>
  <si>
    <t>(975325712, 'Design', 'Apply analytical techniques to design and improve methods and processes', '', 0.36, 'Msci ' , '261x' , 'TestCourse' , 'Pirnia' , 'Mehrdad' , 'Spring ' , 2016 , '2A' , 'Option') ,</t>
  </si>
  <si>
    <t>(310082419, 'Design', 'Apply analytical techniques to design and improve methods and processes', '', 0.22, 'Msci ' , '261x' , 'TestCourse' , 'Pirnia' , 'Mehrdad' , 'Spring ' , 2016 , '2A' , 'Option') ,</t>
  </si>
  <si>
    <t>(242132470, 'Design', 'Apply analytical techniques to design and improve methods and processes', '', 0.56, 'Msci ' , '261x' , 'TestCourse' , 'Pirnia' , 'Mehrdad' , 'Spring ' , 2016 , '2A' , 'Option') ,</t>
  </si>
  <si>
    <t>(208248363, 'Design', 'Apply analytical techniques to design and improve methods and processes', '', 0.4, 'Msci ' , '261x' , 'TestCourse' , 'Pirnia' , 'Mehrdad' , 'Spring ' , 2016 , '2A' , 'Option') ,</t>
  </si>
  <si>
    <t>(277055951, 'Design', 'Apply analytical techniques to design and improve methods and processes', '', 0, 'Msci ' , '261x' , 'TestCourse' , 'Pirnia' , 'Mehrdad' , 'Spring ' , 2016 , '2A' , 'Option') ,</t>
  </si>
  <si>
    <t>(902907559, 'Design', 'Apply analytical techniques to design and improve methods and processes', '', 0.12, 'Msci ' , '261x' , 'TestCourse' , 'Pirnia' , 'Mehrdad' , 'Spring ' , 2016 , '2A' , 'Option') ,</t>
  </si>
  <si>
    <t>(528297980, 'Design', 'Apply analytical techniques to design and improve methods and processes', '', 0.62, 'Msci ' , '261x' , 'TestCourse' , 'Pirnia' , 'Mehrdad' , 'Spring ' , 2016 , '2A' , 'Option') ,</t>
  </si>
  <si>
    <t>(444882790, 'Design', 'Apply analytical techniques to design and improve methods and processes', '', 0.14, 'Msci ' , '261x' , 'TestCourse' , 'Pirnia' , 'Mehrdad' , 'Spring ' , 2016 , '2A' , 'Option') ,</t>
  </si>
  <si>
    <t>(112085131, 'Design', 'Apply analytical techniques to design and improve methods and processes', '', 0.18, 'Msci ' , '261x' , 'TestCourse' , 'Pirnia' , 'Mehrdad' , 'Spring ' , 2016 , '2A' , 'Option') ,</t>
  </si>
  <si>
    <t>(588642518, 'Design', 'Apply analytical techniques to design and improve methods and processes', '', 0.68, 'Msci ' , '261x' , 'TestCourse' , 'Pirnia' , 'Mehrdad' , 'Spring ' , 2016 , '2A' , 'Option') ,</t>
  </si>
  <si>
    <t>(414520736, 'Design', 'Apply analytical techniques to design and improve methods and processes', '', 0.14, 'Msci ' , '261x' , 'TestCourse' , 'Pirnia' , 'Mehrdad' , 'Spring ' , 2016 , '2A' , 'Option') ,</t>
  </si>
  <si>
    <t>(356558346, 'Design', 'Apply analytical techniques to design and improve methods and processes', '', 0.04, 'Msci ' , '261x' , 'TestCourse' , 'Pirnia' , 'Mehrdad' , 'Spring ' , 2016 , '2A' , 'Option') ,</t>
  </si>
  <si>
    <t>(970698993, 'Design', 'Apply analytical techniques to design and improve methods and processes', '', 0.08, 'Msci ' , '261x' , 'TestCourse' , 'Pirnia' , 'Mehrdad' , 'Spring ' , 2016 , '2A' , 'Option') ,</t>
  </si>
  <si>
    <t>(633537205, 'Design', 'Apply analytical techniques to design and improve methods and processes', '', 0.1, 'Msci ' , '261x' , 'TestCourse' , 'Pirnia' , 'Mehrdad' , 'Spring ' , 2016 , '2A' , 'Option') ,</t>
  </si>
  <si>
    <t>(534292868, 'Design', 'Apply analytical techniques to design and improve methods and processes', '', 0.08, 'Msci ' , '261x' , 'TestCourse' , 'Pirnia' , 'Mehrdad' , 'Spring ' , 2016 , '2A' , 'Option') ,</t>
  </si>
  <si>
    <t>(816787809, 'Design', 'Apply analytical techniques to design and improve methods and processes', '', 0.64, 'Msci ' , '261x' , 'TestCourse' , 'Pirnia' , 'Mehrdad' , 'Spring ' , 2016 , '2A' , 'Option') ,</t>
  </si>
  <si>
    <t>(220052551, 'Design', 'Apply analytical techniques to design and improve methods and processes', '', 0.14, 'Msci ' , '261x' , 'TestCourse' , 'Pirnia' , 'Mehrdad' , 'Spring ' , 2016 , '2A' , 'Option') ,</t>
  </si>
  <si>
    <t>(858571733, 'Design', 'Apply analytical techniques to design and improve methods and processes', '', 0.16, 'Msci ' , '261x' , 'TestCourse' , 'Pirnia' , 'Mehrdad' , 'Spring ' , 2016 , '2A' , 'Option') ,</t>
  </si>
  <si>
    <t>(363436152, 'Design', 'Apply analytical techniques to design and improve methods and processes', '', 0.46, 'Msci ' , '261x' , 'TestCourse' , 'Pirnia' , 'Mehrdad' , 'Spring ' , 2016 , '2A' , 'Option') ,</t>
  </si>
  <si>
    <t>(393495083, 'Design', 'Apply analytical techniques to design and improve methods and processes', '', 0.18, 'Msci ' , '261x' , 'TestCourse' , 'Pirnia' , 'Mehrdad' , 'Spring ' , 2016 , '2A' , 'Option') ,</t>
  </si>
  <si>
    <t>(769635714, 'Design', 'Apply analytical techniques to design and improve methods and processes', '', 0.64, 'Msci ' , '261x' , 'TestCourse' , 'Pirnia' , 'Mehrdad' , 'Spring ' , 2016 , '2A' , 'Option') ,</t>
  </si>
  <si>
    <t>(373048949, 'Design', 'Apply analytical techniques to design and improve methods and processes', '', 0.3, 'Msci ' , '261x' , 'TestCourse' , 'Pirnia' , 'Mehrdad' , 'Spring ' , 2016 , '2A' , 'Option') ,</t>
  </si>
  <si>
    <t>(357061292, 'Design', 'Apply analytical techniques to design and improve methods and processes', '', 0.5, 'Msci ' , '261x' , 'TestCourse' , 'Pirnia' , 'Mehrdad' , 'Spring ' , 2016 , '2A' , 'Option') ,</t>
  </si>
  <si>
    <t>(837310284, 'Design', 'Apply analytical techniques to design and improve methods and processes', '', 0.36, 'Msci ' , '261x' , 'TestCourse' , 'Pirnia' , 'Mehrdad' , 'Spring ' , 2016 , '2A' , 'Option') ,</t>
  </si>
  <si>
    <t>(815854164, 'Design', 'Apply analytical techniques to design and improve methods and processes', '', 0.62, 'Msci ' , '261x' , 'TestCourse' , 'Pirnia' , 'Mehrdad' , 'Spring ' , 2016 , '2A' , 'Option') ,</t>
  </si>
  <si>
    <t>(315378369, 'Design', 'Apply analytical techniques to design and improve methods and processes', '', 0.36, 'Msci ' , '261x' , 'TestCourse' , 'Pirnia' , 'Mehrdad' , 'Spring ' , 2016 , '2A' , 'Option') ,</t>
  </si>
  <si>
    <t>(564410540, 'Design', 'Apply analytical techniques to design and improve methods and processes', '', 0.72, 'Msci ' , '261x' , 'TestCourse' , 'Pirnia' , 'Mehrdad' , 'Spring ' , 2016 , '2A' , 'Option') ,</t>
  </si>
  <si>
    <t>(126539887, 'Design', 'Apply analytical techniques to design and improve methods and processes', '', 0.62, 'Msci ' , '261x' , 'TestCourse' , 'Pirnia' , 'Mehrdad' , 'Spring ' , 2016 , '2A' , 'Option') ,</t>
  </si>
  <si>
    <t>(563937624, 'Design', 'Apply analytical techniques to design and improve methods and processes', '', 0.2, 'Msci ' , '261x' , 'TestCourse' , 'Pirnia' , 'Mehrdad' , 'Spring ' , 2016 , '2A' , 'Option') ,</t>
  </si>
  <si>
    <t>(684291511, 'Design', 'Apply analytical techniques to design and improve methods and processes', '', 0.52, 'Msci ' , '261x' , 'TestCourse' , 'Pirnia' , 'Mehrdad' , 'Spring ' , 2016 , '2A' , 'Option') ,</t>
  </si>
  <si>
    <t>(598829620, 'Design', 'Design and conduct an experiment to test a proposed system change', '', 0.15, 'Msci ' , '261x' , 'TestCourse' , 'Pirnia' , 'Mehrdad' , 'Spring ' , 2016 , '2A' , 'Option') ,</t>
  </si>
  <si>
    <t>(684014860, 'Design', 'Design and conduct an experiment to test a proposed system change', '', 0.56, 'Msci ' , '261x' , 'TestCourse' , 'Pirnia' , 'Mehrdad' , 'Spring ' , 2016 , '2A' , 'Option') ,</t>
  </si>
  <si>
    <t>(843228181, 'Design', 'Design and conduct an experiment to test a proposed system change', '', 0.61, 'Msci ' , '261x' , 'TestCourse' , 'Pirnia' , 'Mehrdad' , 'Spring ' , 2016 , '2A' , 'Option') ,</t>
  </si>
  <si>
    <t>(820549378, 'Design', 'Design and conduct an experiment to test a proposed system change', '', 0.32, 'Msci ' , '261x' , 'TestCourse' , 'Pirnia' , 'Mehrdad' , 'Spring ' , 2016 , '2A' , 'Option') ,</t>
  </si>
  <si>
    <t>(533572169, 'Design', 'Design and conduct an experiment to test a proposed system change', '', 0.3, 'Msci ' , '261x' , 'TestCourse' , 'Pirnia' , 'Mehrdad' , 'Spring ' , 2016 , '2A' , 'Option') ,</t>
  </si>
  <si>
    <t>(975325712, 'Design', 'Design and conduct an experiment to test a proposed system change', '', 0.4, 'Msci ' , '261x' , 'TestCourse' , 'Pirnia' , 'Mehrdad' , 'Spring ' , 2016 , '2A' , 'Option') ,</t>
  </si>
  <si>
    <t>(310082419, 'Design', 'Design and conduct an experiment to test a proposed system change', '', 0.04, 'Msci ' , '261x' , 'TestCourse' , 'Pirnia' , 'Mehrdad' , 'Spring ' , 2016 , '2A' , 'Option') ,</t>
  </si>
  <si>
    <t>(242132470, 'Design', 'Design and conduct an experiment to test a proposed system change', '', 0.11, 'Msci ' , '261x' , 'TestCourse' , 'Pirnia' , 'Mehrdad' , 'Spring ' , 2016 , '2A' , 'Option') ,</t>
  </si>
  <si>
    <t>(208248363, 'Design', 'Design and conduct an experiment to test a proposed system change', '', 0.51, 'Msci ' , '261x' , 'TestCourse' , 'Pirnia' , 'Mehrdad' , 'Spring ' , 2016 , '2A' , 'Option') ,</t>
  </si>
  <si>
    <t>(277055951, 'Design', 'Design and conduct an experiment to test a proposed system change', '', 0.26, 'Msci ' , '261x' , 'TestCourse' , 'Pirnia' , 'Mehrdad' , 'Spring ' , 2016 , '2A' , 'Option') ,</t>
  </si>
  <si>
    <t>(902907559, 'Design', 'Design and conduct an experiment to test a proposed system change', '', 0.86, 'Msci ' , '261x' , 'TestCourse' , 'Pirnia' , 'Mehrdad' , 'Spring ' , 2016 , '2A' , 'Option') ,</t>
  </si>
  <si>
    <t>(528297980, 'Design', 'Design and conduct an experiment to test a proposed system change', '', 0.58, 'Msci ' , '261x' , 'TestCourse' , 'Pirnia' , 'Mehrdad' , 'Spring ' , 2016 , '2A' , 'Option') ,</t>
  </si>
  <si>
    <t>(444882790, 'Design', 'Design and conduct an experiment to test a proposed system change', '', 0.05, 'Msci ' , '261x' , 'TestCourse' , 'Pirnia' , 'Mehrdad' , 'Spring ' , 2016 , '2A' , 'Option') ,</t>
  </si>
  <si>
    <t>(112085131, 'Design', 'Design and conduct an experiment to test a proposed system change', '', 0.13, 'Msci ' , '261x' , 'TestCourse' , 'Pirnia' , 'Mehrdad' , 'Spring ' , 2016 , '2A' , 'Option') ,</t>
  </si>
  <si>
    <t>(588642518, 'Design', 'Design and conduct an experiment to test a proposed system change', '', 0.94, 'Msci ' , '261x' , 'TestCourse' , 'Pirnia' , 'Mehrdad' , 'Spring ' , 2016 , '2A' , 'Option') ,</t>
  </si>
  <si>
    <t>(414520736, 'Design', 'Design and conduct an experiment to test a proposed system change', '', 0.81, 'Msci ' , '261x' , 'TestCourse' , 'Pirnia' , 'Mehrdad' , 'Spring ' , 2016 , '2A' , 'Option') ,</t>
  </si>
  <si>
    <t>(356558346, 'Design', 'Design and conduct an experiment to test a proposed system change', '', 0.43, 'Msci ' , '261x' , 'TestCourse' , 'Pirnia' , 'Mehrdad' , 'Spring ' , 2016 , '2A' , 'Option') ,</t>
  </si>
  <si>
    <t>(970698993, 'Design', 'Design and conduct an experiment to test a proposed system change', '', 0.95, 'Msci ' , '261x' , 'TestCourse' , 'Pirnia' , 'Mehrdad' , 'Spring ' , 2016 , '2A' , 'Option') ,</t>
  </si>
  <si>
    <t>(633537205, 'Design', 'Design and conduct an experiment to test a proposed system change', '', 0.36, 'Msci ' , '261x' , 'TestCourse' , 'Pirnia' , 'Mehrdad' , 'Spring ' , 2016 , '2A' , 'Option') ,</t>
  </si>
  <si>
    <t>(534292868, 'Design', 'Design and conduct an experiment to test a proposed system change', '', 0.9, 'Msci ' , '261x' , 'TestCourse' , 'Pirnia' , 'Mehrdad' , 'Spring ' , 2016 , '2A' , 'Option') ,</t>
  </si>
  <si>
    <t>(816787809, 'Design', 'Design and conduct an experiment to test a proposed system change', '', 0.47, 'Msci ' , '261x' , 'TestCourse' , 'Pirnia' , 'Mehrdad' , 'Spring ' , 2016 , '2A' , 'Option') ,</t>
  </si>
  <si>
    <t>(220052551, 'Design', 'Design and conduct an experiment to test a proposed system change', '', 0.74, 'Msci ' , '261x' , 'TestCourse' , 'Pirnia' , 'Mehrdad' , 'Spring ' , 2016 , '2A' , 'Option') ,</t>
  </si>
  <si>
    <t>(858571733, 'Design', 'Design and conduct an experiment to test a proposed system change', '', 0.19, 'Msci ' , '261x' , 'TestCourse' , 'Pirnia' , 'Mehrdad' , 'Spring ' , 2016 , '2A' , 'Option') ,</t>
  </si>
  <si>
    <t>(363436152, 'Design', 'Design and conduct an experiment to test a proposed system change', '', 0.21, 'Msci ' , '261x' , 'TestCourse' , 'Pirnia' , 'Mehrdad' , 'Spring ' , 2016 , '2A' , 'Option') ,</t>
  </si>
  <si>
    <t>(393495083, 'Design', 'Design and conduct an experiment to test a proposed system change', '', 0.91, 'Msci ' , '261x' , 'TestCourse' , 'Pirnia' , 'Mehrdad' , 'Spring ' , 2016 , '2A' , 'Option') ,</t>
  </si>
  <si>
    <t>(769635714, 'Design', 'Design and conduct an experiment to test a proposed system change', '', 0.88, 'Msci ' , '261x' , 'TestCourse' , 'Pirnia' , 'Mehrdad' , 'Spring ' , 2016 , '2A' , 'Option') ,</t>
  </si>
  <si>
    <t>(373048949, 'Design', 'Design and conduct an experiment to test a proposed system change', '', 0.8, 'Msci ' , '261x' , 'TestCourse' , 'Pirnia' , 'Mehrdad' , 'Spring ' , 2016 , '2A' , 'Option') ,</t>
  </si>
  <si>
    <t>(357061292, 'Design', 'Design and conduct an experiment to test a proposed system change', '', 0.1, 'Msci ' , '261x' , 'TestCourse' , 'Pirnia' , 'Mehrdad' , 'Spring ' , 2016 , '2A' , 'Option') ,</t>
  </si>
  <si>
    <t>(837310284, 'Design', 'Design and conduct an experiment to test a proposed system change', '', 0.45, 'Msci ' , '261x' , 'TestCourse' , 'Pirnia' , 'Mehrdad' , 'Spring ' , 2016 , '2A' , 'Option') ,</t>
  </si>
  <si>
    <t>(815854164, 'Design', 'Design and conduct an experiment to test a proposed system change', '', 0.89, 'Msci ' , '261x' , 'TestCourse' , 'Pirnia' , 'Mehrdad' , 'Spring ' , 2016 , '2A' , 'Option') ,</t>
  </si>
  <si>
    <t>(315378369, 'Design', 'Design and conduct an experiment to test a proposed system change', '', 0.12, 'Msci ' , '261x' , 'TestCourse' , 'Pirnia' , 'Mehrdad' , 'Spring ' , 2016 , '2A' , 'Option') ,</t>
  </si>
  <si>
    <t>(564410540, 'Design', 'Design and conduct an experiment to test a proposed system change', '', 0.21, 'Msci ' , '261x' , 'TestCourse' , 'Pirnia' , 'Mehrdad' , 'Spring ' , 2016 , '2A' , 'Option') ,</t>
  </si>
  <si>
    <t>(126539887, 'Design', 'Design and conduct an experiment to test a proposed system change', '', 0.07, 'Msci ' , '261x' , 'TestCourse' , 'Pirnia' , 'Mehrdad' , 'Spring ' , 2016 , '2A' , 'Option') ,</t>
  </si>
  <si>
    <t>(563937624, 'Design', 'Design and conduct an experiment to test a proposed system change', '', 0.05, 'Msci ' , '261x' , 'TestCourse' , 'Pirnia' , 'Mehrdad' , 'Spring ' , 2016 , '2A' , 'Option') ,</t>
  </si>
  <si>
    <t>(684291511, 'Design', 'Design and conduct an experiment to test a proposed system change', '', 0.37, 'Msci ' , '261x' , 'TestCourse' , 'Pirnia' , 'Mehrdad' , 'Spring ' , 2016 , '2A' , 'Option') ,</t>
  </si>
  <si>
    <t>(598829620, 'Design', 'Generate a diverse set of candidate engineering design solutions', '', 0.15, 'Msci ' , '261x' , 'TestCourse' , 'Pirnia' , 'Mehrdad' , 'Spring ' , 2016 , '2A' , 'Option') ,</t>
  </si>
  <si>
    <t>(684014860, 'Design', 'Generate a diverse set of candidate engineering design solutions', '', 0.56, 'Msci ' , '261x' , 'TestCourse' , 'Pirnia' , 'Mehrdad' , 'Spring ' , 2016 , '2A' , 'Option') ,</t>
  </si>
  <si>
    <t>(843228181, 'Design', 'Generate a diverse set of candidate engineering design solutions', '', 0.61, 'Msci ' , '261x' , 'TestCourse' , 'Pirnia' , 'Mehrdad' , 'Spring ' , 2016 , '2A' , 'Option') ,</t>
  </si>
  <si>
    <t>(820549378, 'Design', 'Generate a diverse set of candidate engineering design solutions', '', 0.32, 'Msci ' , '261x' , 'TestCourse' , 'Pirnia' , 'Mehrdad' , 'Spring ' , 2016 , '2A' , 'Option') ,</t>
  </si>
  <si>
    <t>(533572169, 'Design', 'Generate a diverse set of candidate engineering design solutions', '', 0.3, 'Msci ' , '261x' , 'TestCourse' , 'Pirnia' , 'Mehrdad' , 'Spring ' , 2016 , '2A' , 'Option') ,</t>
  </si>
  <si>
    <t>(975325712, 'Design', 'Generate a diverse set of candidate engineering design solutions', '', 0.4, 'Msci ' , '261x' , 'TestCourse' , 'Pirnia' , 'Mehrdad' , 'Spring ' , 2016 , '2A' , 'Option') ,</t>
  </si>
  <si>
    <t>(310082419, 'Design', 'Generate a diverse set of candidate engineering design solutions', '', 0.04, 'Msci ' , '261x' , 'TestCourse' , 'Pirnia' , 'Mehrdad' , 'Spring ' , 2016 , '2A' , 'Option') ,</t>
  </si>
  <si>
    <t>(242132470, 'Design', 'Generate a diverse set of candidate engineering design solutions', '', 0.11, 'Msci ' , '261x' , 'TestCourse' , 'Pirnia' , 'Mehrdad' , 'Spring ' , 2016 , '2A' , 'Option') ,</t>
  </si>
  <si>
    <t>(208248363, 'Design', 'Generate a diverse set of candidate engineering design solutions', '', 0.51, 'Msci ' , '261x' , 'TestCourse' , 'Pirnia' , 'Mehrdad' , 'Spring ' , 2016 , '2A' , 'Option') ,</t>
  </si>
  <si>
    <t>(277055951, 'Design', 'Generate a diverse set of candidate engineering design solutions', '', 0.26, 'Msci ' , '261x' , 'TestCourse' , 'Pirnia' , 'Mehrdad' , 'Spring ' , 2016 , '2A' , 'Option') ,</t>
  </si>
  <si>
    <t>(902907559, 'Design', 'Generate a diverse set of candidate engineering design solutions', '', 0.86, 'Msci ' , '261x' , 'TestCourse' , 'Pirnia' , 'Mehrdad' , 'Spring ' , 2016 , '2A' , 'Option') ,</t>
  </si>
  <si>
    <t>(528297980, 'Design', 'Generate a diverse set of candidate engineering design solutions', '', 0.58, 'Msci ' , '261x' , 'TestCourse' , 'Pirnia' , 'Mehrdad' , 'Spring ' , 2016 , '2A' , 'Option') ,</t>
  </si>
  <si>
    <t>(444882790, 'Design', 'Generate a diverse set of candidate engineering design solutions', '', 0.05, 'Msci ' , '261x' , 'TestCourse' , 'Pirnia' , 'Mehrdad' , 'Spring ' , 2016 , '2A' , 'Option') ,</t>
  </si>
  <si>
    <t>(112085131, 'Design', 'Generate a diverse set of candidate engineering design solutions', '', 0.13, 'Msci ' , '261x' , 'TestCourse' , 'Pirnia' , 'Mehrdad' , 'Spring ' , 2016 , '2A' , 'Option') ,</t>
  </si>
  <si>
    <t>(588642518, 'Design', 'Generate a diverse set of candidate engineering design solutions', '', 0.94, 'Msci ' , '261x' , 'TestCourse' , 'Pirnia' , 'Mehrdad' , 'Spring ' , 2016 , '2A' , 'Option') ,</t>
  </si>
  <si>
    <t>(414520736, 'Design', 'Generate a diverse set of candidate engineering design solutions', '', 0.81, 'Msci ' , '261x' , 'TestCourse' , 'Pirnia' , 'Mehrdad' , 'Spring ' , 2016 , '2A' , 'Option') ,</t>
  </si>
  <si>
    <t>(356558346, 'Design', 'Generate a diverse set of candidate engineering design solutions', '', 0.43, 'Msci ' , '261x' , 'TestCourse' , 'Pirnia' , 'Mehrdad' , 'Spring ' , 2016 , '2A' , 'Option') ,</t>
  </si>
  <si>
    <t>(970698993, 'Design', 'Generate a diverse set of candidate engineering design solutions', '', 0.95, 'Msci ' , '261x' , 'TestCourse' , 'Pirnia' , 'Mehrdad' , 'Spring ' , 2016 , '2A' , 'Option') ,</t>
  </si>
  <si>
    <t>(633537205, 'Design', 'Generate a diverse set of candidate engineering design solutions', '', 0.36, 'Msci ' , '261x' , 'TestCourse' , 'Pirnia' , 'Mehrdad' , 'Spring ' , 2016 , '2A' , 'Option') ,</t>
  </si>
  <si>
    <t>(534292868, 'Design', 'Generate a diverse set of candidate engineering design solutions', '', 0.9, 'Msci ' , '261x' , 'TestCourse' , 'Pirnia' , 'Mehrdad' , 'Spring ' , 2016 , '2A' , 'Option') ,</t>
  </si>
  <si>
    <t>(816787809, 'Design', 'Generate a diverse set of candidate engineering design solutions', '', 0.47, 'Msci ' , '261x' , 'TestCourse' , 'Pirnia' , 'Mehrdad' , 'Spring ' , 2016 , '2A' , 'Option') ,</t>
  </si>
  <si>
    <t>(220052551, 'Design', 'Generate a diverse set of candidate engineering design solutions', '', 0.74, 'Msci ' , '261x' , 'TestCourse' , 'Pirnia' , 'Mehrdad' , 'Spring ' , 2016 , '2A' , 'Option') ,</t>
  </si>
  <si>
    <t>(858571733, 'Design', 'Generate a diverse set of candidate engineering design solutions', '', 0.19, 'Msci ' , '261x' , 'TestCourse' , 'Pirnia' , 'Mehrdad' , 'Spring ' , 2016 , '2A' , 'Option') ,</t>
  </si>
  <si>
    <t>(363436152, 'Design', 'Generate a diverse set of candidate engineering design solutions', '', 0.21, 'Msci ' , '261x' , 'TestCourse' , 'Pirnia' , 'Mehrdad' , 'Spring ' , 2016 , '2A' , 'Option') ,</t>
  </si>
  <si>
    <t>(393495083, 'Design', 'Generate a diverse set of candidate engineering design solutions', '', 0.91, 'Msci ' , '261x' , 'TestCourse' , 'Pirnia' , 'Mehrdad' , 'Spring ' , 2016 , '2A' , 'Option') ,</t>
  </si>
  <si>
    <t>(769635714, 'Design', 'Generate a diverse set of candidate engineering design solutions', '', 0.88, 'Msci ' , '261x' , 'TestCourse' , 'Pirnia' , 'Mehrdad' , 'Spring ' , 2016 , '2A' , 'Option') ,</t>
  </si>
  <si>
    <t>(373048949, 'Design', 'Generate a diverse set of candidate engineering design solutions', '', 0.8, 'Msci ' , '261x' , 'TestCourse' , 'Pirnia' , 'Mehrdad' , 'Spring ' , 2016 , '2A' , 'Option') ,</t>
  </si>
  <si>
    <t>(357061292, 'Design', 'Generate a diverse set of candidate engineering design solutions', '', 0.1, 'Msci ' , '261x' , 'TestCourse' , 'Pirnia' , 'Mehrdad' , 'Spring ' , 2016 , '2A' , 'Option') ,</t>
  </si>
  <si>
    <t>(837310284, 'Design', 'Generate a diverse set of candidate engineering design solutions', '', 0.45, 'Msci ' , '261x' , 'TestCourse' , 'Pirnia' , 'Mehrdad' , 'Spring ' , 2016 , '2A' , 'Option') ,</t>
  </si>
  <si>
    <t>(815854164, 'Design', 'Generate a diverse set of candidate engineering design solutions', '', 0.89, 'Msci ' , '261x' , 'TestCourse' , 'Pirnia' , 'Mehrdad' , 'Spring ' , 2016 , '2A' , 'Option') ,</t>
  </si>
  <si>
    <t>(315378369, 'Design', 'Generate a diverse set of candidate engineering design solutions', '', 0.12, 'Msci ' , '261x' , 'TestCourse' , 'Pirnia' , 'Mehrdad' , 'Spring ' , 2016 , '2A' , 'Option') ,</t>
  </si>
  <si>
    <t>(564410540, 'Design', 'Generate a diverse set of candidate engineering design solutions', '', 0.21, 'Msci ' , '261x' , 'TestCourse' , 'Pirnia' , 'Mehrdad' , 'Spring ' , 2016 , '2A' , 'Option') ,</t>
  </si>
  <si>
    <t>(126539887, 'Design', 'Generate a diverse set of candidate engineering design solutions', '', 0.07, 'Msci ' , '261x' , 'TestCourse' , 'Pirnia' , 'Mehrdad' , 'Spring ' , 2016 , '2A' , 'Option') ,</t>
  </si>
  <si>
    <t>(563937624, 'Design', 'Generate a diverse set of candidate engineering design solutions', '', 0.05, 'Msci ' , '261x' , 'TestCourse' , 'Pirnia' , 'Mehrdad' , 'Spring ' , 2016 , '2A' , 'Option') ,</t>
  </si>
  <si>
    <t>(684291511, 'Design', 'Generate a diverse set of candidate engineering design solutions', '', 0.37, 'Msci ' , '261x' , 'TestCourse' , 'Pirnia' , 'Mehrdad' , 'Spring ' , 2016 , '2A' , 'Option') ,</t>
  </si>
  <si>
    <t>(598829620, 'Design', 'Build relevant models that provide valuable insights for operational and/or strategic decision making', '', 0.4, 'Msci ' , '261x' , 'TestCourse' , 'Pirnia' , 'Mehrdad' , 'Spring ' , 2016 , '2A' , 'Option') ,</t>
  </si>
  <si>
    <t>(684014860, 'Design', 'Build relevant models that provide valuable insights for operational and/or strategic decision making', '', 0.56, 'Msci ' , '261x' , 'TestCourse' , 'Pirnia' , 'Mehrdad' , 'Spring ' , 2016 , '2A' , 'Option') ,</t>
  </si>
  <si>
    <t>(843228181, 'Design', 'Build relevant models that provide valuable insights for operational and/or strategic decision making', '', 0.42, 'Msci ' , '261x' , 'TestCourse' , 'Pirnia' , 'Mehrdad' , 'Spring ' , 2016 , '2A' , 'Option') ,</t>
  </si>
  <si>
    <t>(820549378, 'Design', 'Build relevant models that provide valuable insights for operational and/or strategic decision making', '', 0.26, 'Msci ' , '261x' , 'TestCourse' , 'Pirnia' , 'Mehrdad' , 'Spring ' , 2016 , '2A' , 'Option') ,</t>
  </si>
  <si>
    <t>(533572169, 'Design', 'Build relevant models that provide valuable insights for operational and/or strategic decision making', '', 0.04, 'Msci ' , '261x' , 'TestCourse' , 'Pirnia' , 'Mehrdad' , 'Spring ' , 2016 , '2A' , 'Option') ,</t>
  </si>
  <si>
    <t>(975325712, 'Design', 'Build relevant models that provide valuable insights for operational and/or strategic decision making', '', 0.36, 'Msci ' , '261x' , 'TestCourse' , 'Pirnia' , 'Mehrdad' , 'Spring ' , 2016 , '2A' , 'Option') ,</t>
  </si>
  <si>
    <t>(310082419, 'Design', 'Build relevant models that provide valuable insights for operational and/or strategic decision making', '', 0.22, 'Msci ' , '261x' , 'TestCourse' , 'Pirnia' , 'Mehrdad' , 'Spring ' , 2016 , '2A' , 'Option') ,</t>
  </si>
  <si>
    <t>(242132470, 'Design', 'Build relevant models that provide valuable insights for operational and/or strategic decision making', '', 0.56, 'Msci ' , '261x' , 'TestCourse' , 'Pirnia' , 'Mehrdad' , 'Spring ' , 2016 , '2A' , 'Option') ,</t>
  </si>
  <si>
    <t>(208248363, 'Design', 'Build relevant models that provide valuable insights for operational and/or strategic decision making', '', 0.4, 'Msci ' , '261x' , 'TestCourse' , 'Pirnia' , 'Mehrdad' , 'Spring ' , 2016 , '2A' , 'Option') ,</t>
  </si>
  <si>
    <t>(277055951, 'Design', 'Build relevant models that provide valuable insights for operational and/or strategic decision making', '', 0, 'Msci ' , '261x' , 'TestCourse' , 'Pirnia' , 'Mehrdad' , 'Spring ' , 2016 , '2A' , 'Option') ,</t>
  </si>
  <si>
    <t>(902907559, 'Design', 'Build relevant models that provide valuable insights for operational and/or strategic decision making', '', 0.12, 'Msci ' , '261x' , 'TestCourse' , 'Pirnia' , 'Mehrdad' , 'Spring ' , 2016 , '2A' , 'Option') ,</t>
  </si>
  <si>
    <t>(528297980, 'Design', 'Build relevant models that provide valuable insights for operational and/or strategic decision making', '', 0.62, 'Msci ' , '261x' , 'TestCourse' , 'Pirnia' , 'Mehrdad' , 'Spring ' , 2016 , '2A' , 'Option') ,</t>
  </si>
  <si>
    <t>(444882790, 'Design', 'Build relevant models that provide valuable insights for operational and/or strategic decision making', '', 0.14, 'Msci ' , '261x' , 'TestCourse' , 'Pirnia' , 'Mehrdad' , 'Spring ' , 2016 , '2A' , 'Option') ,</t>
  </si>
  <si>
    <t>(112085131, 'Design', 'Build relevant models that provide valuable insights for operational and/or strategic decision making', '', 0.18, 'Msci ' , '261x' , 'TestCourse' , 'Pirnia' , 'Mehrdad' , 'Spring ' , 2016 , '2A' , 'Option') ,</t>
  </si>
  <si>
    <t>(588642518, 'Design', 'Build relevant models that provide valuable insights for operational and/or strategic decision making', '', 0.68, 'Msci ' , '261x' , 'TestCourse' , 'Pirnia' , 'Mehrdad' , 'Spring ' , 2016 , '2A' , 'Option') ,</t>
  </si>
  <si>
    <t>(414520736, 'Design', 'Build relevant models that provide valuable insights for operational and/or strategic decision making', '', 0.14, 'Msci ' , '261x' , 'TestCourse' , 'Pirnia' , 'Mehrdad' , 'Spring ' , 2016 , '2A' , 'Option') ,</t>
  </si>
  <si>
    <t>(356558346, 'Design', 'Build relevant models that provide valuable insights for operational and/or strategic decision making', '', 0.04, 'Msci ' , '261x' , 'TestCourse' , 'Pirnia' , 'Mehrdad' , 'Spring ' , 2016 , '2A' , 'Option') ,</t>
  </si>
  <si>
    <t>(970698993, 'Design', 'Build relevant models that provide valuable insights for operational and/or strategic decision making', '', 0.08, 'Msci ' , '261x' , 'TestCourse' , 'Pirnia' , 'Mehrdad' , 'Spring ' , 2016 , '2A' , 'Option') ,</t>
  </si>
  <si>
    <t>(633537205, 'Design', 'Build relevant models that provide valuable insights for operational and/or strategic decision making', '', 0.1, 'Msci ' , '261x' , 'TestCourse' , 'Pirnia' , 'Mehrdad' , 'Spring ' , 2016 , '2A' , 'Option') ,</t>
  </si>
  <si>
    <t>(534292868, 'Design', 'Build relevant models that provide valuable insights for operational and/or strategic decision making', '', 0.08, 'Msci ' , '261x' , 'TestCourse' , 'Pirnia' , 'Mehrdad' , 'Spring ' , 2016 , '2A' , 'Option') ,</t>
  </si>
  <si>
    <t>(816787809, 'Design', 'Build relevant models that provide valuable insights for operational and/or strategic decision making', '', 0.64, 'Msci ' , '261x' , 'TestCourse' , 'Pirnia' , 'Mehrdad' , 'Spring ' , 2016 , '2A' , 'Option') ,</t>
  </si>
  <si>
    <t>(220052551, 'Design', 'Build relevant models that provide valuable insights for operational and/or strategic decision making', '', 0.14, 'Msci ' , '261x' , 'TestCourse' , 'Pirnia' , 'Mehrdad' , 'Spring ' , 2016 , '2A' , 'Option') ,</t>
  </si>
  <si>
    <t>(858571733, 'Design', 'Build relevant models that provide valuable insights for operational and/or strategic decision making', '', 0.16, 'Msci ' , '261x' , 'TestCourse' , 'Pirnia' , 'Mehrdad' , 'Spring ' , 2016 , '2A' , 'Option') ,</t>
  </si>
  <si>
    <t>(363436152, 'Design', 'Build relevant models that provide valuable insights for operational and/or strategic decision making', '', 0.46, 'Msci ' , '261x' , 'TestCourse' , 'Pirnia' , 'Mehrdad' , 'Spring ' , 2016 , '2A' , 'Option') ,</t>
  </si>
  <si>
    <t>(393495083, 'Design', 'Build relevant models that provide valuable insights for operational and/or strategic decision making', '', 0.18, 'Msci ' , '261x' , 'TestCourse' , 'Pirnia' , 'Mehrdad' , 'Spring ' , 2016 , '2A' , 'Option') ,</t>
  </si>
  <si>
    <t>(769635714, 'Design', 'Build relevant models that provide valuable insights for operational and/or strategic decision making', '', 0.64, 'Msci ' , '261x' , 'TestCourse' , 'Pirnia' , 'Mehrdad' , 'Spring ' , 2016 , '2A' , 'Option') ,</t>
  </si>
  <si>
    <t>(373048949, 'Design', 'Build relevant models that provide valuable insights for operational and/or strategic decision making', '', 0.3, 'Msci ' , '261x' , 'TestCourse' , 'Pirnia' , 'Mehrdad' , 'Spring ' , 2016 , '2A' , 'Option') ,</t>
  </si>
  <si>
    <t>(357061292, 'Design', 'Build relevant models that provide valuable insights for operational and/or strategic decision making', '', 0.5, 'Msci ' , '261x' , 'TestCourse' , 'Pirnia' , 'Mehrdad' , 'Spring ' , 2016 , '2A' , 'Option') ,</t>
  </si>
  <si>
    <t>(837310284, 'Design', 'Build relevant models that provide valuable insights for operational and/or strategic decision making', '', 0.36, 'Msci ' , '261x' , 'TestCourse' , 'Pirnia' , 'Mehrdad' , 'Spring ' , 2016 , '2A' , 'Option') ,</t>
  </si>
  <si>
    <t>(815854164, 'Design', 'Build relevant models that provide valuable insights for operational and/or strategic decision making', '', 0.62, 'Msci ' , '261x' , 'TestCourse' , 'Pirnia' , 'Mehrdad' , 'Spring ' , 2016 , '2A' , 'Option') ,</t>
  </si>
  <si>
    <t>(315378369, 'Design', 'Build relevant models that provide valuable insights for operational and/or strategic decision making', '', 0.36, 'Msci ' , '261x' , 'TestCourse' , 'Pirnia' , 'Mehrdad' , 'Spring ' , 2016 , '2A' , 'Option') ,</t>
  </si>
  <si>
    <t>(564410540, 'Design', 'Build relevant models that provide valuable insights for operational and/or strategic decision making', '', 0.72, 'Msci ' , '261x' , 'TestCourse' , 'Pirnia' , 'Mehrdad' , 'Spring ' , 2016 , '2A' , 'Option') ,</t>
  </si>
  <si>
    <t>(126539887, 'Design', 'Build relevant models that provide valuable insights for operational and/or strategic decision making', '', 0.62, 'Msci ' , '261x' , 'TestCourse' , 'Pirnia' , 'Mehrdad' , 'Spring ' , 2016 , '2A' , 'Option') ,</t>
  </si>
  <si>
    <t>(563937624, 'Design', 'Build relevant models that provide valuable insights for operational and/or strategic decision making', '', 0.2, 'Msci ' , '261x' , 'TestCourse' , 'Pirnia' , 'Mehrdad' , 'Spring ' , 2016 , '2A' , 'Option') ,</t>
  </si>
  <si>
    <t>(684291511, 'Design', 'Build relevant models that provide valuable insights for operational and/or strategic decision making', '', 0.52, 'Msci ' , '261x' , 'TestCourse' , 'Pirnia' , 'Mehrdad' , 'Spring ' , 2016 , '2A' , 'Option') ,</t>
  </si>
  <si>
    <t>(598829620, 'Use of Engineering Tools', 'Implement optimization approaches in real-life applications using different mathematical software (e.g. Matlab, Cplex, Gurobi, Lindo, Excel solver)', '', 0.288888888888889, 'Msci ' , '261x' , 'TestCourse' , 'Pirnia' , 'Mehrdad' , 'Spring ' , 2016 , '2A' , 'Option') ,</t>
  </si>
  <si>
    <t>(684014860, 'Use of Engineering Tools', 'Implement optimization approaches in real-life applications using different mathematical software (e.g. Matlab, Cplex, Gurobi, Lindo, Excel solver)', '', 0.493333333333333, 'Msci ' , '261x' , 'TestCourse' , 'Pirnia' , 'Mehrdad' , 'Spring ' , 2016 , '2A' , 'Option') ,</t>
  </si>
  <si>
    <t>(843228181, 'Use of Engineering Tools', 'Implement optimization approaches in real-life applications using different mathematical software (e.g. Matlab, Cplex, Gurobi, Lindo, Excel solver)', '', 0.537222222222222, 'Msci ' , '261x' , 'TestCourse' , 'Pirnia' , 'Mehrdad' , 'Spring ' , 2016 , '2A' , 'Option') ,</t>
  </si>
  <si>
    <t>(820549378, 'Use of Engineering Tools', 'Implement optimization approaches in real-life applications using different mathematical software (e.g. Matlab, Cplex, Gurobi, Lindo, Excel solver)', '', 0.460555555555556, 'Msci ' , '261x' , 'TestCourse' , 'Pirnia' , 'Mehrdad' , 'Spring ' , 2016 , '2A' , 'Option') ,</t>
  </si>
  <si>
    <t>(533572169, 'Use of Engineering Tools', 'Implement optimization approaches in real-life applications using different mathematical software (e.g. Matlab, Cplex, Gurobi, Lindo, Excel solver)', '', 0.381666666666667, 'Msci ' , '261x' , 'TestCourse' , 'Pirnia' , 'Mehrdad' , 'Spring ' , 2016 , '2A' , 'Option') ,</t>
  </si>
  <si>
    <t>(975325712, 'Use of Engineering Tools', 'Implement optimization approaches in real-life applications using different mathematical software (e.g. Matlab, Cplex, Gurobi, Lindo, Excel solver)', '', 0.419444444444444, 'Msci ' , '261x' , 'TestCourse' , 'Pirnia' , 'Mehrdad' , 'Spring ' , 2016 , '2A' , 'Option') ,</t>
  </si>
  <si>
    <t>(310082419, 'Use of Engineering Tools', 'Implement optimization approaches in real-life applications using different mathematical software (e.g. Matlab, Cplex, Gurobi, Lindo, Excel solver)', '', 0.301666666666667, 'Msci ' , '261x' , 'TestCourse' , 'Pirnia' , 'Mehrdad' , 'Spring ' , 2016 , '2A' , 'Option') ,</t>
  </si>
  <si>
    <t>(242132470, 'Use of Engineering Tools', 'Implement optimization approaches in real-life applications using different mathematical software (e.g. Matlab, Cplex, Gurobi, Lindo, Excel solver)', '', 0.358333333333333, 'Msci ' , '261x' , 'TestCourse' , 'Pirnia' , 'Mehrdad' , 'Spring ' , 2016 , '2A' , 'Option') ,</t>
  </si>
  <si>
    <t>(208248363, 'Use of Engineering Tools', 'Implement optimization approaches in real-life applications using different mathematical software (e.g. Matlab, Cplex, Gurobi, Lindo, Excel solver)', '', 0.542777777777778, 'Msci ' , '261x' , 'TestCourse' , 'Pirnia' , 'Mehrdad' , 'Spring ' , 2016 , '2A' , 'Option') ,</t>
  </si>
  <si>
    <t>(277055951, 'Use of Engineering Tools', 'Implement optimization approaches in real-life applications using different mathematical software (e.g. Matlab, Cplex, Gurobi, Lindo, Excel solver)', '', 0.371111111111111, 'Msci ' , '261x' , 'TestCourse' , 'Pirnia' , 'Mehrdad' , 'Spring ' , 2016 , '2A' , 'Option') ,</t>
  </si>
  <si>
    <t>(902907559, 'Use of Engineering Tools', 'Implement optimization approaches in real-life applications using different mathematical software (e.g. Matlab, Cplex, Gurobi, Lindo, Excel solver)', '', 0.524444444444444, 'Msci ' , '261x' , 'TestCourse' , 'Pirnia' , 'Mehrdad' , 'Spring ' , 2016 , '2A' , 'Option') ,</t>
  </si>
  <si>
    <t>(528297980, 'Use of Engineering Tools', 'Implement optimization approaches in real-life applications using different mathematical software (e.g. Matlab, Cplex, Gurobi, Lindo, Excel solver)', '', 0.612222222222222, 'Msci ' , '261x' , 'TestCourse' , 'Pirnia' , 'Mehrdad' , 'Spring ' , 2016 , '2A' , 'Option') ,</t>
  </si>
  <si>
    <t>(444882790, 'Use of Engineering Tools', 'Implement optimization approaches in real-life applications using different mathematical software (e.g. Matlab, Cplex, Gurobi, Lindo, Excel solver)', '', 0.326666666666667, 'Msci ' , '261x' , 'TestCourse' , 'Pirnia' , 'Mehrdad' , 'Spring ' , 2016 , '2A' , 'Option') ,</t>
  </si>
  <si>
    <t>(112085131, 'Use of Engineering Tools', 'Implement optimization approaches in real-life applications using different mathematical software (e.g. Matlab, Cplex, Gurobi, Lindo, Excel solver)', '', 0.279444444444444, 'Msci ' , '261x' , 'TestCourse' , 'Pirnia' , 'Mehrdad' , 'Spring ' , 2016 , '2A' , 'Option') ,</t>
  </si>
  <si>
    <t>(588642518, 'Use of Engineering Tools', 'Implement optimization approaches in real-life applications using different mathematical software (e.g. Matlab, Cplex, Gurobi, Lindo, Excel solver)', '', 0.511111111111111, 'Msci ' , '261x' , 'TestCourse' , 'Pirnia' , 'Mehrdad' , 'Spring ' , 2016 , '2A' , 'Option') ,</t>
  </si>
  <si>
    <t>(414520736, 'Use of Engineering Tools', 'Implement optimization approaches in real-life applications using different mathematical software (e.g. Matlab, Cplex, Gurobi, Lindo, Excel solver)', '', 0.552777777777778, 'Msci ' , '261x' , 'TestCourse' , 'Pirnia' , 'Mehrdad' , 'Spring ' , 2016 , '2A' , 'Option') ,</t>
  </si>
  <si>
    <t>(356558346, 'Use of Engineering Tools', 'Implement optimization approaches in real-life applications using different mathematical software (e.g. Matlab, Cplex, Gurobi, Lindo, Excel solver)', '', 0.395, 'Msci ' , '261x' , 'TestCourse' , 'Pirnia' , 'Mehrdad' , 'Spring ' , 2016 , '2A' , 'Option') ,</t>
  </si>
  <si>
    <t>(970698993, 'Use of Engineering Tools', 'Implement optimization approaches in real-life applications using different mathematical software (e.g. Matlab, Cplex, Gurobi, Lindo, Excel solver)', '', 0.523333333333333, 'Msci ' , '261x' , 'TestCourse' , 'Pirnia' , 'Mehrdad' , 'Spring ' , 2016 , '2A' , 'Option') ,</t>
  </si>
  <si>
    <t>(633537205, 'Use of Engineering Tools', 'Implement optimization approaches in real-life applications using different mathematical software (e.g. Matlab, Cplex, Gurobi, Lindo, Excel solver)', '', 0.258888888888889, 'Msci ' , '261x' , 'TestCourse' , 'Pirnia' , 'Mehrdad' , 'Spring ' , 2016 , '2A' , 'Option') ,</t>
  </si>
  <si>
    <t>(534292868, 'Use of Engineering Tools', 'Implement optimization approaches in real-life applications using different mathematical software (e.g. Matlab, Cplex, Gurobi, Lindo, Excel solver)', '', 0.436666666666667, 'Msci ' , '261x' , 'TestCourse' , 'Pirnia' , 'Mehrdad' , 'Spring ' , 2016 , '2A' , 'Option') ,</t>
  </si>
  <si>
    <t>(816787809, 'Use of Engineering Tools', 'Implement optimization approaches in real-life applications using different mathematical software (e.g. Matlab, Cplex, Gurobi, Lindo, Excel solver)', '', 0.566111111111111, 'Msci ' , '261x' , 'TestCourse' , 'Pirnia' , 'Mehrdad' , 'Spring ' , 2016 , '2A' , 'Option') ,</t>
  </si>
  <si>
    <t>(220052551, 'Use of Engineering Tools', 'Implement optimization approaches in real-life applications using different mathematical software (e.g. Matlab, Cplex, Gurobi, Lindo, Excel solver)', '', 0.541666666666667, 'Msci ' , '261x' , 'TestCourse' , 'Pirnia' , 'Mehrdad' , 'Spring ' , 2016 , '2A' , 'Option') ,</t>
  </si>
  <si>
    <t>(858571733, 'Use of Engineering Tools', 'Implement optimization approaches in real-life applications using different mathematical software (e.g. Matlab, Cplex, Gurobi, Lindo, Excel solver)', '', 0.226666666666667, 'Msci ' , '261x' , 'TestCourse' , 'Pirnia' , 'Mehrdad' , 'Spring ' , 2016 , '2A' , 'Option') ,</t>
  </si>
  <si>
    <t>(363436152, 'Use of Engineering Tools', 'Implement optimization approaches in real-life applications using different mathematical software (e.g. Matlab, Cplex, Gurobi, Lindo, Excel solver)', '', 0.419444444444444, 'Msci ' , '261x' , 'TestCourse' , 'Pirnia' , 'Mehrdad' , 'Spring ' , 2016 , '2A' , 'Option') ,</t>
  </si>
  <si>
    <t>(393495083, 'Use of Engineering Tools', 'Implement optimization approaches in real-life applications using different mathematical software (e.g. Matlab, Cplex, Gurobi, Lindo, Excel solver)', '', 0.472777777777778, 'Msci ' , '261x' , 'TestCourse' , 'Pirnia' , 'Mehrdad' , 'Spring ' , 2016 , '2A' , 'Option') ,</t>
  </si>
  <si>
    <t>(769635714, 'Use of Engineering Tools', 'Implement optimization approaches in real-life applications using different mathematical software (e.g. Matlab, Cplex, Gurobi, Lindo, Excel solver)', '', 0.603888888888889, 'Msci ' , '261x' , 'TestCourse' , 'Pirnia' , 'Mehrdad' , 'Spring ' , 2016 , '2A' , 'Option') ,</t>
  </si>
  <si>
    <t>(373048949, 'Use of Engineering Tools', 'Implement optimization approaches in real-life applications using different mathematical software (e.g. Matlab, Cplex, Gurobi, Lindo, Excel solver)', '', 0.597777777777778, 'Msci ' , '261x' , 'TestCourse' , 'Pirnia' , 'Mehrdad' , 'Spring ' , 2016 , '2A' , 'Option') ,</t>
  </si>
  <si>
    <t>(357061292, 'Use of Engineering Tools', 'Implement optimization approaches in real-life applications using different mathematical software (e.g. Matlab, Cplex, Gurobi, Lindo, Excel solver)', '', 0.426111111111111, 'Msci ' , '261x' , 'TestCourse' , 'Pirnia' , 'Mehrdad' , 'Spring ' , 2016 , '2A' , 'Option') ,</t>
  </si>
  <si>
    <t>(837310284, 'Use of Engineering Tools', 'Implement optimization approaches in real-life applications using different mathematical software (e.g. Matlab, Cplex, Gurobi, Lindo, Excel solver)', '', 0.397777777777778, 'Msci ' , '261x' , 'TestCourse' , 'Pirnia' , 'Mehrdad' , 'Spring ' , 2016 , '2A' , 'Option') ,</t>
  </si>
  <si>
    <t>(815854164, 'Use of Engineering Tools', 'Implement optimization approaches in real-life applications using different mathematical software (e.g. Matlab, Cplex, Gurobi, Lindo, Excel solver)', '', 0.514444444444444, 'Msci ' , '261x' , 'TestCourse' , 'Pirnia' , 'Mehrdad' , 'Spring ' , 2016 , '2A' , 'Option') ,</t>
  </si>
  <si>
    <t>(315378369, 'Use of Engineering Tools', 'Implement optimization approaches in real-life applications using different mathematical software (e.g. Matlab, Cplex, Gurobi, Lindo, Excel solver)', '', 0.237777777777778, 'Msci ' , '261x' , 'TestCourse' , 'Pirnia' , 'Mehrdad' , 'Spring ' , 2016 , '2A' , 'Option') ,</t>
  </si>
  <si>
    <t>(564410540, 'Use of Engineering Tools', 'Implement optimization approaches in real-life applications using different mathematical software (e.g. Matlab, Cplex, Gurobi, Lindo, Excel solver)', '', 0.509444444444444, 'Msci ' , '261x' , 'TestCourse' , 'Pirnia' , 'Mehrdad' , 'Spring ' , 2016 , '2A' , 'Option') ,</t>
  </si>
  <si>
    <t>(126539887, 'Use of Engineering Tools', 'Implement optimization approaches in real-life applications using different mathematical software (e.g. Matlab, Cplex, Gurobi, Lindo, Excel solver)', '', 0.482222222222222, 'Msci ' , '261x' , 'TestCourse' , 'Pirnia' , 'Mehrdad' , 'Spring ' , 2016 , '2A' , 'Option') ,</t>
  </si>
  <si>
    <t>(563937624, 'Use of Engineering Tools', 'Implement optimization approaches in real-life applications using different mathematical software (e.g. Matlab, Cplex, Gurobi, Lindo, Excel solver)', '', 0.413333333333333, 'Msci ' , '261x' , 'TestCourse' , 'Pirnia' , 'Mehrdad' , 'Spring ' , 2016 , '2A' , 'Option') ,</t>
  </si>
  <si>
    <t>(684291511, 'Use of Engineering Tools', 'Implement optimization approaches in real-life applications using different mathematical software (e.g. Matlab, Cplex, Gurobi, Lindo, Excel solver)', '', 0.518888888888889, 'Msci ' , '261x' , 'TestCourse' , 'Pirnia' , 'Mehrdad' , 'Spring ' , 2016 , '2A' , 'Option') ,</t>
  </si>
  <si>
    <t>(598829620, 'Use of Engineering Tools', 'Build database applications using the php programming language', '', 0.4, 'Msci ' , '261x' , 'TestCourse' , 'Pirnia' , 'Mehrdad' , 'Spring ' , 2016 , '2A' , 'Option') ,</t>
  </si>
  <si>
    <t>(684014860, 'Use of Engineering Tools', 'Build database applications using the php programming language', '', 0.56, 'Msci ' , '261x' , 'TestCourse' , 'Pirnia' , 'Mehrdad' , 'Spring ' , 2016 , '2A' , 'Option') ,</t>
  </si>
  <si>
    <t>(843228181, 'Use of Engineering Tools', 'Build database applications using the php programming language', '', 0.42, 'Msci ' , '261x' , 'TestCourse' , 'Pirnia' , 'Mehrdad' , 'Spring ' , 2016 , '2A' , 'Option') ,</t>
  </si>
  <si>
    <t>(820549378, 'Use of Engineering Tools', 'Build database applications using the php programming language', '', 0.26, 'Msci ' , '261x' , 'TestCourse' , 'Pirnia' , 'Mehrdad' , 'Spring ' , 2016 , '2A' , 'Option') ,</t>
  </si>
  <si>
    <t>(533572169, 'Use of Engineering Tools', 'Build database applications using the php programming language', '', 0.04, 'Msci ' , '261x' , 'TestCourse' , 'Pirnia' , 'Mehrdad' , 'Spring ' , 2016 , '2A' , 'Option') ,</t>
  </si>
  <si>
    <t>(975325712, 'Use of Engineering Tools', 'Build database applications using the php programming language', '', 0.36, 'Msci ' , '261x' , 'TestCourse' , 'Pirnia' , 'Mehrdad' , 'Spring ' , 2016 , '2A' , 'Option') ,</t>
  </si>
  <si>
    <t>(310082419, 'Use of Engineering Tools', 'Build database applications using the php programming language', '', 0.22, 'Msci ' , '261x' , 'TestCourse' , 'Pirnia' , 'Mehrdad' , 'Spring ' , 2016 , '2A' , 'Option') ,</t>
  </si>
  <si>
    <t>(242132470, 'Use of Engineering Tools', 'Build database applications using the php programming language', '', 0.56, 'Msci ' , '261x' , 'TestCourse' , 'Pirnia' , 'Mehrdad' , 'Spring ' , 2016 , '2A' , 'Option') ,</t>
  </si>
  <si>
    <t>(208248363, 'Use of Engineering Tools', 'Build database applications using the php programming language', '', 0.4, 'Msci ' , '261x' , 'TestCourse' , 'Pirnia' , 'Mehrdad' , 'Spring ' , 2016 , '2A' , 'Option') ,</t>
  </si>
  <si>
    <t>(277055951, 'Use of Engineering Tools', 'Build database applications using the php programming language', '', 0, 'Msci ' , '261x' , 'TestCourse' , 'Pirnia' , 'Mehrdad' , 'Spring ' , 2016 , '2A' , 'Option') ,</t>
  </si>
  <si>
    <t>(902907559, 'Use of Engineering Tools', 'Build database applications using the php programming language', '', 0.12, 'Msci ' , '261x' , 'TestCourse' , 'Pirnia' , 'Mehrdad' , 'Spring ' , 2016 , '2A' , 'Option') ,</t>
  </si>
  <si>
    <t>(528297980, 'Use of Engineering Tools', 'Build database applications using the php programming language', '', 0.62, 'Msci ' , '261x' , 'TestCourse' , 'Pirnia' , 'Mehrdad' , 'Spring ' , 2016 , '2A' , 'Option') ,</t>
  </si>
  <si>
    <t>(444882790, 'Use of Engineering Tools', 'Build database applications using the php programming language', '', 0.14, 'Msci ' , '261x' , 'TestCourse' , 'Pirnia' , 'Mehrdad' , 'Spring ' , 2016 , '2A' , 'Option') ,</t>
  </si>
  <si>
    <t>(112085131, 'Use of Engineering Tools', 'Build database applications using the php programming language', '', 0.18, 'Msci ' , '261x' , 'TestCourse' , 'Pirnia' , 'Mehrdad' , 'Spring ' , 2016 , '2A' , 'Option') ,</t>
  </si>
  <si>
    <t>(588642518, 'Use of Engineering Tools', 'Build database applications using the php programming language', '', 0.68, 'Msci ' , '261x' , 'TestCourse' , 'Pirnia' , 'Mehrdad' , 'Spring ' , 2016 , '2A' , 'Option') ,</t>
  </si>
  <si>
    <t>(414520736, 'Use of Engineering Tools', 'Build database applications using the php programming language', '', 0.14, 'Msci ' , '261x' , 'TestCourse' , 'Pirnia' , 'Mehrdad' , 'Spring ' , 2016 , '2A' , 'Option') ,</t>
  </si>
  <si>
    <t>(356558346, 'Use of Engineering Tools', 'Build database applications using the php programming language', '', 0.04, 'Msci ' , '261x' , 'TestCourse' , 'Pirnia' , 'Mehrdad' , 'Spring ' , 2016 , '2A' , 'Option') ,</t>
  </si>
  <si>
    <t>(970698993, 'Use of Engineering Tools', 'Build database applications using the php programming language', '', 0.08, 'Msci ' , '261x' , 'TestCourse' , 'Pirnia' , 'Mehrdad' , 'Spring ' , 2016 , '2A' , 'Option') ,</t>
  </si>
  <si>
    <t>(633537205, 'Use of Engineering Tools', 'Build database applications using the php programming language', '', 0.1, 'Msci ' , '261x' , 'TestCourse' , 'Pirnia' , 'Mehrdad' , 'Spring ' , 2016 , '2A' , 'Option') ,</t>
  </si>
  <si>
    <t>(534292868, 'Use of Engineering Tools', 'Build database applications using the php programming language', '', 0.08, 'Msci ' , '261x' , 'TestCourse' , 'Pirnia' , 'Mehrdad' , 'Spring ' , 2016 , '2A' , 'Option') ,</t>
  </si>
  <si>
    <t>(816787809, 'Use of Engineering Tools', 'Build database applications using the php programming language', '', 0.64, 'Msci ' , '261x' , 'TestCourse' , 'Pirnia' , 'Mehrdad' , 'Spring ' , 2016 , '2A' , 'Option') ,</t>
  </si>
  <si>
    <t>(220052551, 'Use of Engineering Tools', 'Build database applications using the php programming language', '', 0.14, 'Msci ' , '261x' , 'TestCourse' , 'Pirnia' , 'Mehrdad' , 'Spring ' , 2016 , '2A' , 'Option') ,</t>
  </si>
  <si>
    <t>(858571733, 'Use of Engineering Tools', 'Build database applications using the php programming language', '', 0.16, 'Msci ' , '261x' , 'TestCourse' , 'Pirnia' , 'Mehrdad' , 'Spring ' , 2016 , '2A' , 'Option') ,</t>
  </si>
  <si>
    <t>(363436152, 'Use of Engineering Tools', 'Build database applications using the php programming language', '', 0.46, 'Msci ' , '261x' , 'TestCourse' , 'Pirnia' , 'Mehrdad' , 'Spring ' , 2016 , '2A' , 'Option') ,</t>
  </si>
  <si>
    <t>(393495083, 'Use of Engineering Tools', 'Build database applications using the php programming language', '', 0.18, 'Msci ' , '261x' , 'TestCourse' , 'Pirnia' , 'Mehrdad' , 'Spring ' , 2016 , '2A' , 'Option') ,</t>
  </si>
  <si>
    <t>(769635714, 'Use of Engineering Tools', 'Build database applications using the php programming language', '', 0.64, 'Msci ' , '261x' , 'TestCourse' , 'Pirnia' , 'Mehrdad' , 'Spring ' , 2016 , '2A' , 'Option') ,</t>
  </si>
  <si>
    <t>(373048949, 'Use of Engineering Tools', 'Build database applications using the php programming language', '', 0.3, 'Msci ' , '261x' , 'TestCourse' , 'Pirnia' , 'Mehrdad' , 'Spring ' , 2016 , '2A' , 'Option') ,</t>
  </si>
  <si>
    <t>(357061292, 'Use of Engineering Tools', 'Build database applications using the php programming language', '', 0.5, 'Msci ' , '261x' , 'TestCourse' , 'Pirnia' , 'Mehrdad' , 'Spring ' , 2016 , '2A' , 'Option') ,</t>
  </si>
  <si>
    <t>(837310284, 'Use of Engineering Tools', 'Build database applications using the php programming language', '', 0.36, 'Msci ' , '261x' , 'TestCourse' , 'Pirnia' , 'Mehrdad' , 'Spring ' , 2016 , '2A' , 'Option') ,</t>
  </si>
  <si>
    <t>(815854164, 'Use of Engineering Tools', 'Build database applications using the php programming language', '', 0.62, 'Msci ' , '261x' , 'TestCourse' , 'Pirnia' , 'Mehrdad' , 'Spring ' , 2016 , '2A' , 'Option') ,</t>
  </si>
  <si>
    <t>(315378369, 'Use of Engineering Tools', 'Build database applications using the php programming language', '', 0.36, 'Msci ' , '261x' , 'TestCourse' , 'Pirnia' , 'Mehrdad' , 'Spring ' , 2016 , '2A' , 'Option') ,</t>
  </si>
  <si>
    <t>(564410540, 'Use of Engineering Tools', 'Build database applications using the php programming language', '', 0.72, 'Msci ' , '261x' , 'TestCourse' , 'Pirnia' , 'Mehrdad' , 'Spring ' , 2016 , '2A' , 'Option') ,</t>
  </si>
  <si>
    <t>(126539887, 'Use of Engineering Tools', 'Build database applications using the php programming language', '', 0.62, 'Msci ' , '261x' , 'TestCourse' , 'Pirnia' , 'Mehrdad' , 'Spring ' , 2016 , '2A' , 'Option') ,</t>
  </si>
  <si>
    <t>(563937624, 'Use of Engineering Tools', 'Build database applications using the php programming language', '', 0.2, 'Msci ' , '261x' , 'TestCourse' , 'Pirnia' , 'Mehrdad' , 'Spring ' , 2016 , '2A' , 'Option') ,</t>
  </si>
  <si>
    <t>(684291511, 'Use of Engineering Tools', 'Build database applications using the php programming language', '', 0.52, 'Msci ' , '261x' , 'TestCourse' , 'Pirnia' , 'Mehrdad' , 'Spring ' , 2016 , '2A' , 'Option') ,</t>
  </si>
  <si>
    <t>(598829620, 'Individual and Team Work', 'Demonstrate leadership abilities through varying roles in a project', '', 0.233333333333333, 'Msci ' , '261x' , 'TestCourse' , 'Pirnia' , 'Mehrdad' , 'Spring ' , 2016 , '2A' , 'Option') ,</t>
  </si>
  <si>
    <t>(684014860, 'Individual and Team Work', 'Demonstrate leadership abilities through varying roles in a project', '', 0.56, 'Msci ' , '261x' , 'TestCourse' , 'Pirnia' , 'Mehrdad' , 'Spring ' , 2016 , '2A' , 'Option') ,</t>
  </si>
  <si>
    <t>(843228181, 'Individual and Team Work', 'Demonstrate leadership abilities through varying roles in a project', '', 0.546666666666667, 'Msci ' , '261x' , 'TestCourse' , 'Pirnia' , 'Mehrdad' , 'Spring ' , 2016 , '2A' , 'Option') ,</t>
  </si>
  <si>
    <t>(820549378, 'Individual and Team Work', 'Demonstrate leadership abilities through varying roles in a project', '', 0.3, 'Msci ' , '261x' , 'TestCourse' , 'Pirnia' , 'Mehrdad' , 'Spring ' , 2016 , '2A' , 'Option') ,</t>
  </si>
  <si>
    <t>(533572169, 'Individual and Team Work', 'Demonstrate leadership abilities through varying roles in a project', '', 0.213333333333333, 'Msci ' , '261x' , 'TestCourse' , 'Pirnia' , 'Mehrdad' , 'Spring ' , 2016 , '2A' , 'Option') ,</t>
  </si>
  <si>
    <t>(975325712, 'Individual and Team Work', 'Demonstrate leadership abilities through varying roles in a project', '', 0.386666666666667, 'Msci ' , '261x' , 'TestCourse' , 'Pirnia' , 'Mehrdad' , 'Spring ' , 2016 , '2A' , 'Option') ,</t>
  </si>
  <si>
    <t>(310082419, 'Individual and Team Work', 'Demonstrate leadership abilities through varying roles in a project', '', 0.1, 'Msci ' , '261x' , 'TestCourse' , 'Pirnia' , 'Mehrdad' , 'Spring ' , 2016 , '2A' , 'Option') ,</t>
  </si>
  <si>
    <t>(242132470, 'Individual and Team Work', 'Demonstrate leadership abilities through varying roles in a project', '', 0.26, 'Msci ' , '261x' , 'TestCourse' , 'Pirnia' , 'Mehrdad' , 'Spring ' , 2016 , '2A' , 'Option') ,</t>
  </si>
  <si>
    <t>(208248363, 'Individual and Team Work', 'Demonstrate leadership abilities through varying roles in a project', '', 0.473333333333333, 'Msci ' , '261x' , 'TestCourse' , 'Pirnia' , 'Mehrdad' , 'Spring ' , 2016 , '2A' , 'Option') ,</t>
  </si>
  <si>
    <t>(277055951, 'Individual and Team Work', 'Demonstrate leadership abilities through varying roles in a project', '', 0.173333333333333, 'Msci ' , '261x' , 'TestCourse' , 'Pirnia' , 'Mehrdad' , 'Spring ' , 2016 , '2A' , 'Option') ,</t>
  </si>
  <si>
    <t>(902907559, 'Individual and Team Work', 'Demonstrate leadership abilities through varying roles in a project', '', 0.613333333333333, 'Msci ' , '261x' , 'TestCourse' , 'Pirnia' , 'Mehrdad' , 'Spring ' , 2016 , '2A' , 'Option') ,</t>
  </si>
  <si>
    <t>(528297980, 'Individual and Team Work', 'Demonstrate leadership abilities through varying roles in a project', '', 0.593333333333333, 'Msci ' , '261x' , 'TestCourse' , 'Pirnia' , 'Mehrdad' , 'Spring ' , 2016 , '2A' , 'Option') ,</t>
  </si>
  <si>
    <t>(444882790, 'Individual and Team Work', 'Demonstrate leadership abilities through varying roles in a project', '', 0.08, 'Msci ' , '261x' , 'TestCourse' , 'Pirnia' , 'Mehrdad' , 'Spring ' , 2016 , '2A' , 'Option') ,</t>
  </si>
  <si>
    <t>(112085131, 'Individual and Team Work', 'Demonstrate leadership abilities through varying roles in a project', '', 0.146666666666667, 'Msci ' , '261x' , 'TestCourse' , 'Pirnia' , 'Mehrdad' , 'Spring ' , 2016 , '2A' , 'Option') ,</t>
  </si>
  <si>
    <t>(588642518, 'Individual and Team Work', 'Demonstrate leadership abilities through varying roles in a project', '', 0.853333333333333, 'Msci ' , '261x' , 'TestCourse' , 'Pirnia' , 'Mehrdad' , 'Spring ' , 2016 , '2A' , 'Option') ,</t>
  </si>
  <si>
    <t>(414520736, 'Individual and Team Work', 'Demonstrate leadership abilities through varying roles in a project', '', 0.586666666666667, 'Msci ' , '261x' , 'TestCourse' , 'Pirnia' , 'Mehrdad' , 'Spring ' , 2016 , '2A' , 'Option') ,</t>
  </si>
  <si>
    <t>(356558346, 'Individual and Team Work', 'Demonstrate leadership abilities through varying roles in a project', '', 0.3, 'Msci ' , '261x' , 'TestCourse' , 'Pirnia' , 'Mehrdad' , 'Spring ' , 2016 , '2A' , 'Option') ,</t>
  </si>
  <si>
    <t>(970698993, 'Individual and Team Work', 'Demonstrate leadership abilities through varying roles in a project', '', 0.66, 'Msci ' , '261x' , 'TestCourse' , 'Pirnia' , 'Mehrdad' , 'Spring ' , 2016 , '2A' , 'Option') ,</t>
  </si>
  <si>
    <t>(633537205, 'Individual and Team Work', 'Demonstrate leadership abilities through varying roles in a project', '', 0.273333333333333, 'Msci ' , '261x' , 'TestCourse' , 'Pirnia' , 'Mehrdad' , 'Spring ' , 2016 , '2A' , 'Option') ,</t>
  </si>
  <si>
    <t>(534292868, 'Individual and Team Work', 'Demonstrate leadership abilities through varying roles in a project', '', 0.626666666666667, 'Msci ' , '261x' , 'TestCourse' , 'Pirnia' , 'Mehrdad' , 'Spring ' , 2016 , '2A' , 'Option') ,</t>
  </si>
  <si>
    <t>(816787809, 'Individual and Team Work', 'Demonstrate leadership abilities through varying roles in a project', '', 0.526666666666667, 'Msci ' , '261x' , 'TestCourse' , 'Pirnia' , 'Mehrdad' , 'Spring ' , 2016 , '2A' , 'Option') ,</t>
  </si>
  <si>
    <t>(220052551, 'Individual and Team Work', 'Demonstrate leadership abilities through varying roles in a project', '', 0.54, 'Msci ' , '261x' , 'TestCourse' , 'Pirnia' , 'Mehrdad' , 'Spring ' , 2016 , '2A' , 'Option') ,</t>
  </si>
  <si>
    <t>(858571733, 'Individual and Team Work', 'Demonstrate leadership abilities through varying roles in a project', '', 0.18, 'Msci ' , '261x' , 'TestCourse' , 'Pirnia' , 'Mehrdad' , 'Spring ' , 2016 , '2A' , 'Option') ,</t>
  </si>
  <si>
    <t>(363436152, 'Individual and Team Work', 'Demonstrate leadership abilities through varying roles in a project', '', 0.293333333333333, 'Msci ' , '261x' , 'TestCourse' , 'Pirnia' , 'Mehrdad' , 'Spring ' , 2016 , '2A' , 'Option') ,</t>
  </si>
  <si>
    <t>(393495083, 'Individual and Team Work', 'Demonstrate leadership abilities through varying roles in a project', '', 0.666666666666667, 'Msci ' , '261x' , 'TestCourse' , 'Pirnia' , 'Mehrdad' , 'Spring ' , 2016 , '2A' , 'Option') ,</t>
  </si>
  <si>
    <t>(769635714, 'Individual and Team Work', 'Demonstrate leadership abilities through varying roles in a project', '', 0.8, 'Msci ' , '261x' , 'TestCourse' , 'Pirnia' , 'Mehrdad' , 'Spring ' , 2016 , '2A' , 'Option') ,</t>
  </si>
  <si>
    <t>(373048949, 'Individual and Team Work', 'Demonstrate leadership abilities through varying roles in a project', '', 0.633333333333333, 'Msci ' , '261x' , 'TestCourse' , 'Pirnia' , 'Mehrdad' , 'Spring ' , 2016 , '2A' , 'Option') ,</t>
  </si>
  <si>
    <t>(357061292, 'Individual and Team Work', 'Demonstrate leadership abilities through varying roles in a project', '', 0.233333333333333, 'Msci ' , '261x' , 'TestCourse' , 'Pirnia' , 'Mehrdad' , 'Spring ' , 2016 , '2A' , 'Option') ,</t>
  </si>
  <si>
    <t>(837310284, 'Individual and Team Work', 'Demonstrate leadership abilities through varying roles in a project', '', 0.42, 'Msci ' , '261x' , 'TestCourse' , 'Pirnia' , 'Mehrdad' , 'Spring ' , 2016 , '2A' , 'Option') ,</t>
  </si>
  <si>
    <t>(815854164, 'Individual and Team Work', 'Demonstrate leadership abilities through varying roles in a project', '', 0.8, 'Msci ' , '261x' , 'TestCourse' , 'Pirnia' , 'Mehrdad' , 'Spring ' , 2016 , '2A' , 'Option') ,</t>
  </si>
  <si>
    <t>(315378369, 'Individual and Team Work', 'Demonstrate leadership abilities through varying roles in a project', '', 0.2, 'Msci ' , '261x' , 'TestCourse' , 'Pirnia' , 'Mehrdad' , 'Spring ' , 2016 , '2A' , 'Option') ,</t>
  </si>
  <si>
    <t>(564410540, 'Individual and Team Work', 'Demonstrate leadership abilities through varying roles in a project', '', 0.38, 'Msci ' , '261x' , 'TestCourse' , 'Pirnia' , 'Mehrdad' , 'Spring ' , 2016 , '2A' , 'Option') ,</t>
  </si>
  <si>
    <t>(126539887, 'Individual and Team Work', 'Demonstrate leadership abilities through varying roles in a project', '', 0.253333333333333, 'Msci ' , '261x' , 'TestCourse' , 'Pirnia' , 'Mehrdad' , 'Spring ' , 2016 , '2A' , 'Option') ,</t>
  </si>
  <si>
    <t>(563937624, 'Individual and Team Work', 'Demonstrate leadership abilities through varying roles in a project', '', 0.1, 'Msci ' , '261x' , 'TestCourse' , 'Pirnia' , 'Mehrdad' , 'Spring ' , 2016 , '2A' , 'Option') ,</t>
  </si>
  <si>
    <t>(684291511, 'Individual and Team Work', 'Demonstrate leadership abilities through varying roles in a project', '', 0.42, 'Msci ' , '261x' , 'TestCourse' , 'Pirnia' , 'Mehrdad' , 'Spring ' , 2016 , '2A' , 'Option') ,</t>
  </si>
  <si>
    <t>(598829620, 'Individual and Team Work', 'Develop interpersonal skills by working with others', '', 0.233333333333333, 'Msci ' , '261x' , 'TestCourse' , 'Pirnia' , 'Mehrdad' , 'Spring ' , 2016 , '2A' , 'Option') ,</t>
  </si>
  <si>
    <t>(684014860, 'Individual and Team Work', 'Develop interpersonal skills by working with others', '', 0.56, 'Msci ' , '261x' , 'TestCourse' , 'Pirnia' , 'Mehrdad' , 'Spring ' , 2016 , '2A' , 'Option') ,</t>
  </si>
  <si>
    <t>(843228181, 'Individual and Team Work', 'Develop interpersonal skills by working with others', '', 0.546666666666667, 'Msci ' , '261x' , 'TestCourse' , 'Pirnia' , 'Mehrdad' , 'Spring ' , 2016 , '2A' , 'Option') ,</t>
  </si>
  <si>
    <t>(820549378, 'Individual and Team Work', 'Develop interpersonal skills by working with others', '', 0.3, 'Msci ' , '261x' , 'TestCourse' , 'Pirnia' , 'Mehrdad' , 'Spring ' , 2016 , '2A' , 'Option') ,</t>
  </si>
  <si>
    <t>(533572169, 'Individual and Team Work', 'Develop interpersonal skills by working with others', '', 0.213333333333333, 'Msci ' , '261x' , 'TestCourse' , 'Pirnia' , 'Mehrdad' , 'Spring ' , 2016 , '2A' , 'Option') ,</t>
  </si>
  <si>
    <t>(975325712, 'Individual and Team Work', 'Develop interpersonal skills by working with others', '', 0.386666666666667, 'Msci ' , '261x' , 'TestCourse' , 'Pirnia' , 'Mehrdad' , 'Spring ' , 2016 , '2A' , 'Option') ,</t>
  </si>
  <si>
    <t>(310082419, 'Individual and Team Work', 'Develop interpersonal skills by working with others', '', 0.1, 'Msci ' , '261x' , 'TestCourse' , 'Pirnia' , 'Mehrdad' , 'Spring ' , 2016 , '2A' , 'Option') ,</t>
  </si>
  <si>
    <t>(242132470, 'Individual and Team Work', 'Develop interpersonal skills by working with others', '', 0.26, 'Msci ' , '261x' , 'TestCourse' , 'Pirnia' , 'Mehrdad' , 'Spring ' , 2016 , '2A' , 'Option') ,</t>
  </si>
  <si>
    <t>(208248363, 'Individual and Team Work', 'Develop interpersonal skills by working with others', '', 0.473333333333333, 'Msci ' , '261x' , 'TestCourse' , 'Pirnia' , 'Mehrdad' , 'Spring ' , 2016 , '2A' , 'Option') ,</t>
  </si>
  <si>
    <t>(277055951, 'Individual and Team Work', 'Develop interpersonal skills by working with others', '', 0.173333333333333, 'Msci ' , '261x' , 'TestCourse' , 'Pirnia' , 'Mehrdad' , 'Spring ' , 2016 , '2A' , 'Option') ,</t>
  </si>
  <si>
    <t>(902907559, 'Individual and Team Work', 'Develop interpersonal skills by working with others', '', 0.613333333333333, 'Msci ' , '261x' , 'TestCourse' , 'Pirnia' , 'Mehrdad' , 'Spring ' , 2016 , '2A' , 'Option') ,</t>
  </si>
  <si>
    <t>(528297980, 'Individual and Team Work', 'Develop interpersonal skills by working with others', '', 0.593333333333333, 'Msci ' , '261x' , 'TestCourse' , 'Pirnia' , 'Mehrdad' , 'Spring ' , 2016 , '2A' , 'Option') ,</t>
  </si>
  <si>
    <t>(444882790, 'Individual and Team Work', 'Develop interpersonal skills by working with others', '', 0.08, 'Msci ' , '261x' , 'TestCourse' , 'Pirnia' , 'Mehrdad' , 'Spring ' , 2016 , '2A' , 'Option') ,</t>
  </si>
  <si>
    <t>(112085131, 'Individual and Team Work', 'Develop interpersonal skills by working with others', '', 0.146666666666667, 'Msci ' , '261x' , 'TestCourse' , 'Pirnia' , 'Mehrdad' , 'Spring ' , 2016 , '2A' , 'Option') ,</t>
  </si>
  <si>
    <t>(588642518, 'Individual and Team Work', 'Develop interpersonal skills by working with others', '', 0.853333333333333, 'Msci ' , '261x' , 'TestCourse' , 'Pirnia' , 'Mehrdad' , 'Spring ' , 2016 , '2A' , 'Option') ,</t>
  </si>
  <si>
    <t>(414520736, 'Individual and Team Work', 'Develop interpersonal skills by working with others', '', 0.586666666666667, 'Msci ' , '261x' , 'TestCourse' , 'Pirnia' , 'Mehrdad' , 'Spring ' , 2016 , '2A' , 'Option') ,</t>
  </si>
  <si>
    <t>(356558346, 'Individual and Team Work', 'Develop interpersonal skills by working with others', '', 0.3, 'Msci ' , '261x' , 'TestCourse' , 'Pirnia' , 'Mehrdad' , 'Spring ' , 2016 , '2A' , 'Option') ,</t>
  </si>
  <si>
    <t>(970698993, 'Individual and Team Work', 'Develop interpersonal skills by working with others', '', 0.66, 'Msci ' , '261x' , 'TestCourse' , 'Pirnia' , 'Mehrdad' , 'Spring ' , 2016 , '2A' , 'Option') ,</t>
  </si>
  <si>
    <t>(633537205, 'Individual and Team Work', 'Develop interpersonal skills by working with others', '', 0.273333333333333, 'Msci ' , '261x' , 'TestCourse' , 'Pirnia' , 'Mehrdad' , 'Spring ' , 2016 , '2A' , 'Option') ,</t>
  </si>
  <si>
    <t>(534292868, 'Individual and Team Work', 'Develop interpersonal skills by working with others', '', 0.626666666666667, 'Msci ' , '261x' , 'TestCourse' , 'Pirnia' , 'Mehrdad' , 'Spring ' , 2016 , '2A' , 'Option') ,</t>
  </si>
  <si>
    <t>(816787809, 'Individual and Team Work', 'Develop interpersonal skills by working with others', '', 0.526666666666667, 'Msci ' , '261x' , 'TestCourse' , 'Pirnia' , 'Mehrdad' , 'Spring ' , 2016 , '2A' , 'Option') ,</t>
  </si>
  <si>
    <t>(220052551, 'Individual and Team Work', 'Develop interpersonal skills by working with others', '', 0.54, 'Msci ' , '261x' , 'TestCourse' , 'Pirnia' , 'Mehrdad' , 'Spring ' , 2016 , '2A' , 'Option') ,</t>
  </si>
  <si>
    <t>(858571733, 'Individual and Team Work', 'Develop interpersonal skills by working with others', '', 0.18, 'Msci ' , '261x' , 'TestCourse' , 'Pirnia' , 'Mehrdad' , 'Spring ' , 2016 , '2A' , 'Option') ,</t>
  </si>
  <si>
    <t>(363436152, 'Individual and Team Work', 'Develop interpersonal skills by working with others', '', 0.293333333333333, 'Msci ' , '261x' , 'TestCourse' , 'Pirnia' , 'Mehrdad' , 'Spring ' , 2016 , '2A' , 'Option') ,</t>
  </si>
  <si>
    <t>(393495083, 'Individual and Team Work', 'Develop interpersonal skills by working with others', '', 0.666666666666667, 'Msci ' , '261x' , 'TestCourse' , 'Pirnia' , 'Mehrdad' , 'Spring ' , 2016 , '2A' , 'Option') ,</t>
  </si>
  <si>
    <t>(769635714, 'Individual and Team Work', 'Develop interpersonal skills by working with others', '', 0.8, 'Msci ' , '261x' , 'TestCourse' , 'Pirnia' , 'Mehrdad' , 'Spring ' , 2016 , '2A' , 'Option') ,</t>
  </si>
  <si>
    <t>(373048949, 'Individual and Team Work', 'Develop interpersonal skills by working with others', '', 0.633333333333333, 'Msci ' , '261x' , 'TestCourse' , 'Pirnia' , 'Mehrdad' , 'Spring ' , 2016 , '2A' , 'Option') ,</t>
  </si>
  <si>
    <t>(357061292, 'Individual and Team Work', 'Develop interpersonal skills by working with others', '', 0.233333333333333, 'Msci ' , '261x' , 'TestCourse' , 'Pirnia' , 'Mehrdad' , 'Spring ' , 2016 , '2A' , 'Option') ,</t>
  </si>
  <si>
    <t>(837310284, 'Individual and Team Work', 'Develop interpersonal skills by working with others', '', 0.42, 'Msci ' , '261x' , 'TestCourse' , 'Pirnia' , 'Mehrdad' , 'Spring ' , 2016 , '2A' , 'Option') ,</t>
  </si>
  <si>
    <t>(815854164, 'Individual and Team Work', 'Develop interpersonal skills by working with others', '', 0.8, 'Msci ' , '261x' , 'TestCourse' , 'Pirnia' , 'Mehrdad' , 'Spring ' , 2016 , '2A' , 'Option') ,</t>
  </si>
  <si>
    <t>(315378369, 'Individual and Team Work', 'Develop interpersonal skills by working with others', '', 0.2, 'Msci ' , '261x' , 'TestCourse' , 'Pirnia' , 'Mehrdad' , 'Spring ' , 2016 , '2A' , 'Option') ,</t>
  </si>
  <si>
    <t>(564410540, 'Individual and Team Work', 'Develop interpersonal skills by working with others', '', 0.38, 'Msci ' , '261x' , 'TestCourse' , 'Pirnia' , 'Mehrdad' , 'Spring ' , 2016 , '2A' , 'Option') ,</t>
  </si>
  <si>
    <t>(126539887, 'Individual and Team Work', 'Develop interpersonal skills by working with others', '', 0.253333333333333, 'Msci ' , '261x' , 'TestCourse' , 'Pirnia' , 'Mehrdad' , 'Spring ' , 2016 , '2A' , 'Option') ,</t>
  </si>
  <si>
    <t>(563937624, 'Individual and Team Work', 'Develop interpersonal skills by working with others', '', 0.1, 'Msci ' , '261x' , 'TestCourse' , 'Pirnia' , 'Mehrdad' , 'Spring ' , 2016 , '2A' , 'Option') ,</t>
  </si>
  <si>
    <t>(684291511, 'Individual and Team Work', 'Develop interpersonal skills by working with others', '', 0.42, 'Msci ' , '261x' , 'TestCourse' , 'Pirnia' , 'Mehrdad' , 'Spring ' , 2016 , '2A' , 'Option') ,</t>
  </si>
  <si>
    <t>(598829620, 'Communication Skills', 'Generate an organized and professional report with appropriate page length, section headings, and/or correct spelling and grammar', '', 0.4, 'Msci ' , '261x' , 'TestCourse' , 'Pirnia' , 'Mehrdad' , 'Spring ' , 2016 , '2A' , 'Option') ,</t>
  </si>
  <si>
    <t>(684014860, 'Communication Skills', 'Generate an organized and professional report with appropriate page length, section headings, and/or correct spelling and grammar', '', 0.56, 'Msci ' , '261x' , 'TestCourse' , 'Pirnia' , 'Mehrdad' , 'Spring ' , 2016 , '2A' , 'Option') ,</t>
  </si>
  <si>
    <t>(843228181, 'Communication Skills', 'Generate an organized and professional report with appropriate page length, section headings, and/or correct spelling and grammar', '', 0.42, 'Msci ' , '261x' , 'TestCourse' , 'Pirnia' , 'Mehrdad' , 'Spring ' , 2016 , '2A' , 'Option') ,</t>
  </si>
  <si>
    <t>(820549378, 'Communication Skills', 'Generate an organized and professional report with appropriate page length, section headings, and/or correct spelling and grammar', '', 0.26, 'Msci ' , '261x' , 'TestCourse' , 'Pirnia' , 'Mehrdad' , 'Spring ' , 2016 , '2A' , 'Option') ,</t>
  </si>
  <si>
    <t>(533572169, 'Communication Skills', 'Generate an organized and professional report with appropriate page length, section headings, and/or correct spelling and grammar', '', 0.04, 'Msci ' , '261x' , 'TestCourse' , 'Pirnia' , 'Mehrdad' , 'Spring ' , 2016 , '2A' , 'Option') ,</t>
  </si>
  <si>
    <t>(975325712, 'Communication Skills', 'Generate an organized and professional report with appropriate page length, section headings, and/or correct spelling and grammar', '', 0.36, 'Msci ' , '261x' , 'TestCourse' , 'Pirnia' , 'Mehrdad' , 'Spring ' , 2016 , '2A' , 'Option') ,</t>
  </si>
  <si>
    <t>(310082419, 'Communication Skills', 'Generate an organized and professional report with appropriate page length, section headings, and/or correct spelling and grammar', '', 0.22, 'Msci ' , '261x' , 'TestCourse' , 'Pirnia' , 'Mehrdad' , 'Spring ' , 2016 , '2A' , 'Option') ,</t>
  </si>
  <si>
    <t>(242132470, 'Communication Skills', 'Generate an organized and professional report with appropriate page length, section headings, and/or correct spelling and grammar', '', 0.56, 'Msci ' , '261x' , 'TestCourse' , 'Pirnia' , 'Mehrdad' , 'Spring ' , 2016 , '2A' , 'Option') ,</t>
  </si>
  <si>
    <t>(208248363, 'Communication Skills', 'Generate an organized and professional report with appropriate page length, section headings, and/or correct spelling and grammar', '', 0.4, 'Msci ' , '261x' , 'TestCourse' , 'Pirnia' , 'Mehrdad' , 'Spring ' , 2016 , '2A' , 'Option') ,</t>
  </si>
  <si>
    <t>(277055951, 'Communication Skills', 'Generate an organized and professional report with appropriate page length, section headings, and/or correct spelling and grammar', '', 0, 'Msci ' , '261x' , 'TestCourse' , 'Pirnia' , 'Mehrdad' , 'Spring ' , 2016 , '2A' , 'Option') ,</t>
  </si>
  <si>
    <t>(902907559, 'Communication Skills', 'Generate an organized and professional report with appropriate page length, section headings, and/or correct spelling and grammar', '', 0.12, 'Msci ' , '261x' , 'TestCourse' , 'Pirnia' , 'Mehrdad' , 'Spring ' , 2016 , '2A' , 'Option') ,</t>
  </si>
  <si>
    <t>(528297980, 'Communication Skills', 'Generate an organized and professional report with appropriate page length, section headings, and/or correct spelling and grammar', '', 0.62, 'Msci ' , '261x' , 'TestCourse' , 'Pirnia' , 'Mehrdad' , 'Spring ' , 2016 , '2A' , 'Option') ,</t>
  </si>
  <si>
    <t>(444882790, 'Communication Skills', 'Generate an organized and professional report with appropriate page length, section headings, and/or correct spelling and grammar', '', 0.14, 'Msci ' , '261x' , 'TestCourse' , 'Pirnia' , 'Mehrdad' , 'Spring ' , 2016 , '2A' , 'Option') ,</t>
  </si>
  <si>
    <t>(112085131, 'Communication Skills', 'Generate an organized and professional report with appropriate page length, section headings, and/or correct spelling and grammar', '', 0.18, 'Msci ' , '261x' , 'TestCourse' , 'Pirnia' , 'Mehrdad' , 'Spring ' , 2016 , '2A' , 'Option') ,</t>
  </si>
  <si>
    <t>(588642518, 'Communication Skills', 'Generate an organized and professional report with appropriate page length, section headings, and/or correct spelling and grammar', '', 0.68, 'Msci ' , '261x' , 'TestCourse' , 'Pirnia' , 'Mehrdad' , 'Spring ' , 2016 , '2A' , 'Option') ,</t>
  </si>
  <si>
    <t>(414520736, 'Communication Skills', 'Generate an organized and professional report with appropriate page length, section headings, and/or correct spelling and grammar', '', 0.14, 'Msci ' , '261x' , 'TestCourse' , 'Pirnia' , 'Mehrdad' , 'Spring ' , 2016 , '2A' , 'Option') ,</t>
  </si>
  <si>
    <t>(356558346, 'Communication Skills', 'Generate an organized and professional report with appropriate page length, section headings, and/or correct spelling and grammar', '', 0.04, 'Msci ' , '261x' , 'TestCourse' , 'Pirnia' , 'Mehrdad' , 'Spring ' , 2016 , '2A' , 'Option') ,</t>
  </si>
  <si>
    <t>(970698993, 'Communication Skills', 'Generate an organized and professional report with appropriate page length, section headings, and/or correct spelling and grammar', '', 0.08, 'Msci ' , '261x' , 'TestCourse' , 'Pirnia' , 'Mehrdad' , 'Spring ' , 2016 , '2A' , 'Option') ,</t>
  </si>
  <si>
    <t>(633537205, 'Communication Skills', 'Generate an organized and professional report with appropriate page length, section headings, and/or correct spelling and grammar', '', 0.1, 'Msci ' , '261x' , 'TestCourse' , 'Pirnia' , 'Mehrdad' , 'Spring ' , 2016 , '2A' , 'Option') ,</t>
  </si>
  <si>
    <t>(534292868, 'Communication Skills', 'Generate an organized and professional report with appropriate page length, section headings, and/or correct spelling and grammar', '', 0.08, 'Msci ' , '261x' , 'TestCourse' , 'Pirnia' , 'Mehrdad' , 'Spring ' , 2016 , '2A' , 'Option') ,</t>
  </si>
  <si>
    <t>(816787809, 'Communication Skills', 'Generate an organized and professional report with appropriate page length, section headings, and/or correct spelling and grammar', '', 0.64, 'Msci ' , '261x' , 'TestCourse' , 'Pirnia' , 'Mehrdad' , 'Spring ' , 2016 , '2A' , 'Option') ,</t>
  </si>
  <si>
    <t>(220052551, 'Communication Skills', 'Generate an organized and professional report with appropriate page length, section headings, and/or correct spelling and grammar', '', 0.14, 'Msci ' , '261x' , 'TestCourse' , 'Pirnia' , 'Mehrdad' , 'Spring ' , 2016 , '2A' , 'Option') ,</t>
  </si>
  <si>
    <t>(858571733, 'Communication Skills', 'Generate an organized and professional report with appropriate page length, section headings, and/or correct spelling and grammar', '', 0.16, 'Msci ' , '261x' , 'TestCourse' , 'Pirnia' , 'Mehrdad' , 'Spring ' , 2016 , '2A' , 'Option') ,</t>
  </si>
  <si>
    <t>(363436152, 'Communication Skills', 'Generate an organized and professional report with appropriate page length, section headings, and/or correct spelling and grammar', '', 0.46, 'Msci ' , '261x' , 'TestCourse' , 'Pirnia' , 'Mehrdad' , 'Spring ' , 2016 , '2A' , 'Option') ,</t>
  </si>
  <si>
    <t>(393495083, 'Communication Skills', 'Generate an organized and professional report with appropriate page length, section headings, and/or correct spelling and grammar', '', 0.18, 'Msci ' , '261x' , 'TestCourse' , 'Pirnia' , 'Mehrdad' , 'Spring ' , 2016 , '2A' , 'Option') ,</t>
  </si>
  <si>
    <t>(769635714, 'Communication Skills', 'Generate an organized and professional report with appropriate page length, section headings, and/or correct spelling and grammar', '', 0.64, 'Msci ' , '261x' , 'TestCourse' , 'Pirnia' , 'Mehrdad' , 'Spring ' , 2016 , '2A' , 'Option') ,</t>
  </si>
  <si>
    <t>(373048949, 'Communication Skills', 'Generate an organized and professional report with appropriate page length, section headings, and/or correct spelling and grammar', '', 0.3, 'Msci ' , '261x' , 'TestCourse' , 'Pirnia' , 'Mehrdad' , 'Spring ' , 2016 , '2A' , 'Option') ,</t>
  </si>
  <si>
    <t>(357061292, 'Communication Skills', 'Generate an organized and professional report with appropriate page length, section headings, and/or correct spelling and grammar', '', 0.5, 'Msci ' , '261x' , 'TestCourse' , 'Pirnia' , 'Mehrdad' , 'Spring ' , 2016 , '2A' , 'Option') ,</t>
  </si>
  <si>
    <t>(837310284, 'Communication Skills', 'Generate an organized and professional report with appropriate page length, section headings, and/or correct spelling and grammar', '', 0.36, 'Msci ' , '261x' , 'TestCourse' , 'Pirnia' , 'Mehrdad' , 'Spring ' , 2016 , '2A' , 'Option') ,</t>
  </si>
  <si>
    <t>(815854164, 'Communication Skills', 'Generate an organized and professional report with appropriate page length, section headings, and/or correct spelling and grammar', '', 0.62, 'Msci ' , '261x' , 'TestCourse' , 'Pirnia' , 'Mehrdad' , 'Spring ' , 2016 , '2A' , 'Option') ,</t>
  </si>
  <si>
    <t>(315378369, 'Communication Skills', 'Generate an organized and professional report with appropriate page length, section headings, and/or correct spelling and grammar', '', 0.36, 'Msci ' , '261x' , 'TestCourse' , 'Pirnia' , 'Mehrdad' , 'Spring ' , 2016 , '2A' , 'Option') ,</t>
  </si>
  <si>
    <t>(564410540, 'Communication Skills', 'Generate an organized and professional report with appropriate page length, section headings, and/or correct spelling and grammar', '', 0.72, 'Msci ' , '261x' , 'TestCourse' , 'Pirnia' , 'Mehrdad' , 'Spring ' , 2016 , '2A' , 'Option') ,</t>
  </si>
  <si>
    <t>(126539887, 'Communication Skills', 'Generate an organized and professional report with appropriate page length, section headings, and/or correct spelling and grammar', '', 0.62, 'Msci ' , '261x' , 'TestCourse' , 'Pirnia' , 'Mehrdad' , 'Spring ' , 2016 , '2A' , 'Option') ,</t>
  </si>
  <si>
    <t>(563937624, 'Communication Skills', 'Generate an organized and professional report with appropriate page length, section headings, and/or correct spelling and grammar', '', 0.2, 'Msci ' , '261x' , 'TestCourse' , 'Pirnia' , 'Mehrdad' , 'Spring ' , 2016 , '2A' , 'Option') ,</t>
  </si>
  <si>
    <t>(684291511, 'Communication Skills', 'Generate an organized and professional report with appropriate page length, section headings, and/or correct spelling and grammar', '', 0.52, 'Msci ' , '261x' , 'TestCourse' , 'Pirnia' , 'Mehrdad' , 'Spring ' , 2016 , '2A' , 'Option') ,</t>
  </si>
  <si>
    <t>(598829620, 'Communication Skills', 'Prepare and present a solution to a real-life problem', '', 0.4, 'Msci ' , '261x' , 'TestCourse' , 'Pirnia' , 'Mehrdad' , 'Spring ' , 2016 , '2A' , 'Option') ,</t>
  </si>
  <si>
    <t>(684014860, 'Communication Skills', 'Prepare and present a solution to a real-life problem', '', 0.56, 'Msci ' , '261x' , 'TestCourse' , 'Pirnia' , 'Mehrdad' , 'Spring ' , 2016 , '2A' , 'Option') ,</t>
  </si>
  <si>
    <t>(843228181, 'Communication Skills', 'Prepare and present a solution to a real-life problem', '', 0.42, 'Msci ' , '261x' , 'TestCourse' , 'Pirnia' , 'Mehrdad' , 'Spring ' , 2016 , '2A' , 'Option') ,</t>
  </si>
  <si>
    <t>(820549378, 'Communication Skills', 'Prepare and present a solution to a real-life problem', '', 0.26, 'Msci ' , '261x' , 'TestCourse' , 'Pirnia' , 'Mehrdad' , 'Spring ' , 2016 , '2A' , 'Option') ,</t>
  </si>
  <si>
    <t>(533572169, 'Communication Skills', 'Prepare and present a solution to a real-life problem', '', 0.04, 'Msci ' , '261x' , 'TestCourse' , 'Pirnia' , 'Mehrdad' , 'Spring ' , 2016 , '2A' , 'Option') ,</t>
  </si>
  <si>
    <t>(975325712, 'Communication Skills', 'Prepare and present a solution to a real-life problem', '', 0.36, 'Msci ' , '261x' , 'TestCourse' , 'Pirnia' , 'Mehrdad' , 'Spring ' , 2016 , '2A' , 'Option') ,</t>
  </si>
  <si>
    <t>(310082419, 'Communication Skills', 'Prepare and present a solution to a real-life problem', '', 0.22, 'Msci ' , '261x' , 'TestCourse' , 'Pirnia' , 'Mehrdad' , 'Spring ' , 2016 , '2A' , 'Option') ,</t>
  </si>
  <si>
    <t>(242132470, 'Communication Skills', 'Prepare and present a solution to a real-life problem', '', 0.56, 'Msci ' , '261x' , 'TestCourse' , 'Pirnia' , 'Mehrdad' , 'Spring ' , 2016 , '2A' , 'Option') ,</t>
  </si>
  <si>
    <t>(208248363, 'Communication Skills', 'Prepare and present a solution to a real-life problem', '', 0.4, 'Msci ' , '261x' , 'TestCourse' , 'Pirnia' , 'Mehrdad' , 'Spring ' , 2016 , '2A' , 'Option') ,</t>
  </si>
  <si>
    <t>(277055951, 'Communication Skills', 'Prepare and present a solution to a real-life problem', '', 0, 'Msci ' , '261x' , 'TestCourse' , 'Pirnia' , 'Mehrdad' , 'Spring ' , 2016 , '2A' , 'Option') ,</t>
  </si>
  <si>
    <t>(902907559, 'Communication Skills', 'Prepare and present a solution to a real-life problem', '', 0.12, 'Msci ' , '261x' , 'TestCourse' , 'Pirnia' , 'Mehrdad' , 'Spring ' , 2016 , '2A' , 'Option') ,</t>
  </si>
  <si>
    <t>(528297980, 'Communication Skills', 'Prepare and present a solution to a real-life problem', '', 0.62, 'Msci ' , '261x' , 'TestCourse' , 'Pirnia' , 'Mehrdad' , 'Spring ' , 2016 , '2A' , 'Option') ,</t>
  </si>
  <si>
    <t>(444882790, 'Communication Skills', 'Prepare and present a solution to a real-life problem', '', 0.14, 'Msci ' , '261x' , 'TestCourse' , 'Pirnia' , 'Mehrdad' , 'Spring ' , 2016 , '2A' , 'Option') ,</t>
  </si>
  <si>
    <t>(112085131, 'Communication Skills', 'Prepare and present a solution to a real-life problem', '', 0.18, 'Msci ' , '261x' , 'TestCourse' , 'Pirnia' , 'Mehrdad' , 'Spring ' , 2016 , '2A' , 'Option') ,</t>
  </si>
  <si>
    <t>(588642518, 'Communication Skills', 'Prepare and present a solution to a real-life problem', '', 0.68, 'Msci ' , '261x' , 'TestCourse' , 'Pirnia' , 'Mehrdad' , 'Spring ' , 2016 , '2A' , 'Option') ,</t>
  </si>
  <si>
    <t>(414520736, 'Communication Skills', 'Prepare and present a solution to a real-life problem', '', 0.14, 'Msci ' , '261x' , 'TestCourse' , 'Pirnia' , 'Mehrdad' , 'Spring ' , 2016 , '2A' , 'Option') ,</t>
  </si>
  <si>
    <t>(356558346, 'Communication Skills', 'Prepare and present a solution to a real-life problem', '', 0.04, 'Msci ' , '261x' , 'TestCourse' , 'Pirnia' , 'Mehrdad' , 'Spring ' , 2016 , '2A' , 'Option') ,</t>
  </si>
  <si>
    <t>(970698993, 'Communication Skills', 'Prepare and present a solution to a real-life problem', '', 0.08, 'Msci ' , '261x' , 'TestCourse' , 'Pirnia' , 'Mehrdad' , 'Spring ' , 2016 , '2A' , 'Option') ,</t>
  </si>
  <si>
    <t>(633537205, 'Communication Skills', 'Prepare and present a solution to a real-life problem', '', 0.1, 'Msci ' , '261x' , 'TestCourse' , 'Pirnia' , 'Mehrdad' , 'Spring ' , 2016 , '2A' , 'Option') ,</t>
  </si>
  <si>
    <t>(534292868, 'Communication Skills', 'Prepare and present a solution to a real-life problem', '', 0.08, 'Msci ' , '261x' , 'TestCourse' , 'Pirnia' , 'Mehrdad' , 'Spring ' , 2016 , '2A' , 'Option') ,</t>
  </si>
  <si>
    <t>(816787809, 'Communication Skills', 'Prepare and present a solution to a real-life problem', '', 0.64, 'Msci ' , '261x' , 'TestCourse' , 'Pirnia' , 'Mehrdad' , 'Spring ' , 2016 , '2A' , 'Option') ,</t>
  </si>
  <si>
    <t>(220052551, 'Communication Skills', 'Prepare and present a solution to a real-life problem', '', 0.14, 'Msci ' , '261x' , 'TestCourse' , 'Pirnia' , 'Mehrdad' , 'Spring ' , 2016 , '2A' , 'Option') ,</t>
  </si>
  <si>
    <t>(858571733, 'Communication Skills', 'Prepare and present a solution to a real-life problem', '', 0.16, 'Msci ' , '261x' , 'TestCourse' , 'Pirnia' , 'Mehrdad' , 'Spring ' , 2016 , '2A' , 'Option') ,</t>
  </si>
  <si>
    <t>(363436152, 'Communication Skills', 'Prepare and present a solution to a real-life problem', '', 0.46, 'Msci ' , '261x' , 'TestCourse' , 'Pirnia' , 'Mehrdad' , 'Spring ' , 2016 , '2A' , 'Option') ,</t>
  </si>
  <si>
    <t>(393495083, 'Communication Skills', 'Prepare and present a solution to a real-life problem', '', 0.18, 'Msci ' , '261x' , 'TestCourse' , 'Pirnia' , 'Mehrdad' , 'Spring ' , 2016 , '2A' , 'Option') ,</t>
  </si>
  <si>
    <t>(769635714, 'Communication Skills', 'Prepare and present a solution to a real-life problem', '', 0.64, 'Msci ' , '261x' , 'TestCourse' , 'Pirnia' , 'Mehrdad' , 'Spring ' , 2016 , '2A' , 'Option') ,</t>
  </si>
  <si>
    <t>(373048949, 'Communication Skills', 'Prepare and present a solution to a real-life problem', '', 0.3, 'Msci ' , '261x' , 'TestCourse' , 'Pirnia' , 'Mehrdad' , 'Spring ' , 2016 , '2A' , 'Option') ,</t>
  </si>
  <si>
    <t>(357061292, 'Communication Skills', 'Prepare and present a solution to a real-life problem', '', 0.5, 'Msci ' , '261x' , 'TestCourse' , 'Pirnia' , 'Mehrdad' , 'Spring ' , 2016 , '2A' , 'Option') ,</t>
  </si>
  <si>
    <t>(837310284, 'Communication Skills', 'Prepare and present a solution to a real-life problem', '', 0.36, 'Msci ' , '261x' , 'TestCourse' , 'Pirnia' , 'Mehrdad' , 'Spring ' , 2016 , '2A' , 'Option') ,</t>
  </si>
  <si>
    <t>(815854164, 'Communication Skills', 'Prepare and present a solution to a real-life problem', '', 0.62, 'Msci ' , '261x' , 'TestCourse' , 'Pirnia' , 'Mehrdad' , 'Spring ' , 2016 , '2A' , 'Option') ,</t>
  </si>
  <si>
    <t>(315378369, 'Communication Skills', 'Prepare and present a solution to a real-life problem', '', 0.36, 'Msci ' , '261x' , 'TestCourse' , 'Pirnia' , 'Mehrdad' , 'Spring ' , 2016 , '2A' , 'Option') ,</t>
  </si>
  <si>
    <t>(564410540, 'Communication Skills', 'Prepare and present a solution to a real-life problem', '', 0.72, 'Msci ' , '261x' , 'TestCourse' , 'Pirnia' , 'Mehrdad' , 'Spring ' , 2016 , '2A' , 'Option') ,</t>
  </si>
  <si>
    <t>(126539887, 'Communication Skills', 'Prepare and present a solution to a real-life problem', '', 0.62, 'Msci ' , '261x' , 'TestCourse' , 'Pirnia' , 'Mehrdad' , 'Spring ' , 2016 , '2A' , 'Option') ,</t>
  </si>
  <si>
    <t>(563937624, 'Communication Skills', 'Prepare and present a solution to a real-life problem', '', 0.2, 'Msci ' , '261x' , 'TestCourse' , 'Pirnia' , 'Mehrdad' , 'Spring ' , 2016 , '2A' , 'Option') ,</t>
  </si>
  <si>
    <t>(684291511, 'Communication Skills', 'Prepare and present a solution to a real-life problem', '', 0.52, 'Msci ' , '261x' , 'TestCourse' , 'Pirnia' , 'Mehrdad' , 'Spring ' , 2016 , '2A' , 'Option') ,</t>
  </si>
  <si>
    <t>(598829620, 'Professionalism', 'Comprehend the professional practice of engineering', '', 0.3, 'Msci ' , '261x' , 'TestCourse' , 'Pirnia' , 'Mehrdad' , 'Spring ' , 2016 , '2A' , 'Option') ,</t>
  </si>
  <si>
    <t>(684014860, 'Professionalism', 'Comprehend the professional practice of engineering', '', 0.56, 'Msci ' , '261x' , 'TestCourse' , 'Pirnia' , 'Mehrdad' , 'Spring ' , 2016 , '2A' , 'Option') ,</t>
  </si>
  <si>
    <t>(843228181, 'Professionalism', 'Comprehend the professional practice of engineering', '', 0.496, 'Msci ' , '261x' , 'TestCourse' , 'Pirnia' , 'Mehrdad' , 'Spring ' , 2016 , '2A' , 'Option') ,</t>
  </si>
  <si>
    <t>(820549378, 'Professionalism', 'Comprehend the professional practice of engineering', '', 0.284, 'Msci ' , '261x' , 'TestCourse' , 'Pirnia' , 'Mehrdad' , 'Spring ' , 2016 , '2A' , 'Option') ,</t>
  </si>
  <si>
    <t>(533572169, 'Professionalism', 'Comprehend the professional practice of engineering', '', 0.144, 'Msci ' , '261x' , 'TestCourse' , 'Pirnia' , 'Mehrdad' , 'Spring ' , 2016 , '2A' , 'Option') ,</t>
  </si>
  <si>
    <t>(975325712, 'Professionalism', 'Comprehend the professional practice of engineering', '', 0.376, 'Msci ' , '261x' , 'TestCourse' , 'Pirnia' , 'Mehrdad' , 'Spring ' , 2016 , '2A' , 'Option') ,</t>
  </si>
  <si>
    <t>(310082419, 'Professionalism', 'Comprehend the professional practice of engineering', '', 0.148, 'Msci ' , '261x' , 'TestCourse' , 'Pirnia' , 'Mehrdad' , 'Spring ' , 2016 , '2A' , 'Option') ,</t>
  </si>
  <si>
    <t>(242132470, 'Professionalism', 'Comprehend the professional practice of engineering', '', 0.38, 'Msci ' , '261x' , 'TestCourse' , 'Pirnia' , 'Mehrdad' , 'Spring ' , 2016 , '2A' , 'Option') ,</t>
  </si>
  <si>
    <t>(208248363, 'Professionalism', 'Comprehend the professional practice of engineering', '', 0.444, 'Msci ' , '261x' , 'TestCourse' , 'Pirnia' , 'Mehrdad' , 'Spring ' , 2016 , '2A' , 'Option') ,</t>
  </si>
  <si>
    <t>(277055951, 'Professionalism', 'Comprehend the professional practice of engineering', '', 0.104, 'Msci ' , '261x' , 'TestCourse' , 'Pirnia' , 'Mehrdad' , 'Spring ' , 2016 , '2A' , 'Option') ,</t>
  </si>
  <si>
    <t>(902907559, 'Professionalism', 'Comprehend the professional practice of engineering', '', 0.416, 'Msci ' , '261x' , 'TestCourse' , 'Pirnia' , 'Mehrdad' , 'Spring ' , 2016 , '2A' , 'Option') ,</t>
  </si>
  <si>
    <t>(528297980, 'Professionalism', 'Comprehend the professional practice of engineering', '', 0.604, 'Msci ' , '261x' , 'TestCourse' , 'Pirnia' , 'Mehrdad' , 'Spring ' , 2016 , '2A' , 'Option') ,</t>
  </si>
  <si>
    <t>(444882790, 'Professionalism', 'Comprehend the professional practice of engineering', '', 0.104, 'Msci ' , '261x' , 'TestCourse' , 'Pirnia' , 'Mehrdad' , 'Spring ' , 2016 , '2A' , 'Option') ,</t>
  </si>
  <si>
    <t>(112085131, 'Professionalism', 'Comprehend the professional practice of engineering', '', 0.16, 'Msci ' , '261x' , 'TestCourse' , 'Pirnia' , 'Mehrdad' , 'Spring ' , 2016 , '2A' , 'Option') ,</t>
  </si>
  <si>
    <t>(588642518, 'Professionalism', 'Comprehend the professional practice of engineering', '', 0.784, 'Msci ' , '261x' , 'TestCourse' , 'Pirnia' , 'Mehrdad' , 'Spring ' , 2016 , '2A' , 'Option') ,</t>
  </si>
  <si>
    <t>(414520736, 'Professionalism', 'Comprehend the professional practice of engineering', '', 0.408, 'Msci ' , '261x' , 'TestCourse' , 'Pirnia' , 'Mehrdad' , 'Spring ' , 2016 , '2A' , 'Option') ,</t>
  </si>
  <si>
    <t>(356558346, 'Professionalism', 'Comprehend the professional practice of engineering', '', 0.196, 'Msci ' , '261x' , 'TestCourse' , 'Pirnia' , 'Mehrdad' , 'Spring ' , 2016 , '2A' , 'Option') ,</t>
  </si>
  <si>
    <t>(970698993, 'Professionalism', 'Comprehend the professional practice of engineering', '', 0.428, 'Msci ' , '261x' , 'TestCourse' , 'Pirnia' , 'Mehrdad' , 'Spring ' , 2016 , '2A' , 'Option') ,</t>
  </si>
  <si>
    <t>(633537205, 'Professionalism', 'Comprehend the professional practice of engineering', '', 0.204, 'Msci ' , '261x' , 'TestCourse' , 'Pirnia' , 'Mehrdad' , 'Spring ' , 2016 , '2A' , 'Option') ,</t>
  </si>
  <si>
    <t>(534292868, 'Professionalism', 'Comprehend the professional practice of engineering', '', 0.408, 'Msci ' , '261x' , 'TestCourse' , 'Pirnia' , 'Mehrdad' , 'Spring ' , 2016 , '2A' , 'Option') ,</t>
  </si>
  <si>
    <t>(816787809, 'Professionalism', 'Comprehend the professional practice of engineering', '', 0.572, 'Msci ' , '261x' , 'TestCourse' , 'Pirnia' , 'Mehrdad' , 'Spring ' , 2016 , '2A' , 'Option') ,</t>
  </si>
  <si>
    <t>(220052551, 'Professionalism', 'Comprehend the professional practice of engineering', '', 0.38, 'Msci ' , '261x' , 'TestCourse' , 'Pirnia' , 'Mehrdad' , 'Spring ' , 2016 , '2A' , 'Option') ,</t>
  </si>
  <si>
    <t>(858571733, 'Professionalism', 'Comprehend the professional practice of engineering', '', 0.172, 'Msci ' , '261x' , 'TestCourse' , 'Pirnia' , 'Mehrdad' , 'Spring ' , 2016 , '2A' , 'Option') ,</t>
  </si>
  <si>
    <t>(363436152, 'Professionalism', 'Comprehend the professional practice of engineering', '', 0.36, 'Msci ' , '261x' , 'TestCourse' , 'Pirnia' , 'Mehrdad' , 'Spring ' , 2016 , '2A' , 'Option') ,</t>
  </si>
  <si>
    <t>(393495083, 'Professionalism', 'Comprehend the professional practice of engineering', '', 0.472, 'Msci ' , '261x' , 'TestCourse' , 'Pirnia' , 'Mehrdad' , 'Spring ' , 2016 , '2A' , 'Option') ,</t>
  </si>
  <si>
    <t>(769635714, 'Professionalism', 'Comprehend the professional practice of engineering', '', 0.736, 'Msci ' , '261x' , 'TestCourse' , 'Pirnia' , 'Mehrdad' , 'Spring ' , 2016 , '2A' , 'Option') ,</t>
  </si>
  <si>
    <t>(373048949, 'Professionalism', 'Comprehend the professional practice of engineering', '', 0.5, 'Msci ' , '261x' , 'TestCourse' , 'Pirnia' , 'Mehrdad' , 'Spring ' , 2016 , '2A' , 'Option') ,</t>
  </si>
  <si>
    <t>(357061292, 'Professionalism', 'Comprehend the professional practice of engineering', '', 0.34, 'Msci ' , '261x' , 'TestCourse' , 'Pirnia' , 'Mehrdad' , 'Spring ' , 2016 , '2A' , 'Option') ,</t>
  </si>
  <si>
    <t>(837310284, 'Professionalism', 'Comprehend the professional practice of engineering', '', 0.396, 'Msci ' , '261x' , 'TestCourse' , 'Pirnia' , 'Mehrdad' , 'Spring ' , 2016 , '2A' , 'Option') ,</t>
  </si>
  <si>
    <t>(815854164, 'Professionalism', 'Comprehend the professional practice of engineering', '', 0.728, 'Msci ' , '261x' , 'TestCourse' , 'Pirnia' , 'Mehrdad' , 'Spring ' , 2016 , '2A' , 'Option') ,</t>
  </si>
  <si>
    <t>(315378369, 'Professionalism', 'Comprehend the professional practice of engineering', '', 0.264, 'Msci ' , '261x' , 'TestCourse' , 'Pirnia' , 'Mehrdad' , 'Spring ' , 2016 , '2A' , 'Option') ,</t>
  </si>
  <si>
    <t>(564410540, 'Professionalism', 'Comprehend the professional practice of engineering', '', 0.516, 'Msci ' , '261x' , 'TestCourse' , 'Pirnia' , 'Mehrdad' , 'Spring ' , 2016 , '2A' , 'Option') ,</t>
  </si>
  <si>
    <t>(126539887, 'Professionalism', 'Comprehend the professional practice of engineering', '', 0.4, 'Msci ' , '261x' , 'TestCourse' , 'Pirnia' , 'Mehrdad' , 'Spring ' , 2016 , '2A' , 'Option') ,</t>
  </si>
  <si>
    <t>(563937624, 'Professionalism', 'Comprehend the professional practice of engineering', '', 0.14, 'Msci ' , '261x' , 'TestCourse' , 'Pirnia' , 'Mehrdad' , 'Spring ' , 2016 , '2A' , 'Option') ,</t>
  </si>
  <si>
    <t>(684291511, 'Professionalism', 'Comprehend the professional practice of engineering', '', 0.46, 'Msci ' , '261x' , 'TestCourse' , 'Pirnia' , 'Mehrdad' , 'Spring ' , 2016 , '2A' , 'Option') ,</t>
  </si>
  <si>
    <t>(598829620, 'Impact On Society', 'Describe the impact of information technology in society with reference to future occupations', '', 0.271666666666667, 'Msci ' , '261x' , 'TestCourse' , 'Pirnia' , 'Mehrdad' , 'Spring ' , 2016 , '2A' , 'Option') ,</t>
  </si>
  <si>
    <t>(684014860, 'Impact On Society', 'Describe the impact of information technology in society with reference to future occupations', '', 0.62, 'Msci ' , '261x' , 'TestCourse' , 'Pirnia' , 'Mehrdad' , 'Spring ' , 2016 , '2A' , 'Option') ,</t>
  </si>
  <si>
    <t>(843228181, 'Impact On Society', 'Describe the impact of information technology in society with reference to future occupations', '', 0.529166666666667, 'Msci ' , '261x' , 'TestCourse' , 'Pirnia' , 'Mehrdad' , 'Spring ' , 2016 , '2A' , 'Option') ,</t>
  </si>
  <si>
    <t>(820549378, 'Impact On Society', 'Describe the impact of information technology in society with reference to future occupations', '', 0.449166666666667, 'Msci ' , '261x' , 'TestCourse' , 'Pirnia' , 'Mehrdad' , 'Spring ' , 2016 , '2A' , 'Option') ,</t>
  </si>
  <si>
    <t>(533572169, 'Impact On Society', 'Describe the impact of information technology in society with reference to future occupations', '', 0.379166666666667, 'Msci ' , '261x' , 'TestCourse' , 'Pirnia' , 'Mehrdad' , 'Spring ' , 2016 , '2A' , 'Option') ,</t>
  </si>
  <si>
    <t>(975325712, 'Impact On Society', 'Describe the impact of information technology in society with reference to future occupations', '', 0.340833333333333, 'Msci ' , '261x' , 'TestCourse' , 'Pirnia' , 'Mehrdad' , 'Spring ' , 2016 , '2A' , 'Option') ,</t>
  </si>
  <si>
    <t>(310082419, 'Impact On Society', 'Describe the impact of information technology in society with reference to future occupations', '', 0.1675, 'Msci ' , '261x' , 'TestCourse' , 'Pirnia' , 'Mehrdad' , 'Spring ' , 2016 , '2A' , 'Option') ,</t>
  </si>
  <si>
    <t>(242132470, 'Impact On Society', 'Describe the impact of information technology in society with reference to future occupations', '', 0.210833333333333, 'Msci ' , '261x' , 'TestCourse' , 'Pirnia' , 'Mehrdad' , 'Spring ' , 2016 , '2A' , 'Option') ,</t>
  </si>
  <si>
    <t>(208248363, 'Impact On Society', 'Describe the impact of information technology in society with reference to future occupations', '', 0.460833333333333, 'Msci ' , '261x' , 'TestCourse' , 'Pirnia' , 'Mehrdad' , 'Spring ' , 2016 , '2A' , 'Option') ,</t>
  </si>
  <si>
    <t>(277055951, 'Impact On Society', 'Describe the impact of information technology in society with reference to future occupations', '', 0.32, 'Msci ' , '261x' , 'TestCourse' , 'Pirnia' , 'Mehrdad' , 'Spring ' , 2016 , '2A' , 'Option') ,</t>
  </si>
  <si>
    <t>(902907559, 'Impact On Society', 'Describe the impact of information technology in society with reference to future occupations', '', 0.748333333333333, 'Msci ' , '261x' , 'TestCourse' , 'Pirnia' , 'Mehrdad' , 'Spring ' , 2016 , '2A' , 'Option') ,</t>
  </si>
  <si>
    <t>(528297980, 'Impact On Society', 'Describe the impact of information technology in society with reference to future occupations', '', 0.568333333333333, 'Msci ' , '261x' , 'TestCourse' , 'Pirnia' , 'Mehrdad' , 'Spring ' , 2016 , '2A' , 'Option') ,</t>
  </si>
  <si>
    <t>(444882790, 'Impact On Society', 'Describe the impact of information technology in society with reference to future occupations', '', 0.245, 'Msci ' , '261x' , 'TestCourse' , 'Pirnia' , 'Mehrdad' , 'Spring ' , 2016 , '2A' , 'Option') ,</t>
  </si>
  <si>
    <t>(112085131, 'Impact On Society', 'Describe the impact of information technology in society with reference to future occupations', '', 0.299166666666667, 'Msci ' , '261x' , 'TestCourse' , 'Pirnia' , 'Mehrdad' , 'Spring ' , 2016 , '2A' , 'Option') ,</t>
  </si>
  <si>
    <t>(588642518, 'Impact On Society', 'Describe the impact of information technology in society with reference to future occupations', '', 0.771666666666667, 'Msci ' , '261x' , 'TestCourse' , 'Pirnia' , 'Mehrdad' , 'Spring ' , 2016 , '2A' , 'Option') ,</t>
  </si>
  <si>
    <t>(414520736, 'Impact On Society', 'Describe the impact of information technology in society with reference to future occupations', '', 0.629166666666667, 'Msci ' , '261x' , 'TestCourse' , 'Pirnia' , 'Mehrdad' , 'Spring ' , 2016 , '2A' , 'Option') ,</t>
  </si>
  <si>
    <t>(356558346, 'Impact On Society', 'Describe the impact of information technology in society with reference to future occupations', '', 0.4075, 'Msci ' , '261x' , 'TestCourse' , 'Pirnia' , 'Mehrdad' , 'Spring ' , 2016 , '2A' , 'Option') ,</t>
  </si>
  <si>
    <t>(970698993, 'Impact On Society', 'Describe the impact of information technology in society with reference to future occupations', '', 0.821666666666667, 'Msci ' , '261x' , 'TestCourse' , 'Pirnia' , 'Mehrdad' , 'Spring ' , 2016 , '2A' , 'Option') ,</t>
  </si>
  <si>
    <t>(633537205, 'Impact On Society', 'Describe the impact of information technology in society with reference to future occupations', '', 0.328333333333333, 'Msci ' , '261x' , 'TestCourse' , 'Pirnia' , 'Mehrdad' , 'Spring ' , 2016 , '2A' , 'Option') ,</t>
  </si>
  <si>
    <t>(534292868, 'Impact On Society', 'Describe the impact of information technology in society with reference to future occupations', '', 0.755, 'Msci ' , '261x' , 'TestCourse' , 'Pirnia' , 'Mehrdad' , 'Spring ' , 2016 , '2A' , 'Option') ,</t>
  </si>
  <si>
    <t>(816787809, 'Impact On Society', 'Describe the impact of information technology in society with reference to future occupations', '', 0.3975, 'Msci ' , '261x' , 'TestCourse' , 'Pirnia' , 'Mehrdad' , 'Spring ' , 2016 , '2A' , 'Option') ,</t>
  </si>
  <si>
    <t>(220052551, 'Impact On Society', 'Describe the impact of information technology in society with reference to future occupations', '', 0.5325, 'Msci ' , '261x' , 'TestCourse' , 'Pirnia' , 'Mehrdad' , 'Spring ' , 2016 , '2A' , 'Option') ,</t>
  </si>
  <si>
    <t>(858571733, 'Impact On Society', 'Describe the impact of information technology in society with reference to future occupations', '', 0.265, 'Msci ' , '261x' , 'TestCourse' , 'Pirnia' , 'Mehrdad' , 'Spring ' , 2016 , '2A' , 'Option') ,</t>
  </si>
  <si>
    <t>(363436152, 'Impact On Society', 'Describe the impact of information technology in society with reference to future occupations', '', 0.245833333333333, 'Msci ' , '261x' , 'TestCourse' , 'Pirnia' , 'Mehrdad' , 'Spring ' , 2016 , '2A' , 'Option') ,</t>
  </si>
  <si>
    <t>(393495083, 'Impact On Society', 'Describe the impact of information technology in society with reference to future occupations', '', 0.725833333333333, 'Msci ' , '261x' , 'TestCourse' , 'Pirnia' , 'Mehrdad' , 'Spring ' , 2016 , '2A' , 'Option') ,</t>
  </si>
  <si>
    <t>(769635714, 'Impact On Society', 'Describe the impact of information technology in society with reference to future occupations', '', 0.715833333333333, 'Msci ' , '261x' , 'TestCourse' , 'Pirnia' , 'Mehrdad' , 'Spring ' , 2016 , '2A' , 'Option') ,</t>
  </si>
  <si>
    <t>(373048949, 'Impact On Society', 'Describe the impact of information technology in society with reference to future occupations', '', 0.738333333333333, 'Msci ' , '261x' , 'TestCourse' , 'Pirnia' , 'Mehrdad' , 'Spring ' , 2016 , '2A' , 'Option') ,</t>
  </si>
  <si>
    <t>(357061292, 'Impact On Society', 'Describe the impact of information technology in society with reference to future occupations', '', 0.1075, 'Msci ' , '261x' , 'TestCourse' , 'Pirnia' , 'Mehrdad' , 'Spring ' , 2016 , '2A' , 'Option') ,</t>
  </si>
  <si>
    <t>(837310284, 'Impact On Society', 'Describe the impact of information technology in society with reference to future occupations', '', 0.408333333333333, 'Msci ' , '261x' , 'TestCourse' , 'Pirnia' , 'Mehrdad' , 'Spring ' , 2016 , '2A' , 'Option') ,</t>
  </si>
  <si>
    <t>(815854164, 'Impact On Society', 'Describe the impact of information technology in society with reference to future occupations', '', 0.79, 'Msci ' , '261x' , 'TestCourse' , 'Pirnia' , 'Mehrdad' , 'Spring ' , 2016 , '2A' , 'Option') ,</t>
  </si>
  <si>
    <t>(315378369, 'Impact On Society', 'Describe the impact of information technology in society with reference to future occupations', '', 0.165, 'Msci ' , '261x' , 'TestCourse' , 'Pirnia' , 'Mehrdad' , 'Spring ' , 2016 , '2A' , 'Option') ,</t>
  </si>
  <si>
    <t>(564410540, 'Impact On Society', 'Describe the impact of information technology in society with reference to future occupations', '', 0.349166666666667, 'Msci ' , '261x' , 'TestCourse' , 'Pirnia' , 'Mehrdad' , 'Spring ' , 2016 , '2A' , 'Option') ,</t>
  </si>
  <si>
    <t>(126539887, 'Impact On Society', 'Describe the impact of information technology in society with reference to future occupations', '', 0.315, 'Msci ' , '261x' , 'TestCourse' , 'Pirnia' , 'Mehrdad' , 'Spring ' , 2016 , '2A' , 'Option') ,</t>
  </si>
  <si>
    <t>(563937624, 'Impact On Society', 'Describe the impact of information technology in society with reference to future occupations', '', 0.315, 'Msci ' , '261x' , 'TestCourse' , 'Pirnia' , 'Mehrdad' , 'Spring ' , 2016 , '2A' , 'Option') ,</t>
  </si>
  <si>
    <t>(684291511, 'Impact On Society', 'Describe the impact of information technology in society with reference to future occupations', '', 0.35, 'Msci ' , '261x' , 'TestCourse' , 'Pirnia' , 'Mehrdad' , 'Spring ' , 2016 , '2A' , 'Option') ,</t>
  </si>
  <si>
    <t>(598829620, 'Impact On Society', 'Identify the cultural and societal impact of the design of a project', '', 0.12, 'Msci ' , '261x' , 'TestCourse' , 'Pirnia' , 'Mehrdad' , 'Spring ' , 2016 , '2A' , 'Option') ,</t>
  </si>
  <si>
    <t>(684014860, 'Impact On Society', 'Identify the cultural and societal impact of the design of a project', '', 0.488, 'Msci ' , '261x' , 'TestCourse' , 'Pirnia' , 'Mehrdad' , 'Spring ' , 2016 , '2A' , 'Option') ,</t>
  </si>
  <si>
    <t>(843228181, 'Impact On Society', 'Identify the cultural and societal impact of the design of a project', '', 0.588, 'Msci ' , '261x' , 'TestCourse' , 'Pirnia' , 'Mehrdad' , 'Spring ' , 2016 , '2A' , 'Option') ,</t>
  </si>
  <si>
    <t>(820549378, 'Impact On Society', 'Identify the cultural and societal impact of the design of a project', '', 0.316, 'Msci ' , '261x' , 'TestCourse' , 'Pirnia' , 'Mehrdad' , 'Spring ' , 2016 , '2A' , 'Option') ,</t>
  </si>
  <si>
    <t>(533572169, 'Impact On Society', 'Identify the cultural and societal impact of the design of a project', '', 0.42, 'Msci ' , '261x' , 'TestCourse' , 'Pirnia' , 'Mehrdad' , 'Spring ' , 2016 , '2A' , 'Option') ,</t>
  </si>
  <si>
    <t>(975325712, 'Impact On Society', 'Identify the cultural and societal impact of the design of a project', '', 0.48, 'Msci ' , '261x' , 'TestCourse' , 'Pirnia' , 'Mehrdad' , 'Spring ' , 2016 , '2A' , 'Option') ,</t>
  </si>
  <si>
    <t>(310082419, 'Impact On Society', 'Identify the cultural and societal impact of the design of a project', '', 0.092, 'Msci ' , '261x' , 'TestCourse' , 'Pirnia' , 'Mehrdad' , 'Spring ' , 2016 , '2A' , 'Option') ,</t>
  </si>
  <si>
    <t>(242132470, 'Impact On Society', 'Identify the cultural and societal impact of the design of a project', '', 0.288, 'Msci ' , '261x' , 'TestCourse' , 'Pirnia' , 'Mehrdad' , 'Spring ' , 2016 , '2A' , 'Option') ,</t>
  </si>
  <si>
    <t>(208248363, 'Impact On Society', 'Identify the cultural and societal impact of the design of a project', '', 0.548, 'Msci ' , '261x' , 'TestCourse' , 'Pirnia' , 'Mehrdad' , 'Spring ' , 2016 , '2A' , 'Option') ,</t>
  </si>
  <si>
    <t>(277055951, 'Impact On Society', 'Identify the cultural and societal impact of the design of a project', '', 0.328, 'Msci ' , '261x' , 'TestCourse' , 'Pirnia' , 'Mehrdad' , 'Spring ' , 2016 , '2A' , 'Option') ,</t>
  </si>
  <si>
    <t>(902907559, 'Impact On Society', 'Identify the cultural and societal impact of the design of a project', '', 0.788, 'Msci ' , '261x' , 'TestCourse' , 'Pirnia' , 'Mehrdad' , 'Spring ' , 2016 , '2A' , 'Option') ,</t>
  </si>
  <si>
    <t>(528297980, 'Impact On Society', 'Identify the cultural and societal impact of the design of a project', '', 0.624, 'Msci ' , '261x' , 'TestCourse' , 'Pirnia' , 'Mehrdad' , 'Spring ' , 2016 , '2A' , 'Option') ,</t>
  </si>
  <si>
    <t>(444882790, 'Impact On Society', 'Identify the cultural and societal impact of the design of a project', '', 0.22, 'Msci ' , '261x' , 'TestCourse' , 'Pirnia' , 'Mehrdad' , 'Spring ' , 2016 , '2A' , 'Option') ,</t>
  </si>
  <si>
    <t>(112085131, 'Impact On Society', 'Identify the cultural and societal impact of the design of a project', '', 0.184, 'Msci ' , '261x' , 'TestCourse' , 'Pirnia' , 'Mehrdad' , 'Spring ' , 2016 , '2A' , 'Option') ,</t>
  </si>
  <si>
    <t>(588642518, 'Impact On Society', 'Identify the cultural and societal impact of the design of a project', '', 0.752, 'Msci ' , '261x' , 'TestCourse' , 'Pirnia' , 'Mehrdad' , 'Spring ' , 2016 , '2A' , 'Option') ,</t>
  </si>
  <si>
    <t>(414520736, 'Impact On Society', 'Identify the cultural and societal impact of the design of a project', '', 0.848, 'Msci ' , '261x' , 'TestCourse' , 'Pirnia' , 'Mehrdad' , 'Spring ' , 2016 , '2A' , 'Option') ,</t>
  </si>
  <si>
    <t>(356558346, 'Impact On Society', 'Identify the cultural and societal impact of the design of a project', '', 0.524, 'Msci ' , '261x' , 'TestCourse' , 'Pirnia' , 'Mehrdad' , 'Spring ' , 2016 , '2A' , 'Option') ,</t>
  </si>
  <si>
    <t>(970698993, 'Impact On Society', 'Identify the cultural and societal impact of the design of a project', '', 0.92, 'Msci ' , '261x' , 'TestCourse' , 'Pirnia' , 'Mehrdad' , 'Spring ' , 2016 , '2A' , 'Option') ,</t>
  </si>
  <si>
    <t>(633537205, 'Impact On Society', 'Identify the cultural and societal impact of the design of a project', '', 0.288, 'Msci ' , '261x' , 'TestCourse' , 'Pirnia' , 'Mehrdad' , 'Spring ' , 2016 , '2A' , 'Option') ,</t>
  </si>
  <si>
    <t>(534292868, 'Impact On Society', 'Identify the cultural and societal impact of the design of a project', '', 0.82, 'Msci ' , '261x' , 'TestCourse' , 'Pirnia' , 'Mehrdad' , 'Spring ' , 2016 , '2A' , 'Option') ,</t>
  </si>
  <si>
    <t>(816787809, 'Impact On Society', 'Identify the cultural and societal impact of the design of a project', '', 0.536, 'Msci ' , '261x' , 'TestCourse' , 'Pirnia' , 'Mehrdad' , 'Spring ' , 2016 , '2A' , 'Option') ,</t>
  </si>
  <si>
    <t>(220052551, 'Impact On Society', 'Identify the cultural and societal impact of the design of a project', '', 0.732, 'Msci ' , '261x' , 'TestCourse' , 'Pirnia' , 'Mehrdad' , 'Spring ' , 2016 , '2A' , 'Option') ,</t>
  </si>
  <si>
    <t>(858571733, 'Impact On Society', 'Identify the cultural and societal impact of the design of a project', '', 0.272, 'Msci ' , '261x' , 'TestCourse' , 'Pirnia' , 'Mehrdad' , 'Spring ' , 2016 , '2A' , 'Option') ,</t>
  </si>
  <si>
    <t>(363436152, 'Impact On Society', 'Identify the cultural and societal impact of the design of a project', '', 0.308, 'Msci ' , '261x' , 'TestCourse' , 'Pirnia' , 'Mehrdad' , 'Spring ' , 2016 , '2A' , 'Option') ,</t>
  </si>
  <si>
    <t>(393495083, 'Impact On Society', 'Identify the cultural and societal impact of the design of a project', '', 0.848, 'Msci ' , '261x' , 'TestCourse' , 'Pirnia' , 'Mehrdad' , 'Spring ' , 2016 , '2A' , 'Option') ,</t>
  </si>
  <si>
    <t>(769635714, 'Impact On Society', 'Identify the cultural and societal impact of the design of a project', '', 0.884, 'Msci ' , '261x' , 'TestCourse' , 'Pirnia' , 'Mehrdad' , 'Spring ' , 2016 , '2A' , 'Option') ,</t>
  </si>
  <si>
    <t>(373048949, 'Impact On Society', 'Identify the cultural and societal impact of the design of a project', '', 0.84, 'Msci ' , '261x' , 'TestCourse' , 'Pirnia' , 'Mehrdad' , 'Spring ' , 2016 , '2A' , 'Option') ,</t>
  </si>
  <si>
    <t>(357061292, 'Impact On Society', 'Identify the cultural and societal impact of the design of a project', '', 0.18, 'Msci ' , '261x' , 'TestCourse' , 'Pirnia' , 'Mehrdad' , 'Spring ' , 2016 , '2A' , 'Option') ,</t>
  </si>
  <si>
    <t>(837310284, 'Impact On Society', 'Identify the cultural and societal impact of the design of a project', '', 0.44, 'Msci ' , '261x' , 'TestCourse' , 'Pirnia' , 'Mehrdad' , 'Spring ' , 2016 , '2A' , 'Option') ,</t>
  </si>
  <si>
    <t>(815854164, 'Impact On Society', 'Identify the cultural and societal impact of the design of a project', '', 0.812, 'Msci ' , '261x' , 'TestCourse' , 'Pirnia' , 'Mehrdad' , 'Spring ' , 2016 , '2A' , 'Option') ,</t>
  </si>
  <si>
    <t>(315378369, 'Impact On Society', 'Identify the cultural and societal impact of the design of a project', '', 0.156, 'Msci ' , '261x' , 'TestCourse' , 'Pirnia' , 'Mehrdad' , 'Spring ' , 2016 , '2A' , 'Option') ,</t>
  </si>
  <si>
    <t>(564410540, 'Impact On Society', 'Identify the cultural and societal impact of the design of a project', '', 0.288, 'Msci ' , '261x' , 'TestCourse' , 'Pirnia' , 'Mehrdad' , 'Spring ' , 2016 , '2A' , 'Option') ,</t>
  </si>
  <si>
    <t>(126539887, 'Impact On Society', 'Identify the cultural and societal impact of the design of a project', '', 0.216, 'Msci ' , '261x' , 'TestCourse' , 'Pirnia' , 'Mehrdad' , 'Spring ' , 2016 , '2A' , 'Option') ,</t>
  </si>
  <si>
    <t>(563937624, 'Impact On Society', 'Identify the cultural and societal impact of the design of a project', '', 0.18, 'Msci ' , '261x' , 'TestCourse' , 'Pirnia' , 'Mehrdad' , 'Spring ' , 2016 , '2A' , 'Option') ,</t>
  </si>
  <si>
    <t>(684291511, 'Impact On Society', 'Identify the cultural and societal impact of the design of a project', '', 0.476, 'Msci ' , '261x' , 'TestCourse' , 'Pirnia' , 'Mehrdad' , 'Spring ' , 2016 , '2A' , 'Option') ,</t>
  </si>
  <si>
    <t>(598829620, 'Ethics and Equity', 'Identify the ethical considerations of a proposed design project', '', 0.15, 'Msci ' , '261x' , 'TestCourse' , 'Pirnia' , 'Mehrdad' , 'Spring ' , 2016 , '2A' , 'Option') ,</t>
  </si>
  <si>
    <t>(684014860, 'Ethics and Equity', 'Identify the ethical considerations of a proposed design project', '', 0.56, 'Msci ' , '261x' , 'TestCourse' , 'Pirnia' , 'Mehrdad' , 'Spring ' , 2016 , '2A' , 'Option') ,</t>
  </si>
  <si>
    <t>(843228181, 'Ethics and Equity', 'Identify the ethical considerations of a proposed design project', '', 0.61, 'Msci ' , '261x' , 'TestCourse' , 'Pirnia' , 'Mehrdad' , 'Spring ' , 2016 , '2A' , 'Option') ,</t>
  </si>
  <si>
    <t>(820549378, 'Ethics and Equity', 'Identify the ethical considerations of a proposed design project', '', 0.32, 'Msci ' , '261x' , 'TestCourse' , 'Pirnia' , 'Mehrdad' , 'Spring ' , 2016 , '2A' , 'Option') ,</t>
  </si>
  <si>
    <t>(533572169, 'Ethics and Equity', 'Identify the ethical considerations of a proposed design project', '', 0.3, 'Msci ' , '261x' , 'TestCourse' , 'Pirnia' , 'Mehrdad' , 'Spring ' , 2016 , '2A' , 'Option') ,</t>
  </si>
  <si>
    <t>(975325712, 'Ethics and Equity', 'Identify the ethical considerations of a proposed design project', '', 0.4, 'Msci ' , '261x' , 'TestCourse' , 'Pirnia' , 'Mehrdad' , 'Spring ' , 2016 , '2A' , 'Option') ,</t>
  </si>
  <si>
    <t>(310082419, 'Ethics and Equity', 'Identify the ethical considerations of a proposed design project', '', 0.04, 'Msci ' , '261x' , 'TestCourse' , 'Pirnia' , 'Mehrdad' , 'Spring ' , 2016 , '2A' , 'Option') ,</t>
  </si>
  <si>
    <t>(242132470, 'Ethics and Equity', 'Identify the ethical considerations of a proposed design project', '', 0.11, 'Msci ' , '261x' , 'TestCourse' , 'Pirnia' , 'Mehrdad' , 'Spring ' , 2016 , '2A' , 'Option') ,</t>
  </si>
  <si>
    <t>(208248363, 'Ethics and Equity', 'Identify the ethical considerations of a proposed design project', '', 0.51, 'Msci ' , '261x' , 'TestCourse' , 'Pirnia' , 'Mehrdad' , 'Spring ' , 2016 , '2A' , 'Option') ,</t>
  </si>
  <si>
    <t>(277055951, 'Ethics and Equity', 'Identify the ethical considerations of a proposed design project', '', 0.26, 'Msci ' , '261x' , 'TestCourse' , 'Pirnia' , 'Mehrdad' , 'Spring ' , 2016 , '2A' , 'Option') ,</t>
  </si>
  <si>
    <t>(902907559, 'Ethics and Equity', 'Identify the ethical considerations of a proposed design project', '', 0.86, 'Msci ' , '261x' , 'TestCourse' , 'Pirnia' , 'Mehrdad' , 'Spring ' , 2016 , '2A' , 'Option') ,</t>
  </si>
  <si>
    <t>(528297980, 'Ethics and Equity', 'Identify the ethical considerations of a proposed design project', '', 0.58, 'Msci ' , '261x' , 'TestCourse' , 'Pirnia' , 'Mehrdad' , 'Spring ' , 2016 , '2A' , 'Option') ,</t>
  </si>
  <si>
    <t>(444882790, 'Ethics and Equity', 'Identify the ethical considerations of a proposed design project', '', 0.05, 'Msci ' , '261x' , 'TestCourse' , 'Pirnia' , 'Mehrdad' , 'Spring ' , 2016 , '2A' , 'Option') ,</t>
  </si>
  <si>
    <t>(112085131, 'Ethics and Equity', 'Identify the ethical considerations of a proposed design project', '', 0.13, 'Msci ' , '261x' , 'TestCourse' , 'Pirnia' , 'Mehrdad' , 'Spring ' , 2016 , '2A' , 'Option') ,</t>
  </si>
  <si>
    <t>(588642518, 'Ethics and Equity', 'Identify the ethical considerations of a proposed design project', '', 0.94, 'Msci ' , '261x' , 'TestCourse' , 'Pirnia' , 'Mehrdad' , 'Spring ' , 2016 , '2A' , 'Option') ,</t>
  </si>
  <si>
    <t>(414520736, 'Ethics and Equity', 'Identify the ethical considerations of a proposed design project', '', 0.81, 'Msci ' , '261x' , 'TestCourse' , 'Pirnia' , 'Mehrdad' , 'Spring ' , 2016 , '2A' , 'Option') ,</t>
  </si>
  <si>
    <t>(356558346, 'Ethics and Equity', 'Identify the ethical considerations of a proposed design project', '', 0.43, 'Msci ' , '261x' , 'TestCourse' , 'Pirnia' , 'Mehrdad' , 'Spring ' , 2016 , '2A' , 'Option') ,</t>
  </si>
  <si>
    <t>(970698993, 'Ethics and Equity', 'Identify the ethical considerations of a proposed design project', '', 0.95, 'Msci ' , '261x' , 'TestCourse' , 'Pirnia' , 'Mehrdad' , 'Spring ' , 2016 , '2A' , 'Option') ,</t>
  </si>
  <si>
    <t>(633537205, 'Ethics and Equity', 'Identify the ethical considerations of a proposed design project', '', 0.36, 'Msci ' , '261x' , 'TestCourse' , 'Pirnia' , 'Mehrdad' , 'Spring ' , 2016 , '2A' , 'Option') ,</t>
  </si>
  <si>
    <t>(534292868, 'Ethics and Equity', 'Identify the ethical considerations of a proposed design project', '', 0.9, 'Msci ' , '261x' , 'TestCourse' , 'Pirnia' , 'Mehrdad' , 'Spring ' , 2016 , '2A' , 'Option') ,</t>
  </si>
  <si>
    <t>(816787809, 'Ethics and Equity', 'Identify the ethical considerations of a proposed design project', '', 0.47, 'Msci ' , '261x' , 'TestCourse' , 'Pirnia' , 'Mehrdad' , 'Spring ' , 2016 , '2A' , 'Option') ,</t>
  </si>
  <si>
    <t>(220052551, 'Ethics and Equity', 'Identify the ethical considerations of a proposed design project', '', 0.74, 'Msci ' , '261x' , 'TestCourse' , 'Pirnia' , 'Mehrdad' , 'Spring ' , 2016 , '2A' , 'Option') ,</t>
  </si>
  <si>
    <t>(858571733, 'Ethics and Equity', 'Identify the ethical considerations of a proposed design project', '', 0.19, 'Msci ' , '261x' , 'TestCourse' , 'Pirnia' , 'Mehrdad' , 'Spring ' , 2016 , '2A' , 'Option') ,</t>
  </si>
  <si>
    <t>(363436152, 'Ethics and Equity', 'Identify the ethical considerations of a proposed design project', '', 0.21, 'Msci ' , '261x' , 'TestCourse' , 'Pirnia' , 'Mehrdad' , 'Spring ' , 2016 , '2A' , 'Option') ,</t>
  </si>
  <si>
    <t>(393495083, 'Ethics and Equity', 'Identify the ethical considerations of a proposed design project', '', 0.91, 'Msci ' , '261x' , 'TestCourse' , 'Pirnia' , 'Mehrdad' , 'Spring ' , 2016 , '2A' , 'Option') ,</t>
  </si>
  <si>
    <t>(769635714, 'Ethics and Equity', 'Identify the ethical considerations of a proposed design project', '', 0.88, 'Msci ' , '261x' , 'TestCourse' , 'Pirnia' , 'Mehrdad' , 'Spring ' , 2016 , '2A' , 'Option') ,</t>
  </si>
  <si>
    <t>(373048949, 'Ethics and Equity', 'Identify the ethical considerations of a proposed design project', '', 0.8, 'Msci ' , '261x' , 'TestCourse' , 'Pirnia' , 'Mehrdad' , 'Spring ' , 2016 , '2A' , 'Option') ,</t>
  </si>
  <si>
    <t>(357061292, 'Ethics and Equity', 'Identify the ethical considerations of a proposed design project', '', 0.1, 'Msci ' , '261x' , 'TestCourse' , 'Pirnia' , 'Mehrdad' , 'Spring ' , 2016 , '2A' , 'Option') ,</t>
  </si>
  <si>
    <t>(837310284, 'Ethics and Equity', 'Identify the ethical considerations of a proposed design project', '', 0.45, 'Msci ' , '261x' , 'TestCourse' , 'Pirnia' , 'Mehrdad' , 'Spring ' , 2016 , '2A' , 'Option') ,</t>
  </si>
  <si>
    <t>(815854164, 'Ethics and Equity', 'Identify the ethical considerations of a proposed design project', '', 0.89, 'Msci ' , '261x' , 'TestCourse' , 'Pirnia' , 'Mehrdad' , 'Spring ' , 2016 , '2A' , 'Option') ,</t>
  </si>
  <si>
    <t>(315378369, 'Ethics and Equity', 'Identify the ethical considerations of a proposed design project', '', 0.12, 'Msci ' , '261x' , 'TestCourse' , 'Pirnia' , 'Mehrdad' , 'Spring ' , 2016 , '2A' , 'Option') ,</t>
  </si>
  <si>
    <t>(564410540, 'Ethics and Equity', 'Identify the ethical considerations of a proposed design project', '', 0.21, 'Msci ' , '261x' , 'TestCourse' , 'Pirnia' , 'Mehrdad' , 'Spring ' , 2016 , '2A' , 'Option') ,</t>
  </si>
  <si>
    <t>(126539887, 'Ethics and Equity', 'Identify the ethical considerations of a proposed design project', '', 0.07, 'Msci ' , '261x' , 'TestCourse' , 'Pirnia' , 'Mehrdad' , 'Spring ' , 2016 , '2A' , 'Option') ,</t>
  </si>
  <si>
    <t>(563937624, 'Ethics and Equity', 'Identify the ethical considerations of a proposed design project', '', 0.05, 'Msci ' , '261x' , 'TestCourse' , 'Pirnia' , 'Mehrdad' , 'Spring ' , 2016 , '2A' , 'Option') ,</t>
  </si>
  <si>
    <t>(684291511, 'Ethics and Equity', 'Identify the ethical considerations of a proposed design project', '', 0.37, 'Msci ' , '261x' , 'TestCourse' , 'Pirnia' , 'Mehrdad' , 'Spring ' , 2016 , '2A' , 'Option') ,</t>
  </si>
  <si>
    <t>(598829620, 'Ethics and Equity', 'Apply ethical reasoning to professional dilemmas', '', 0.4, 'Msci ' , '261x' , 'TestCourse' , 'Pirnia' , 'Mehrdad' , 'Spring ' , 2016 , '2A' , 'Option') ,</t>
  </si>
  <si>
    <t>(684014860, 'Ethics and Equity', 'Apply ethical reasoning to professional dilemmas', '', 0.56, 'Msci ' , '261x' , 'TestCourse' , 'Pirnia' , 'Mehrdad' , 'Spring ' , 2016 , '2A' , 'Option') ,</t>
  </si>
  <si>
    <t>(843228181, 'Ethics and Equity', 'Apply ethical reasoning to professional dilemmas', '', 0.42, 'Msci ' , '261x' , 'TestCourse' , 'Pirnia' , 'Mehrdad' , 'Spring ' , 2016 , '2A' , 'Option') ,</t>
  </si>
  <si>
    <t>(820549378, 'Ethics and Equity', 'Apply ethical reasoning to professional dilemmas', '', 0.26, 'Msci ' , '261x' , 'TestCourse' , 'Pirnia' , 'Mehrdad' , 'Spring ' , 2016 , '2A' , 'Option') ,</t>
  </si>
  <si>
    <t>(533572169, 'Ethics and Equity', 'Apply ethical reasoning to professional dilemmas', '', 0.04, 'Msci ' , '261x' , 'TestCourse' , 'Pirnia' , 'Mehrdad' , 'Spring ' , 2016 , '2A' , 'Option') ,</t>
  </si>
  <si>
    <t>(975325712, 'Ethics and Equity', 'Apply ethical reasoning to professional dilemmas', '', 0.36, 'Msci ' , '261x' , 'TestCourse' , 'Pirnia' , 'Mehrdad' , 'Spring ' , 2016 , '2A' , 'Option') ,</t>
  </si>
  <si>
    <t>(310082419, 'Ethics and Equity', 'Apply ethical reasoning to professional dilemmas', '', 0.22, 'Msci ' , '261x' , 'TestCourse' , 'Pirnia' , 'Mehrdad' , 'Spring ' , 2016 , '2A' , 'Option') ,</t>
  </si>
  <si>
    <t>(242132470, 'Ethics and Equity', 'Apply ethical reasoning to professional dilemmas', '', 0.56, 'Msci ' , '261x' , 'TestCourse' , 'Pirnia' , 'Mehrdad' , 'Spring ' , 2016 , '2A' , 'Option') ,</t>
  </si>
  <si>
    <t>(208248363, 'Ethics and Equity', 'Apply ethical reasoning to professional dilemmas', '', 0.4, 'Msci ' , '261x' , 'TestCourse' , 'Pirnia' , 'Mehrdad' , 'Spring ' , 2016 , '2A' , 'Option') ,</t>
  </si>
  <si>
    <t>(277055951, 'Ethics and Equity', 'Apply ethical reasoning to professional dilemmas', '', 0, 'Msci ' , '261x' , 'TestCourse' , 'Pirnia' , 'Mehrdad' , 'Spring ' , 2016 , '2A' , 'Option') ,</t>
  </si>
  <si>
    <t>(902907559, 'Ethics and Equity', 'Apply ethical reasoning to professional dilemmas', '', 0.12, 'Msci ' , '261x' , 'TestCourse' , 'Pirnia' , 'Mehrdad' , 'Spring ' , 2016 , '2A' , 'Option') ,</t>
  </si>
  <si>
    <t>(528297980, 'Ethics and Equity', 'Apply ethical reasoning to professional dilemmas', '', 0.62, 'Msci ' , '261x' , 'TestCourse' , 'Pirnia' , 'Mehrdad' , 'Spring ' , 2016 , '2A' , 'Option') ,</t>
  </si>
  <si>
    <t>(444882790, 'Ethics and Equity', 'Apply ethical reasoning to professional dilemmas', '', 0.14, 'Msci ' , '261x' , 'TestCourse' , 'Pirnia' , 'Mehrdad' , 'Spring ' , 2016 , '2A' , 'Option') ,</t>
  </si>
  <si>
    <t>(112085131, 'Ethics and Equity', 'Apply ethical reasoning to professional dilemmas', '', 0.18, 'Msci ' , '261x' , 'TestCourse' , 'Pirnia' , 'Mehrdad' , 'Spring ' , 2016 , '2A' , 'Option') ,</t>
  </si>
  <si>
    <t>(588642518, 'Ethics and Equity', 'Apply ethical reasoning to professional dilemmas', '', 0.68, 'Msci ' , '261x' , 'TestCourse' , 'Pirnia' , 'Mehrdad' , 'Spring ' , 2016 , '2A' , 'Option') ,</t>
  </si>
  <si>
    <t>(414520736, 'Ethics and Equity', 'Apply ethical reasoning to professional dilemmas', '', 0.14, 'Msci ' , '261x' , 'TestCourse' , 'Pirnia' , 'Mehrdad' , 'Spring ' , 2016 , '2A' , 'Option') ,</t>
  </si>
  <si>
    <t>(356558346, 'Ethics and Equity', 'Apply ethical reasoning to professional dilemmas', '', 0.04, 'Msci ' , '261x' , 'TestCourse' , 'Pirnia' , 'Mehrdad' , 'Spring ' , 2016 , '2A' , 'Option') ,</t>
  </si>
  <si>
    <t>(970698993, 'Ethics and Equity', 'Apply ethical reasoning to professional dilemmas', '', 0.08, 'Msci ' , '261x' , 'TestCourse' , 'Pirnia' , 'Mehrdad' , 'Spring ' , 2016 , '2A' , 'Option') ,</t>
  </si>
  <si>
    <t>(633537205, 'Ethics and Equity', 'Apply ethical reasoning to professional dilemmas', '', 0.1, 'Msci ' , '261x' , 'TestCourse' , 'Pirnia' , 'Mehrdad' , 'Spring ' , 2016 , '2A' , 'Option') ,</t>
  </si>
  <si>
    <t>(534292868, 'Ethics and Equity', 'Apply ethical reasoning to professional dilemmas', '', 0.08, 'Msci ' , '261x' , 'TestCourse' , 'Pirnia' , 'Mehrdad' , 'Spring ' , 2016 , '2A' , 'Option') ,</t>
  </si>
  <si>
    <t>(816787809, 'Ethics and Equity', 'Apply ethical reasoning to professional dilemmas', '', 0.64, 'Msci ' , '261x' , 'TestCourse' , 'Pirnia' , 'Mehrdad' , 'Spring ' , 2016 , '2A' , 'Option') ,</t>
  </si>
  <si>
    <t>(220052551, 'Ethics and Equity', 'Apply ethical reasoning to professional dilemmas', '', 0.14, 'Msci ' , '261x' , 'TestCourse' , 'Pirnia' , 'Mehrdad' , 'Spring ' , 2016 , '2A' , 'Option') ,</t>
  </si>
  <si>
    <t>(858571733, 'Ethics and Equity', 'Apply ethical reasoning to professional dilemmas', '', 0.16, 'Msci ' , '261x' , 'TestCourse' , 'Pirnia' , 'Mehrdad' , 'Spring ' , 2016 , '2A' , 'Option') ,</t>
  </si>
  <si>
    <t>(363436152, 'Ethics and Equity', 'Apply ethical reasoning to professional dilemmas', '', 0.46, 'Msci ' , '261x' , 'TestCourse' , 'Pirnia' , 'Mehrdad' , 'Spring ' , 2016 , '2A' , 'Option') ,</t>
  </si>
  <si>
    <t>(393495083, 'Ethics and Equity', 'Apply ethical reasoning to professional dilemmas', '', 0.18, 'Msci ' , '261x' , 'TestCourse' , 'Pirnia' , 'Mehrdad' , 'Spring ' , 2016 , '2A' , 'Option') ,</t>
  </si>
  <si>
    <t>(769635714, 'Ethics and Equity', 'Apply ethical reasoning to professional dilemmas', '', 0.64, 'Msci ' , '261x' , 'TestCourse' , 'Pirnia' , 'Mehrdad' , 'Spring ' , 2016 , '2A' , 'Option') ,</t>
  </si>
  <si>
    <t>(373048949, 'Ethics and Equity', 'Apply ethical reasoning to professional dilemmas', '', 0.3, 'Msci ' , '261x' , 'TestCourse' , 'Pirnia' , 'Mehrdad' , 'Spring ' , 2016 , '2A' , 'Option') ,</t>
  </si>
  <si>
    <t>(357061292, 'Ethics and Equity', 'Apply ethical reasoning to professional dilemmas', '', 0.5, 'Msci ' , '261x' , 'TestCourse' , 'Pirnia' , 'Mehrdad' , 'Spring ' , 2016 , '2A' , 'Option') ,</t>
  </si>
  <si>
    <t>(837310284, 'Ethics and Equity', 'Apply ethical reasoning to professional dilemmas', '', 0.36, 'Msci ' , '261x' , 'TestCourse' , 'Pirnia' , 'Mehrdad' , 'Spring ' , 2016 , '2A' , 'Option') ,</t>
  </si>
  <si>
    <t>(815854164, 'Ethics and Equity', 'Apply ethical reasoning to professional dilemmas', '', 0.62, 'Msci ' , '261x' , 'TestCourse' , 'Pirnia' , 'Mehrdad' , 'Spring ' , 2016 , '2A' , 'Option') ,</t>
  </si>
  <si>
    <t>(315378369, 'Ethics and Equity', 'Apply ethical reasoning to professional dilemmas', '', 0.36, 'Msci ' , '261x' , 'TestCourse' , 'Pirnia' , 'Mehrdad' , 'Spring ' , 2016 , '2A' , 'Option') ,</t>
  </si>
  <si>
    <t>(564410540, 'Ethics and Equity', 'Apply ethical reasoning to professional dilemmas', '', 0.72, 'Msci ' , '261x' , 'TestCourse' , 'Pirnia' , 'Mehrdad' , 'Spring ' , 2016 , '2A' , 'Option') ,</t>
  </si>
  <si>
    <t>(126539887, 'Ethics and Equity', 'Apply ethical reasoning to professional dilemmas', '', 0.62, 'Msci ' , '261x' , 'TestCourse' , 'Pirnia' , 'Mehrdad' , 'Spring ' , 2016 , '2A' , 'Option') ,</t>
  </si>
  <si>
    <t>(563937624, 'Ethics and Equity', 'Apply ethical reasoning to professional dilemmas', '', 0.2, 'Msci ' , '261x' , 'TestCourse' , 'Pirnia' , 'Mehrdad' , 'Spring ' , 2016 , '2A' , 'Option') ,</t>
  </si>
  <si>
    <t>(684291511, 'Ethics and Equity', 'Apply ethical reasoning to professional dilemmas', '', 0.52, 'Msci ' , '261x' , 'TestCourse' , 'Pirnia' , 'Mehrdad' , 'Spring ' , 2016 , '2A' , 'Option') ,</t>
  </si>
  <si>
    <t>(598829620, 'Ethics and Equity', 'Display honesty, trustworthiness, and academic integrity', '', 0.233333333333333, 'Msci ' , '261x' , 'TestCourse' , 'Pirnia' , 'Mehrdad' , 'Spring ' , 2016 , '2A' , 'Option') ,</t>
  </si>
  <si>
    <t>(684014860, 'Ethics and Equity', 'Display honesty, trustworthiness, and academic integrity', '', 0.56, 'Msci ' , '261x' , 'TestCourse' , 'Pirnia' , 'Mehrdad' , 'Spring ' , 2016 , '2A' , 'Option') ,</t>
  </si>
  <si>
    <t>(843228181, 'Ethics and Equity', 'Display honesty, trustworthiness, and academic integrity', '', 0.546666666666667, 'Msci ' , '261x' , 'TestCourse' , 'Pirnia' , 'Mehrdad' , 'Spring ' , 2016 , '2A' , 'Option') ,</t>
  </si>
  <si>
    <t>(820549378, 'Ethics and Equity', 'Display honesty, trustworthiness, and academic integrity', '', 0.3, 'Msci ' , '261x' , 'TestCourse' , 'Pirnia' , 'Mehrdad' , 'Spring ' , 2016 , '2A' , 'Option') ,</t>
  </si>
  <si>
    <t>(533572169, 'Ethics and Equity', 'Display honesty, trustworthiness, and academic integrity', '', 0.213333333333333, 'Msci ' , '261x' , 'TestCourse' , 'Pirnia' , 'Mehrdad' , 'Spring ' , 2016 , '2A' , 'Option') ,</t>
  </si>
  <si>
    <t>(975325712, 'Ethics and Equity', 'Display honesty, trustworthiness, and academic integrity', '', 0.386666666666667, 'Msci ' , '261x' , 'TestCourse' , 'Pirnia' , 'Mehrdad' , 'Spring ' , 2016 , '2A' , 'Option') ,</t>
  </si>
  <si>
    <t>(310082419, 'Ethics and Equity', 'Display honesty, trustworthiness, and academic integrity', '', 0.1, 'Msci ' , '261x' , 'TestCourse' , 'Pirnia' , 'Mehrdad' , 'Spring ' , 2016 , '2A' , 'Option') ,</t>
  </si>
  <si>
    <t>(242132470, 'Ethics and Equity', 'Display honesty, trustworthiness, and academic integrity', '', 0.26, 'Msci ' , '261x' , 'TestCourse' , 'Pirnia' , 'Mehrdad' , 'Spring ' , 2016 , '2A' , 'Option') ,</t>
  </si>
  <si>
    <t>(208248363, 'Ethics and Equity', 'Display honesty, trustworthiness, and academic integrity', '', 0.473333333333333, 'Msci ' , '261x' , 'TestCourse' , 'Pirnia' , 'Mehrdad' , 'Spring ' , 2016 , '2A' , 'Option') ,</t>
  </si>
  <si>
    <t>(277055951, 'Ethics and Equity', 'Display honesty, trustworthiness, and academic integrity', '', 0.173333333333333, 'Msci ' , '261x' , 'TestCourse' , 'Pirnia' , 'Mehrdad' , 'Spring ' , 2016 , '2A' , 'Option') ,</t>
  </si>
  <si>
    <t>(902907559, 'Ethics and Equity', 'Display honesty, trustworthiness, and academic integrity', '', 0.613333333333333, 'Msci ' , '261x' , 'TestCourse' , 'Pirnia' , 'Mehrdad' , 'Spring ' , 2016 , '2A' , 'Option') ,</t>
  </si>
  <si>
    <t>(528297980, 'Ethics and Equity', 'Display honesty, trustworthiness, and academic integrity', '', 0.593333333333333, 'Msci ' , '261x' , 'TestCourse' , 'Pirnia' , 'Mehrdad' , 'Spring ' , 2016 , '2A' , 'Option') ,</t>
  </si>
  <si>
    <t>(444882790, 'Ethics and Equity', 'Display honesty, trustworthiness, and academic integrity', '', 0.08, 'Msci ' , '261x' , 'TestCourse' , 'Pirnia' , 'Mehrdad' , 'Spring ' , 2016 , '2A' , 'Option') ,</t>
  </si>
  <si>
    <t>(112085131, 'Ethics and Equity', 'Display honesty, trustworthiness, and academic integrity', '', 0.146666666666667, 'Msci ' , '261x' , 'TestCourse' , 'Pirnia' , 'Mehrdad' , 'Spring ' , 2016 , '2A' , 'Option') ,</t>
  </si>
  <si>
    <t>(588642518, 'Ethics and Equity', 'Display honesty, trustworthiness, and academic integrity', '', 0.853333333333333, 'Msci ' , '261x' , 'TestCourse' , 'Pirnia' , 'Mehrdad' , 'Spring ' , 2016 , '2A' , 'Option') ,</t>
  </si>
  <si>
    <t>(414520736, 'Ethics and Equity', 'Display honesty, trustworthiness, and academic integrity', '', 0.586666666666667, 'Msci ' , '261x' , 'TestCourse' , 'Pirnia' , 'Mehrdad' , 'Spring ' , 2016 , '2A' , 'Option') ,</t>
  </si>
  <si>
    <t>(356558346, 'Ethics and Equity', 'Display honesty, trustworthiness, and academic integrity', '', 0.3, 'Msci ' , '261x' , 'TestCourse' , 'Pirnia' , 'Mehrdad' , 'Spring ' , 2016 , '2A' , 'Option') ,</t>
  </si>
  <si>
    <t>(970698993, 'Ethics and Equity', 'Display honesty, trustworthiness, and academic integrity', '', 0.66, 'Msci ' , '261x' , 'TestCourse' , 'Pirnia' , 'Mehrdad' , 'Spring ' , 2016 , '2A' , 'Option') ,</t>
  </si>
  <si>
    <t>(633537205, 'Ethics and Equity', 'Display honesty, trustworthiness, and academic integrity', '', 0.273333333333333, 'Msci ' , '261x' , 'TestCourse' , 'Pirnia' , 'Mehrdad' , 'Spring ' , 2016 , '2A' , 'Option') ,</t>
  </si>
  <si>
    <t>(534292868, 'Ethics and Equity', 'Display honesty, trustworthiness, and academic integrity', '', 0.626666666666667, 'Msci ' , '261x' , 'TestCourse' , 'Pirnia' , 'Mehrdad' , 'Spring ' , 2016 , '2A' , 'Option') ,</t>
  </si>
  <si>
    <t>(816787809, 'Ethics and Equity', 'Display honesty, trustworthiness, and academic integrity', '', 0.526666666666667, 'Msci ' , '261x' , 'TestCourse' , 'Pirnia' , 'Mehrdad' , 'Spring ' , 2016 , '2A' , 'Option') ,</t>
  </si>
  <si>
    <t>(220052551, 'Ethics and Equity', 'Display honesty, trustworthiness, and academic integrity', '', 0.54, 'Msci ' , '261x' , 'TestCourse' , 'Pirnia' , 'Mehrdad' , 'Spring ' , 2016 , '2A' , 'Option') ,</t>
  </si>
  <si>
    <t>(858571733, 'Ethics and Equity', 'Display honesty, trustworthiness, and academic integrity', '', 0.18, 'Msci ' , '261x' , 'TestCourse' , 'Pirnia' , 'Mehrdad' , 'Spring ' , 2016 , '2A' , 'Option') ,</t>
  </si>
  <si>
    <t>(363436152, 'Ethics and Equity', 'Display honesty, trustworthiness, and academic integrity', '', 0.293333333333333, 'Msci ' , '261x' , 'TestCourse' , 'Pirnia' , 'Mehrdad' , 'Spring ' , 2016 , '2A' , 'Option') ,</t>
  </si>
  <si>
    <t>(393495083, 'Ethics and Equity', 'Display honesty, trustworthiness, and academic integrity', '', 0.666666666666667, 'Msci ' , '261x' , 'TestCourse' , 'Pirnia' , 'Mehrdad' , 'Spring ' , 2016 , '2A' , 'Option') ,</t>
  </si>
  <si>
    <t>(769635714, 'Ethics and Equity', 'Display honesty, trustworthiness, and academic integrity', '', 0.8, 'Msci ' , '261x' , 'TestCourse' , 'Pirnia' , 'Mehrdad' , 'Spring ' , 2016 , '2A' , 'Option') ,</t>
  </si>
  <si>
    <t>(373048949, 'Ethics and Equity', 'Display honesty, trustworthiness, and academic integrity', '', 0.633333333333333, 'Msci ' , '261x' , 'TestCourse' , 'Pirnia' , 'Mehrdad' , 'Spring ' , 2016 , '2A' , 'Option') ,</t>
  </si>
  <si>
    <t>(357061292, 'Ethics and Equity', 'Display honesty, trustworthiness, and academic integrity', '', 0.233333333333333, 'Msci ' , '261x' , 'TestCourse' , 'Pirnia' , 'Mehrdad' , 'Spring ' , 2016 , '2A' , 'Option') ,</t>
  </si>
  <si>
    <t>(837310284, 'Ethics and Equity', 'Display honesty, trustworthiness, and academic integrity', '', 0.42, 'Msci ' , '261x' , 'TestCourse' , 'Pirnia' , 'Mehrdad' , 'Spring ' , 2016 , '2A' , 'Option') ,</t>
  </si>
  <si>
    <t>(815854164, 'Ethics and Equity', 'Display honesty, trustworthiness, and academic integrity', '', 0.8, 'Msci ' , '261x' , 'TestCourse' , 'Pirnia' , 'Mehrdad' , 'Spring ' , 2016 , '2A' , 'Option') ,</t>
  </si>
  <si>
    <t>(315378369, 'Ethics and Equity', 'Display honesty, trustworthiness, and academic integrity', '', 0.2, 'Msci ' , '261x' , 'TestCourse' , 'Pirnia' , 'Mehrdad' , 'Spring ' , 2016 , '2A' , 'Option') ,</t>
  </si>
  <si>
    <t>(564410540, 'Ethics and Equity', 'Display honesty, trustworthiness, and academic integrity', '', 0.38, 'Msci ' , '261x' , 'TestCourse' , 'Pirnia' , 'Mehrdad' , 'Spring ' , 2016 , '2A' , 'Option') ,</t>
  </si>
  <si>
    <t>(126539887, 'Ethics and Equity', 'Display honesty, trustworthiness, and academic integrity', '', 0.253333333333333, 'Msci ' , '261x' , 'TestCourse' , 'Pirnia' , 'Mehrdad' , 'Spring ' , 2016 , '2A' , 'Option') ,</t>
  </si>
  <si>
    <t>(563937624, 'Ethics and Equity', 'Display honesty, trustworthiness, and academic integrity', '', 0.1, 'Msci ' , '261x' , 'TestCourse' , 'Pirnia' , 'Mehrdad' , 'Spring ' , 2016 , '2A' , 'Option') ,</t>
  </si>
  <si>
    <t>(684291511, 'Ethics and Equity', 'Display honesty, trustworthiness, and academic integrity', '', 0.42, 'Msci ' , '261x' , 'TestCourse' , 'Pirnia' , 'Mehrdad' , 'Spring ' , 2016 , '2A' , 'Option') ,</t>
  </si>
  <si>
    <t>(598829620, 'Ethics and Equity', 'Demonstrate the desire to improve society, including appreciating the roles of sustainable design and occupational health and safety', '', 0.4, 'Msci ' , '261x' , 'TestCourse' , 'Pirnia' , 'Mehrdad' , 'Spring ' , 2016 , '2A' , 'Option') ,</t>
  </si>
  <si>
    <t>(684014860, 'Ethics and Equity', 'Demonstrate the desire to improve society, including appreciating the roles of sustainable design and occupational health and safety', '', 0.56, 'Msci ' , '261x' , 'TestCourse' , 'Pirnia' , 'Mehrdad' , 'Spring ' , 2016 , '2A' , 'Option') ,</t>
  </si>
  <si>
    <t>(843228181, 'Ethics and Equity', 'Demonstrate the desire to improve society, including appreciating the roles of sustainable design and occupational health and safety', '', 0.42, 'Msci ' , '261x' , 'TestCourse' , 'Pirnia' , 'Mehrdad' , 'Spring ' , 2016 , '2A' , 'Option') ,</t>
  </si>
  <si>
    <t>(820549378, 'Ethics and Equity', 'Demonstrate the desire to improve society, including appreciating the roles of sustainable design and occupational health and safety', '', 0.26, 'Msci ' , '261x' , 'TestCourse' , 'Pirnia' , 'Mehrdad' , 'Spring ' , 2016 , '2A' , 'Option') ,</t>
  </si>
  <si>
    <t>(533572169, 'Ethics and Equity', 'Demonstrate the desire to improve society, including appreciating the roles of sustainable design and occupational health and safety', '', 0.04, 'Msci ' , '261x' , 'TestCourse' , 'Pirnia' , 'Mehrdad' , 'Spring ' , 2016 , '2A' , 'Option') ,</t>
  </si>
  <si>
    <t>(975325712, 'Ethics and Equity', 'Demonstrate the desire to improve society, including appreciating the roles of sustainable design and occupational health and safety', '', 0.36, 'Msci ' , '261x' , 'TestCourse' , 'Pirnia' , 'Mehrdad' , 'Spring ' , 2016 , '2A' , 'Option') ,</t>
  </si>
  <si>
    <t>(310082419, 'Ethics and Equity', 'Demonstrate the desire to improve society, including appreciating the roles of sustainable design and occupational health and safety', '', 0.22, 'Msci ' , '261x' , 'TestCourse' , 'Pirnia' , 'Mehrdad' , 'Spring ' , 2016 , '2A' , 'Option') ,</t>
  </si>
  <si>
    <t>(242132470, 'Ethics and Equity', 'Demonstrate the desire to improve society, including appreciating the roles of sustainable design and occupational health and safety', '', 0.56, 'Msci ' , '261x' , 'TestCourse' , 'Pirnia' , 'Mehrdad' , 'Spring ' , 2016 , '2A' , 'Option') ,</t>
  </si>
  <si>
    <t>(208248363, 'Ethics and Equity', 'Demonstrate the desire to improve society, including appreciating the roles of sustainable design and occupational health and safety', '', 0.4, 'Msci ' , '261x' , 'TestCourse' , 'Pirnia' , 'Mehrdad' , 'Spring ' , 2016 , '2A' , 'Option') ,</t>
  </si>
  <si>
    <t>(277055951, 'Ethics and Equity', 'Demonstrate the desire to improve society, including appreciating the roles of sustainable design and occupational health and safety', '', 0, 'Msci ' , '261x' , 'TestCourse' , 'Pirnia' , 'Mehrdad' , 'Spring ' , 2016 , '2A' , 'Option') ,</t>
  </si>
  <si>
    <t>(902907559, 'Ethics and Equity', 'Demonstrate the desire to improve society, including appreciating the roles of sustainable design and occupational health and safety', '', 0.12, 'Msci ' , '261x' , 'TestCourse' , 'Pirnia' , 'Mehrdad' , 'Spring ' , 2016 , '2A' , 'Option') ,</t>
  </si>
  <si>
    <t>(528297980, 'Ethics and Equity', 'Demonstrate the desire to improve society, including appreciating the roles of sustainable design and occupational health and safety', '', 0.62, 'Msci ' , '261x' , 'TestCourse' , 'Pirnia' , 'Mehrdad' , 'Spring ' , 2016 , '2A' , 'Option') ,</t>
  </si>
  <si>
    <t>(444882790, 'Ethics and Equity', 'Demonstrate the desire to improve society, including appreciating the roles of sustainable design and occupational health and safety', '', 0.14, 'Msci ' , '261x' , 'TestCourse' , 'Pirnia' , 'Mehrdad' , 'Spring ' , 2016 , '2A' , 'Option') ,</t>
  </si>
  <si>
    <t>(112085131, 'Ethics and Equity', 'Demonstrate the desire to improve society, including appreciating the roles of sustainable design and occupational health and safety', '', 0.18, 'Msci ' , '261x' , 'TestCourse' , 'Pirnia' , 'Mehrdad' , 'Spring ' , 2016 , '2A' , 'Option') ,</t>
  </si>
  <si>
    <t>(588642518, 'Ethics and Equity', 'Demonstrate the desire to improve society, including appreciating the roles of sustainable design and occupational health and safety', '', 0.68, 'Msci ' , '261x' , 'TestCourse' , 'Pirnia' , 'Mehrdad' , 'Spring ' , 2016 , '2A' , 'Option') ,</t>
  </si>
  <si>
    <t>(414520736, 'Ethics and Equity', 'Demonstrate the desire to improve society, including appreciating the roles of sustainable design and occupational health and safety', '', 0.14, 'Msci ' , '261x' , 'TestCourse' , 'Pirnia' , 'Mehrdad' , 'Spring ' , 2016 , '2A' , 'Option') ,</t>
  </si>
  <si>
    <t>(356558346, 'Ethics and Equity', 'Demonstrate the desire to improve society, including appreciating the roles of sustainable design and occupational health and safety', '', 0.04, 'Msci ' , '261x' , 'TestCourse' , 'Pirnia' , 'Mehrdad' , 'Spring ' , 2016 , '2A' , 'Option') ,</t>
  </si>
  <si>
    <t>(970698993, 'Ethics and Equity', 'Demonstrate the desire to improve society, including appreciating the roles of sustainable design and occupational health and safety', '', 0.08, 'Msci ' , '261x' , 'TestCourse' , 'Pirnia' , 'Mehrdad' , 'Spring ' , 2016 , '2A' , 'Option') ,</t>
  </si>
  <si>
    <t>(633537205, 'Ethics and Equity', 'Demonstrate the desire to improve society, including appreciating the roles of sustainable design and occupational health and safety', '', 0.1, 'Msci ' , '261x' , 'TestCourse' , 'Pirnia' , 'Mehrdad' , 'Spring ' , 2016 , '2A' , 'Option') ,</t>
  </si>
  <si>
    <t>(534292868, 'Ethics and Equity', 'Demonstrate the desire to improve society, including appreciating the roles of sustainable design and occupational health and safety', '', 0.08, 'Msci ' , '261x' , 'TestCourse' , 'Pirnia' , 'Mehrdad' , 'Spring ' , 2016 , '2A' , 'Option') ,</t>
  </si>
  <si>
    <t>(816787809, 'Ethics and Equity', 'Demonstrate the desire to improve society, including appreciating the roles of sustainable design and occupational health and safety', '', 0.64, 'Msci ' , '261x' , 'TestCourse' , 'Pirnia' , 'Mehrdad' , 'Spring ' , 2016 , '2A' , 'Option') ,</t>
  </si>
  <si>
    <t>(220052551, 'Ethics and Equity', 'Demonstrate the desire to improve society, including appreciating the roles of sustainable design and occupational health and safety', '', 0.14, 'Msci ' , '261x' , 'TestCourse' , 'Pirnia' , 'Mehrdad' , 'Spring ' , 2016 , '2A' , 'Option') ,</t>
  </si>
  <si>
    <t>(858571733, 'Ethics and Equity', 'Demonstrate the desire to improve society, including appreciating the roles of sustainable design and occupational health and safety', '', 0.16, 'Msci ' , '261x' , 'TestCourse' , 'Pirnia' , 'Mehrdad' , 'Spring ' , 2016 , '2A' , 'Option') ,</t>
  </si>
  <si>
    <t>(363436152, 'Ethics and Equity', 'Demonstrate the desire to improve society, including appreciating the roles of sustainable design and occupational health and safety', '', 0.46, 'Msci ' , '261x' , 'TestCourse' , 'Pirnia' , 'Mehrdad' , 'Spring ' , 2016 , '2A' , 'Option') ,</t>
  </si>
  <si>
    <t>(393495083, 'Ethics and Equity', 'Demonstrate the desire to improve society, including appreciating the roles of sustainable design and occupational health and safety', '', 0.18, 'Msci ' , '261x' , 'TestCourse' , 'Pirnia' , 'Mehrdad' , 'Spring ' , 2016 , '2A' , 'Option') ,</t>
  </si>
  <si>
    <t>(769635714, 'Ethics and Equity', 'Demonstrate the desire to improve society, including appreciating the roles of sustainable design and occupational health and safety', '', 0.64, 'Msci ' , '261x' , 'TestCourse' , 'Pirnia' , 'Mehrdad' , 'Spring ' , 2016 , '2A' , 'Option') ,</t>
  </si>
  <si>
    <t>(373048949, 'Ethics and Equity', 'Demonstrate the desire to improve society, including appreciating the roles of sustainable design and occupational health and safety', '', 0.3, 'Msci ' , '261x' , 'TestCourse' , 'Pirnia' , 'Mehrdad' , 'Spring ' , 2016 , '2A' , 'Option') ,</t>
  </si>
  <si>
    <t>(357061292, 'Ethics and Equity', 'Demonstrate the desire to improve society, including appreciating the roles of sustainable design and occupational health and safety', '', 0.5, 'Msci ' , '261x' , 'TestCourse' , 'Pirnia' , 'Mehrdad' , 'Spring ' , 2016 , '2A' , 'Option') ,</t>
  </si>
  <si>
    <t>(837310284, 'Ethics and Equity', 'Demonstrate the desire to improve society, including appreciating the roles of sustainable design and occupational health and safety', '', 0.36, 'Msci ' , '261x' , 'TestCourse' , 'Pirnia' , 'Mehrdad' , 'Spring ' , 2016 , '2A' , 'Option') ,</t>
  </si>
  <si>
    <t>(815854164, 'Ethics and Equity', 'Demonstrate the desire to improve society, including appreciating the roles of sustainable design and occupational health and safety', '', 0.62, 'Msci ' , '261x' , 'TestCourse' , 'Pirnia' , 'Mehrdad' , 'Spring ' , 2016 , '2A' , 'Option') ,</t>
  </si>
  <si>
    <t>(315378369, 'Ethics and Equity', 'Demonstrate the desire to improve society, including appreciating the roles of sustainable design and occupational health and safety', '', 0.36, 'Msci ' , '261x' , 'TestCourse' , 'Pirnia' , 'Mehrdad' , 'Spring ' , 2016 , '2A' , 'Option') ,</t>
  </si>
  <si>
    <t>(564410540, 'Ethics and Equity', 'Demonstrate the desire to improve society, including appreciating the roles of sustainable design and occupational health and safety', '', 0.72, 'Msci ' , '261x' , 'TestCourse' , 'Pirnia' , 'Mehrdad' , 'Spring ' , 2016 , '2A' , 'Option') ,</t>
  </si>
  <si>
    <t>(126539887, 'Ethics and Equity', 'Demonstrate the desire to improve society, including appreciating the roles of sustainable design and occupational health and safety', '', 0.62, 'Msci ' , '261x' , 'TestCourse' , 'Pirnia' , 'Mehrdad' , 'Spring ' , 2016 , '2A' , 'Option') ,</t>
  </si>
  <si>
    <t>(563937624, 'Ethics and Equity', 'Demonstrate the desire to improve society, including appreciating the roles of sustainable design and occupational health and safety', '', 0.2, 'Msci ' , '261x' , 'TestCourse' , 'Pirnia' , 'Mehrdad' , 'Spring ' , 2016 , '2A' , 'Option') ,</t>
  </si>
  <si>
    <t>(684291511, 'Ethics and Equity', 'Demonstrate the desire to improve society, including appreciating the roles of sustainable design and occupational health and safety', '', 0.52, 'Msci ' , '261x' , 'TestCourse' , 'Pirnia' , 'Mehrdad' , 'Spring ' , 2016 , '2A' , 'Option') ,</t>
  </si>
  <si>
    <t>(598829620, 'Ethics and Equity', 'Explain how the Engineering Code of Ethics and equity principles can be applied to professional situations', '', 0.4, 'Msci ' , '261x' , 'TestCourse' , 'Pirnia' , 'Mehrdad' , 'Spring ' , 2016 , '2A' , 'Option') ,</t>
  </si>
  <si>
    <t>(684014860, 'Ethics and Equity', 'Explain how the Engineering Code of Ethics and equity principles can be applied to professional situations', '', 0.56, 'Msci ' , '261x' , 'TestCourse' , 'Pirnia' , 'Mehrdad' , 'Spring ' , 2016 , '2A' , 'Option') ,</t>
  </si>
  <si>
    <t>(843228181, 'Ethics and Equity', 'Explain how the Engineering Code of Ethics and equity principles can be applied to professional situations', '', 0.42, 'Msci ' , '261x' , 'TestCourse' , 'Pirnia' , 'Mehrdad' , 'Spring ' , 2016 , '2A' , 'Option') ,</t>
  </si>
  <si>
    <t>(820549378, 'Ethics and Equity', 'Explain how the Engineering Code of Ethics and equity principles can be applied to professional situations', '', 0.26, 'Msci ' , '261x' , 'TestCourse' , 'Pirnia' , 'Mehrdad' , 'Spring ' , 2016 , '2A' , 'Option') ,</t>
  </si>
  <si>
    <t>(533572169, 'Ethics and Equity', 'Explain how the Engineering Code of Ethics and equity principles can be applied to professional situations', '', 0.04, 'Msci ' , '261x' , 'TestCourse' , 'Pirnia' , 'Mehrdad' , 'Spring ' , 2016 , '2A' , 'Option') ,</t>
  </si>
  <si>
    <t>(975325712, 'Ethics and Equity', 'Explain how the Engineering Code of Ethics and equity principles can be applied to professional situations', '', 0.36, 'Msci ' , '261x' , 'TestCourse' , 'Pirnia' , 'Mehrdad' , 'Spring ' , 2016 , '2A' , 'Option') ,</t>
  </si>
  <si>
    <t>(310082419, 'Ethics and Equity', 'Explain how the Engineering Code of Ethics and equity principles can be applied to professional situations', '', 0.22, 'Msci ' , '261x' , 'TestCourse' , 'Pirnia' , 'Mehrdad' , 'Spring ' , 2016 , '2A' , 'Option') ,</t>
  </si>
  <si>
    <t>(242132470, 'Ethics and Equity', 'Explain how the Engineering Code of Ethics and equity principles can be applied to professional situations', '', 0.56, 'Msci ' , '261x' , 'TestCourse' , 'Pirnia' , 'Mehrdad' , 'Spring ' , 2016 , '2A' , 'Option') ,</t>
  </si>
  <si>
    <t>(208248363, 'Ethics and Equity', 'Explain how the Engineering Code of Ethics and equity principles can be applied to professional situations', '', 0.4, 'Msci ' , '261x' , 'TestCourse' , 'Pirnia' , 'Mehrdad' , 'Spring ' , 2016 , '2A' , 'Option') ,</t>
  </si>
  <si>
    <t>(277055951, 'Ethics and Equity', 'Explain how the Engineering Code of Ethics and equity principles can be applied to professional situations', '', 0, 'Msci ' , '261x' , 'TestCourse' , 'Pirnia' , 'Mehrdad' , 'Spring ' , 2016 , '2A' , 'Option') ,</t>
  </si>
  <si>
    <t>(902907559, 'Ethics and Equity', 'Explain how the Engineering Code of Ethics and equity principles can be applied to professional situations', '', 0.12, 'Msci ' , '261x' , 'TestCourse' , 'Pirnia' , 'Mehrdad' , 'Spring ' , 2016 , '2A' , 'Option') ,</t>
  </si>
  <si>
    <t>(528297980, 'Ethics and Equity', 'Explain how the Engineering Code of Ethics and equity principles can be applied to professional situations', '', 0.62, 'Msci ' , '261x' , 'TestCourse' , 'Pirnia' , 'Mehrdad' , 'Spring ' , 2016 , '2A' , 'Option') ,</t>
  </si>
  <si>
    <t>(444882790, 'Ethics and Equity', 'Explain how the Engineering Code of Ethics and equity principles can be applied to professional situations', '', 0.14, 'Msci ' , '261x' , 'TestCourse' , 'Pirnia' , 'Mehrdad' , 'Spring ' , 2016 , '2A' , 'Option') ,</t>
  </si>
  <si>
    <t>(112085131, 'Ethics and Equity', 'Explain how the Engineering Code of Ethics and equity principles can be applied to professional situations', '', 0.18, 'Msci ' , '261x' , 'TestCourse' , 'Pirnia' , 'Mehrdad' , 'Spring ' , 2016 , '2A' , 'Option') ,</t>
  </si>
  <si>
    <t>(588642518, 'Ethics and Equity', 'Explain how the Engineering Code of Ethics and equity principles can be applied to professional situations', '', 0.68, 'Msci ' , '261x' , 'TestCourse' , 'Pirnia' , 'Mehrdad' , 'Spring ' , 2016 , '2A' , 'Option') ,</t>
  </si>
  <si>
    <t>(414520736, 'Ethics and Equity', 'Explain how the Engineering Code of Ethics and equity principles can be applied to professional situations', '', 0.14, 'Msci ' , '261x' , 'TestCourse' , 'Pirnia' , 'Mehrdad' , 'Spring ' , 2016 , '2A' , 'Option') ,</t>
  </si>
  <si>
    <t>(356558346, 'Ethics and Equity', 'Explain how the Engineering Code of Ethics and equity principles can be applied to professional situations', '', 0.04, 'Msci ' , '261x' , 'TestCourse' , 'Pirnia' , 'Mehrdad' , 'Spring ' , 2016 , '2A' , 'Option') ,</t>
  </si>
  <si>
    <t>(970698993, 'Ethics and Equity', 'Explain how the Engineering Code of Ethics and equity principles can be applied to professional situations', '', 0.08, 'Msci ' , '261x' , 'TestCourse' , 'Pirnia' , 'Mehrdad' , 'Spring ' , 2016 , '2A' , 'Option') ,</t>
  </si>
  <si>
    <t>(633537205, 'Ethics and Equity', 'Explain how the Engineering Code of Ethics and equity principles can be applied to professional situations', '', 0.1, 'Msci ' , '261x' , 'TestCourse' , 'Pirnia' , 'Mehrdad' , 'Spring ' , 2016 , '2A' , 'Option') ,</t>
  </si>
  <si>
    <t>(534292868, 'Ethics and Equity', 'Explain how the Engineering Code of Ethics and equity principles can be applied to professional situations', '', 0.08, 'Msci ' , '261x' , 'TestCourse' , 'Pirnia' , 'Mehrdad' , 'Spring ' , 2016 , '2A' , 'Option') ,</t>
  </si>
  <si>
    <t>(816787809, 'Ethics and Equity', 'Explain how the Engineering Code of Ethics and equity principles can be applied to professional situations', '', 0.64, 'Msci ' , '261x' , 'TestCourse' , 'Pirnia' , 'Mehrdad' , 'Spring ' , 2016 , '2A' , 'Option') ,</t>
  </si>
  <si>
    <t>(220052551, 'Ethics and Equity', 'Explain how the Engineering Code of Ethics and equity principles can be applied to professional situations', '', 0.14, 'Msci ' , '261x' , 'TestCourse' , 'Pirnia' , 'Mehrdad' , 'Spring ' , 2016 , '2A' , 'Option') ,</t>
  </si>
  <si>
    <t>(858571733, 'Ethics and Equity', 'Explain how the Engineering Code of Ethics and equity principles can be applied to professional situations', '', 0.16, 'Msci ' , '261x' , 'TestCourse' , 'Pirnia' , 'Mehrdad' , 'Spring ' , 2016 , '2A' , 'Option') ,</t>
  </si>
  <si>
    <t>(363436152, 'Ethics and Equity', 'Explain how the Engineering Code of Ethics and equity principles can be applied to professional situations', '', 0.46, 'Msci ' , '261x' , 'TestCourse' , 'Pirnia' , 'Mehrdad' , 'Spring ' , 2016 , '2A' , 'Option') ,</t>
  </si>
  <si>
    <t>(393495083, 'Ethics and Equity', 'Explain how the Engineering Code of Ethics and equity principles can be applied to professional situations', '', 0.18, 'Msci ' , '261x' , 'TestCourse' , 'Pirnia' , 'Mehrdad' , 'Spring ' , 2016 , '2A' , 'Option') ,</t>
  </si>
  <si>
    <t>(769635714, 'Ethics and Equity', 'Explain how the Engineering Code of Ethics and equity principles can be applied to professional situations', '', 0.64, 'Msci ' , '261x' , 'TestCourse' , 'Pirnia' , 'Mehrdad' , 'Spring ' , 2016 , '2A' , 'Option') ,</t>
  </si>
  <si>
    <t>(373048949, 'Ethics and Equity', 'Explain how the Engineering Code of Ethics and equity principles can be applied to professional situations', '', 0.3, 'Msci ' , '261x' , 'TestCourse' , 'Pirnia' , 'Mehrdad' , 'Spring ' , 2016 , '2A' , 'Option') ,</t>
  </si>
  <si>
    <t>(357061292, 'Ethics and Equity', 'Explain how the Engineering Code of Ethics and equity principles can be applied to professional situations', '', 0.5, 'Msci ' , '261x' , 'TestCourse' , 'Pirnia' , 'Mehrdad' , 'Spring ' , 2016 , '2A' , 'Option') ,</t>
  </si>
  <si>
    <t>(837310284, 'Ethics and Equity', 'Explain how the Engineering Code of Ethics and equity principles can be applied to professional situations', '', 0.36, 'Msci ' , '261x' , 'TestCourse' , 'Pirnia' , 'Mehrdad' , 'Spring ' , 2016 , '2A' , 'Option') ,</t>
  </si>
  <si>
    <t>(815854164, 'Ethics and Equity', 'Explain how the Engineering Code of Ethics and equity principles can be applied to professional situations', '', 0.62, 'Msci ' , '261x' , 'TestCourse' , 'Pirnia' , 'Mehrdad' , 'Spring ' , 2016 , '2A' , 'Option') ,</t>
  </si>
  <si>
    <t>(315378369, 'Ethics and Equity', 'Explain how the Engineering Code of Ethics and equity principles can be applied to professional situations', '', 0.36, 'Msci ' , '261x' , 'TestCourse' , 'Pirnia' , 'Mehrdad' , 'Spring ' , 2016 , '2A' , 'Option') ,</t>
  </si>
  <si>
    <t>(564410540, 'Ethics and Equity', 'Explain how the Engineering Code of Ethics and equity principles can be applied to professional situations', '', 0.72, 'Msci ' , '261x' , 'TestCourse' , 'Pirnia' , 'Mehrdad' , 'Spring ' , 2016 , '2A' , 'Option') ,</t>
  </si>
  <si>
    <t>(126539887, 'Ethics and Equity', 'Explain how the Engineering Code of Ethics and equity principles can be applied to professional situations', '', 0.62, 'Msci ' , '261x' , 'TestCourse' , 'Pirnia' , 'Mehrdad' , 'Spring ' , 2016 , '2A' , 'Option') ,</t>
  </si>
  <si>
    <t>(563937624, 'Ethics and Equity', 'Explain how the Engineering Code of Ethics and equity principles can be applied to professional situations', '', 0.2, 'Msci ' , '261x' , 'TestCourse' , 'Pirnia' , 'Mehrdad' , 'Spring ' , 2016 , '2A' , 'Option') ,</t>
  </si>
  <si>
    <t>(684291511, 'Ethics and Equity', 'Explain how the Engineering Code of Ethics and equity principles can be applied to professional situations', '', 0.52, 'Msci ' , '261x' , 'TestCourse' , 'Pirnia' , 'Mehrdad' , 'Spring ' , 2016 , '2A' , 'Option') ,</t>
  </si>
  <si>
    <t>(598829620, 'Economics and Project Management', 'Apply project management techniques in engineering projects', '', 0.233333333333333, 'Msci ' , '261x' , 'TestCourse' , 'Pirnia' , 'Mehrdad' , 'Spring ' , 2016 , '2A' , 'Option') ,</t>
  </si>
  <si>
    <t>(684014860, 'Economics and Project Management', 'Apply project management techniques in engineering projects', '', 0.56, 'Msci ' , '261x' , 'TestCourse' , 'Pirnia' , 'Mehrdad' , 'Spring ' , 2016 , '2A' , 'Option') ,</t>
  </si>
  <si>
    <t>(843228181, 'Economics and Project Management', 'Apply project management techniques in engineering projects', '', 0.546666666666667, 'Msci ' , '261x' , 'TestCourse' , 'Pirnia' , 'Mehrdad' , 'Spring ' , 2016 , '2A' , 'Option') ,</t>
  </si>
  <si>
    <t>(820549378, 'Economics and Project Management', 'Apply project management techniques in engineering projects', '', 0.3, 'Msci ' , '261x' , 'TestCourse' , 'Pirnia' , 'Mehrdad' , 'Spring ' , 2016 , '2A' , 'Option') ,</t>
  </si>
  <si>
    <t>(533572169, 'Economics and Project Management', 'Apply project management techniques in engineering projects', '', 0.213333333333333, 'Msci ' , '261x' , 'TestCourse' , 'Pirnia' , 'Mehrdad' , 'Spring ' , 2016 , '2A' , 'Option') ,</t>
  </si>
  <si>
    <t>(975325712, 'Economics and Project Management', 'Apply project management techniques in engineering projects', '', 0.386666666666667, 'Msci ' , '261x' , 'TestCourse' , 'Pirnia' , 'Mehrdad' , 'Spring ' , 2016 , '2A' , 'Option') ,</t>
  </si>
  <si>
    <t>(310082419, 'Economics and Project Management', 'Apply project management techniques in engineering projects', '', 0.1, 'Msci ' , '261x' , 'TestCourse' , 'Pirnia' , 'Mehrdad' , 'Spring ' , 2016 , '2A' , 'Option') ,</t>
  </si>
  <si>
    <t>(242132470, 'Economics and Project Management', 'Apply project management techniques in engineering projects', '', 0.26, 'Msci ' , '261x' , 'TestCourse' , 'Pirnia' , 'Mehrdad' , 'Spring ' , 2016 , '2A' , 'Option') ,</t>
  </si>
  <si>
    <t>(208248363, 'Economics and Project Management', 'Apply project management techniques in engineering projects', '', 0.473333333333333, 'Msci ' , '261x' , 'TestCourse' , 'Pirnia' , 'Mehrdad' , 'Spring ' , 2016 , '2A' , 'Option') ,</t>
  </si>
  <si>
    <t>(277055951, 'Economics and Project Management', 'Apply project management techniques in engineering projects', '', 0.173333333333333, 'Msci ' , '261x' , 'TestCourse' , 'Pirnia' , 'Mehrdad' , 'Spring ' , 2016 , '2A' , 'Option') ,</t>
  </si>
  <si>
    <t>(902907559, 'Economics and Project Management', 'Apply project management techniques in engineering projects', '', 0.613333333333333, 'Msci ' , '261x' , 'TestCourse' , 'Pirnia' , 'Mehrdad' , 'Spring ' , 2016 , '2A' , 'Option') ,</t>
  </si>
  <si>
    <t>(528297980, 'Economics and Project Management', 'Apply project management techniques in engineering projects', '', 0.593333333333333, 'Msci ' , '261x' , 'TestCourse' , 'Pirnia' , 'Mehrdad' , 'Spring ' , 2016 , '2A' , 'Option') ,</t>
  </si>
  <si>
    <t>(444882790, 'Economics and Project Management', 'Apply project management techniques in engineering projects', '', 0.08, 'Msci ' , '261x' , 'TestCourse' , 'Pirnia' , 'Mehrdad' , 'Spring ' , 2016 , '2A' , 'Option') ,</t>
  </si>
  <si>
    <t>(112085131, 'Economics and Project Management', 'Apply project management techniques in engineering projects', '', 0.146666666666667, 'Msci ' , '261x' , 'TestCourse' , 'Pirnia' , 'Mehrdad' , 'Spring ' , 2016 , '2A' , 'Option') ,</t>
  </si>
  <si>
    <t>(588642518, 'Economics and Project Management', 'Apply project management techniques in engineering projects', '', 0.853333333333333, 'Msci ' , '261x' , 'TestCourse' , 'Pirnia' , 'Mehrdad' , 'Spring ' , 2016 , '2A' , 'Option') ,</t>
  </si>
  <si>
    <t>(414520736, 'Economics and Project Management', 'Apply project management techniques in engineering projects', '', 0.586666666666667, 'Msci ' , '261x' , 'TestCourse' , 'Pirnia' , 'Mehrdad' , 'Spring ' , 2016 , '2A' , 'Option') ,</t>
  </si>
  <si>
    <t>(356558346, 'Economics and Project Management', 'Apply project management techniques in engineering projects', '', 0.3, 'Msci ' , '261x' , 'TestCourse' , 'Pirnia' , 'Mehrdad' , 'Spring ' , 2016 , '2A' , 'Option') ,</t>
  </si>
  <si>
    <t>(970698993, 'Economics and Project Management', 'Apply project management techniques in engineering projects', '', 0.66, 'Msci ' , '261x' , 'TestCourse' , 'Pirnia' , 'Mehrdad' , 'Spring ' , 2016 , '2A' , 'Option') ,</t>
  </si>
  <si>
    <t>(633537205, 'Economics and Project Management', 'Apply project management techniques in engineering projects', '', 0.273333333333333, 'Msci ' , '261x' , 'TestCourse' , 'Pirnia' , 'Mehrdad' , 'Spring ' , 2016 , '2A' , 'Option') ,</t>
  </si>
  <si>
    <t>(534292868, 'Economics and Project Management', 'Apply project management techniques in engineering projects', '', 0.626666666666667, 'Msci ' , '261x' , 'TestCourse' , 'Pirnia' , 'Mehrdad' , 'Spring ' , 2016 , '2A' , 'Option') ,</t>
  </si>
  <si>
    <t>(816787809, 'Economics and Project Management', 'Apply project management techniques in engineering projects', '', 0.526666666666667, 'Msci ' , '261x' , 'TestCourse' , 'Pirnia' , 'Mehrdad' , 'Spring ' , 2016 , '2A' , 'Option') ,</t>
  </si>
  <si>
    <t>(220052551, 'Economics and Project Management', 'Apply project management techniques in engineering projects', '', 0.54, 'Msci ' , '261x' , 'TestCourse' , 'Pirnia' , 'Mehrdad' , 'Spring ' , 2016 , '2A' , 'Option') ,</t>
  </si>
  <si>
    <t>(858571733, 'Economics and Project Management', 'Apply project management techniques in engineering projects', '', 0.18, 'Msci ' , '261x' , 'TestCourse' , 'Pirnia' , 'Mehrdad' , 'Spring ' , 2016 , '2A' , 'Option') ,</t>
  </si>
  <si>
    <t>(363436152, 'Economics and Project Management', 'Apply project management techniques in engineering projects', '', 0.293333333333333, 'Msci ' , '261x' , 'TestCourse' , 'Pirnia' , 'Mehrdad' , 'Spring ' , 2016 , '2A' , 'Option') ,</t>
  </si>
  <si>
    <t>(393495083, 'Economics and Project Management', 'Apply project management techniques in engineering projects', '', 0.666666666666667, 'Msci ' , '261x' , 'TestCourse' , 'Pirnia' , 'Mehrdad' , 'Spring ' , 2016 , '2A' , 'Option') ,</t>
  </si>
  <si>
    <t>(769635714, 'Economics and Project Management', 'Apply project management techniques in engineering projects', '', 0.8, 'Msci ' , '261x' , 'TestCourse' , 'Pirnia' , 'Mehrdad' , 'Spring ' , 2016 , '2A' , 'Option') ,</t>
  </si>
  <si>
    <t>(373048949, 'Economics and Project Management', 'Apply project management techniques in engineering projects', '', 0.633333333333333, 'Msci ' , '261x' , 'TestCourse' , 'Pirnia' , 'Mehrdad' , 'Spring ' , 2016 , '2A' , 'Option') ,</t>
  </si>
  <si>
    <t>(357061292, 'Economics and Project Management', 'Apply project management techniques in engineering projects', '', 0.233333333333333, 'Msci ' , '261x' , 'TestCourse' , 'Pirnia' , 'Mehrdad' , 'Spring ' , 2016 , '2A' , 'Option') ,</t>
  </si>
  <si>
    <t>(837310284, 'Economics and Project Management', 'Apply project management techniques in engineering projects', '', 0.42, 'Msci ' , '261x' , 'TestCourse' , 'Pirnia' , 'Mehrdad' , 'Spring ' , 2016 , '2A' , 'Option') ,</t>
  </si>
  <si>
    <t>(815854164, 'Economics and Project Management', 'Apply project management techniques in engineering projects', '', 0.8, 'Msci ' , '261x' , 'TestCourse' , 'Pirnia' , 'Mehrdad' , 'Spring ' , 2016 , '2A' , 'Option') ,</t>
  </si>
  <si>
    <t>(315378369, 'Economics and Project Management', 'Apply project management techniques in engineering projects', '', 0.2, 'Msci ' , '261x' , 'TestCourse' , 'Pirnia' , 'Mehrdad' , 'Spring ' , 2016 , '2A' , 'Option') ,</t>
  </si>
  <si>
    <t>(564410540, 'Economics and Project Management', 'Apply project management techniques in engineering projects', '', 0.38, 'Msci ' , '261x' , 'TestCourse' , 'Pirnia' , 'Mehrdad' , 'Spring ' , 2016 , '2A' , 'Option') ,</t>
  </si>
  <si>
    <t>(126539887, 'Economics and Project Management', 'Apply project management techniques in engineering projects', '', 0.253333333333333, 'Msci ' , '261x' , 'TestCourse' , 'Pirnia' , 'Mehrdad' , 'Spring ' , 2016 , '2A' , 'Option') ,</t>
  </si>
  <si>
    <t>(563937624, 'Economics and Project Management', 'Apply project management techniques in engineering projects', '', 0.1, 'Msci ' , '261x' , 'TestCourse' , 'Pirnia' , 'Mehrdad' , 'Spring ' , 2016 , '2A' , 'Option') ,</t>
  </si>
  <si>
    <t>(684291511, 'Economics and Project Management', 'Apply project management techniques in engineering projects', '', 0.42, 'Msci ' , '261x' , 'TestCourse' , 'Pirnia' , 'Mehrdad' , 'Spring ' , 2016 , '2A' , 'Option') ,</t>
  </si>
  <si>
    <t>(598829620, 'Economics and Project Management', 'Assess risk and uncertainties associated with engineering economic decisions', '', 0.25, 'Msci ' , '261x' , 'TestCourse' , 'Pirnia' , 'Mehrdad' , 'Spring ' , 2016 , '2A' , 'Option') ,</t>
  </si>
  <si>
    <t>(684014860, 'Economics and Project Management', 'Assess risk and uncertainties associated with engineering economic decisions', '', 0.4425, 'Msci ' , '261x' , 'TestCourse' , 'Pirnia' , 'Mehrdad' , 'Spring ' , 2016 , '2A' , 'Option') ,</t>
  </si>
  <si>
    <t>(843228181, 'Economics and Project Management', 'Assess risk and uncertainties associated with engineering economic decisions', '', 0.505, 'Msci ' , '261x' , 'TestCourse' , 'Pirnia' , 'Mehrdad' , 'Spring ' , 2016 , '2A' , 'Option') ,</t>
  </si>
  <si>
    <t>(820549378, 'Economics and Project Management', 'Assess risk and uncertainties associated with engineering economic decisions', '', 0.4375, 'Msci ' , '261x' , 'TestCourse' , 'Pirnia' , 'Mehrdad' , 'Spring ' , 2016 , '2A' , 'Option') ,</t>
  </si>
  <si>
    <t>(533572169, 'Economics and Project Management', 'Assess risk and uncertainties associated with engineering economic decisions', '', 0.445, 'Msci ' , '261x' , 'TestCourse' , 'Pirnia' , 'Mehrdad' , 'Spring ' , 2016 , '2A' , 'Option') ,</t>
  </si>
  <si>
    <t>(975325712, 'Economics and Project Management', 'Assess risk and uncertainties associated with engineering economic decisions', '', 0.4575, 'Msci ' , '261x' , 'TestCourse' , 'Pirnia' , 'Mehrdad' , 'Spring ' , 2016 , '2A' , 'Option') ,</t>
  </si>
  <si>
    <t>(310082419, 'Economics and Project Management', 'Assess risk and uncertainties associated with engineering economic decisions', '', 0.2375, 'Msci ' , '261x' , 'TestCourse' , 'Pirnia' , 'Mehrdad' , 'Spring ' , 2016 , '2A' , 'Option') ,</t>
  </si>
  <si>
    <t>(242132470, 'Economics and Project Management', 'Assess risk and uncertainties associated with engineering economic decisions', '', 0.22, 'Msci ' , '261x' , 'TestCourse' , 'Pirnia' , 'Mehrdad' , 'Spring ' , 2016 , '2A' , 'Option') ,</t>
  </si>
  <si>
    <t>(208248363, 'Economics and Project Management', 'Assess risk and uncertainties associated with engineering economic decisions', '', 0.5275, 'Msci ' , '261x' , 'TestCourse' , 'Pirnia' , 'Mehrdad' , 'Spring ' , 2016 , '2A' , 'Option') ,</t>
  </si>
  <si>
    <t>(277055951, 'Economics and Project Management', 'Assess risk and uncertainties associated with engineering economic decisions', '', 0.435, 'Msci ' , '261x' , 'TestCourse' , 'Pirnia' , 'Mehrdad' , 'Spring ' , 2016 , '2A' , 'Option') ,</t>
  </si>
  <si>
    <t>(902907559, 'Economics and Project Management', 'Assess risk and uncertainties associated with engineering economic decisions', '', 0.72, 'Msci ' , '261x' , 'TestCourse' , 'Pirnia' , 'Mehrdad' , 'Spring ' , 2016 , '2A' , 'Option') ,</t>
  </si>
  <si>
    <t>(528297980, 'Economics and Project Management', 'Assess risk and uncertainties associated with engineering economic decisions', '', 0.63, 'Msci ' , '261x' , 'TestCourse' , 'Pirnia' , 'Mehrdad' , 'Spring ' , 2016 , '2A' , 'Option') ,</t>
  </si>
  <si>
    <t>(444882790, 'Economics and Project Management', 'Assess risk and uncertainties associated with engineering economic decisions', '', 0.09, 'Msci ' , '261x' , 'TestCourse' , 'Pirnia' , 'Mehrdad' , 'Spring ' , 2016 , '2A' , 'Option') ,</t>
  </si>
  <si>
    <t>(112085131, 'Economics and Project Management', 'Assess risk and uncertainties associated with engineering economic decisions', '', 0.27, 'Msci ' , '261x' , 'TestCourse' , 'Pirnia' , 'Mehrdad' , 'Spring ' , 2016 , '2A' , 'Option') ,</t>
  </si>
  <si>
    <t>(588642518, 'Economics and Project Management', 'Assess risk and uncertainties associated with engineering economic decisions', '', 0.7725, 'Msci ' , '261x' , 'TestCourse' , 'Pirnia' , 'Mehrdad' , 'Spring ' , 2016 , '2A' , 'Option') ,</t>
  </si>
  <si>
    <t>(414520736, 'Economics and Project Management', 'Assess risk and uncertainties associated with engineering economic decisions', '', 0.7675, 'Msci ' , '261x' , 'TestCourse' , 'Pirnia' , 'Mehrdad' , 'Spring ' , 2016 , '2A' , 'Option') ,</t>
  </si>
  <si>
    <t>(356558346, 'Economics and Project Management', 'Assess risk and uncertainties associated with engineering economic decisions', '', 0.4375, 'Msci ' , '261x' , 'TestCourse' , 'Pirnia' , 'Mehrdad' , 'Spring ' , 2016 , '2A' , 'Option') ,</t>
  </si>
  <si>
    <t>(970698993, 'Economics and Project Management', 'Assess risk and uncertainties associated with engineering economic decisions', '', 0.75, 'Msci ' , '261x' , 'TestCourse' , 'Pirnia' , 'Mehrdad' , 'Spring ' , 2016 , '2A' , 'Option') ,</t>
  </si>
  <si>
    <t>(633537205, 'Economics and Project Management', 'Assess risk and uncertainties associated with engineering economic decisions', '', 0.4575, 'Msci ' , '261x' , 'TestCourse' , 'Pirnia' , 'Mehrdad' , 'Spring ' , 2016 , '2A' , 'Option') ,</t>
  </si>
  <si>
    <t>(534292868, 'Economics and Project Management', 'Assess risk and uncertainties associated with engineering economic decisions', '', 0.705, 'Msci ' , '261x' , 'TestCourse' , 'Pirnia' , 'Mehrdad' , 'Spring ' , 2016 , '2A' , 'Option') ,</t>
  </si>
  <si>
    <t>(816787809, 'Economics and Project Management', 'Assess risk and uncertainties associated with engineering economic decisions', '', 0.4475, 'Msci ' , '261x' , 'TestCourse' , 'Pirnia' , 'Mehrdad' , 'Spring ' , 2016 , '2A' , 'Option') ,</t>
  </si>
  <si>
    <t>(220052551, 'Economics and Project Management', 'Assess risk and uncertainties associated with engineering economic decisions', '', 0.78, 'Msci ' , '261x' , 'TestCourse' , 'Pirnia' , 'Mehrdad' , 'Spring ' , 2016 , '2A' , 'Option') ,</t>
  </si>
  <si>
    <t>(858571733, 'Economics and Project Management', 'Assess risk and uncertainties associated with engineering economic decisions', '', 0.2175, 'Msci ' , '261x' , 'TestCourse' , 'Pirnia' , 'Mehrdad' , 'Spring ' , 2016 , '2A' , 'Option') ,</t>
  </si>
  <si>
    <t>(363436152, 'Economics and Project Management', 'Assess risk and uncertainties associated with engineering economic decisions', '', 0.32, 'Msci ' , '261x' , 'TestCourse' , 'Pirnia' , 'Mehrdad' , 'Spring ' , 2016 , '2A' , 'Option') ,</t>
  </si>
  <si>
    <t>(393495083, 'Economics and Project Management', 'Assess risk and uncertainties associated with engineering economic decisions', '', 0.7675, 'Msci ' , '261x' , 'TestCourse' , 'Pirnia' , 'Mehrdad' , 'Spring ' , 2016 , '2A' , 'Option') ,</t>
  </si>
  <si>
    <t>(769635714, 'Economics and Project Management', 'Assess risk and uncertainties associated with engineering economic decisions', '', 0.7075, 'Msci ' , '261x' , 'TestCourse' , 'Pirnia' , 'Mehrdad' , 'Spring ' , 2016 , '2A' , 'Option') ,</t>
  </si>
  <si>
    <t>(373048949, 'Economics and Project Management', 'Assess risk and uncertainties associated with engineering economic decisions', '', 0.6575, 'Msci ' , '261x' , 'TestCourse' , 'Pirnia' , 'Mehrdad' , 'Spring ' , 2016 , '2A' , 'Option') ,</t>
  </si>
  <si>
    <t>(357061292, 'Economics and Project Management', 'Assess risk and uncertainties associated with engineering economic decisions', '', 0.29, 'Msci ' , '261x' , 'TestCourse' , 'Pirnia' , 'Mehrdad' , 'Spring ' , 2016 , '2A' , 'Option') ,</t>
  </si>
  <si>
    <t>(837310284, 'Economics and Project Management', 'Assess risk and uncertainties associated with engineering economic decisions', '', 0.4525, 'Msci ' , '261x' , 'TestCourse' , 'Pirnia' , 'Mehrdad' , 'Spring ' , 2016 , '2A' , 'Option') ,</t>
  </si>
  <si>
    <t>(815854164, 'Economics and Project Management', 'Assess risk and uncertainties associated with engineering economic decisions', '', 0.6725, 'Msci ' , '261x' , 'TestCourse' , 'Pirnia' , 'Mehrdad' , 'Spring ' , 2016 , '2A' , 'Option') ,</t>
  </si>
  <si>
    <t>(315378369, 'Economics and Project Management', 'Assess risk and uncertainties associated with engineering economic decisions', '', 0.1675, 'Msci ' , '261x' , 'TestCourse' , 'Pirnia' , 'Mehrdad' , 'Spring ' , 2016 , '2A' , 'Option') ,</t>
  </si>
  <si>
    <t>(564410540, 'Economics and Project Management', 'Assess risk and uncertainties associated with engineering economic decisions', '', 0.3175, 'Msci ' , '261x' , 'TestCourse' , 'Pirnia' , 'Mehrdad' , 'Spring ' , 2016 , '2A' , 'Option') ,</t>
  </si>
  <si>
    <t>(126539887, 'Economics and Project Management', 'Assess risk and uncertainties associated with engineering economic decisions', '', 0.2625, 'Msci ' , '261x' , 'TestCourse' , 'Pirnia' , 'Mehrdad' , 'Spring ' , 2016 , '2A' , 'Option') ,</t>
  </si>
  <si>
    <t>(563937624, 'Economics and Project Management', 'Assess risk and uncertainties associated with engineering economic decisions', '', 0.28, 'Msci ' , '261x' , 'TestCourse' , 'Pirnia' , 'Mehrdad' , 'Spring ' , 2016 , '2A' , 'Option') ,</t>
  </si>
  <si>
    <t>(684291511, 'Economics and Project Management', 'Assess risk and uncertainties associated with engineering economic decisions', '', 0.4825, 'Msci ' , '261x' , 'TestCourse' , 'Pirnia' , 'Mehrdad' , 'Spring ' , 2016 , '2A' , 'Option') ,</t>
  </si>
  <si>
    <t>(598829620, 'Economics and Project Management', 'Select the most economical investment decision among several alternatives', '', 0.318571428571429, 'Msci ' , '261x' , 'TestCourse' , 'Pirnia' , 'Mehrdad' , 'Spring ' , 2016 , '2A' , 'Option') ,</t>
  </si>
  <si>
    <t>(684014860, 'Economics and Project Management', 'Select the most economical investment decision among several alternatives', '', 0.612857142857143, 'Msci ' , '261x' , 'TestCourse' , 'Pirnia' , 'Mehrdad' , 'Spring ' , 2016 , '2A' , 'Option') ,</t>
  </si>
  <si>
    <t>(843228181, 'Economics and Project Management', 'Select the most economical investment decision among several alternatives', '', 0.505714285714286, 'Msci ' , '261x' , 'TestCourse' , 'Pirnia' , 'Mehrdad' , 'Spring ' , 2016 , '2A' , 'Option') ,</t>
  </si>
  <si>
    <t>(820549378, 'Economics and Project Management', 'Select the most economical investment decision among several alternatives', '', 0.348571428571429, 'Msci ' , '261x' , 'TestCourse' , 'Pirnia' , 'Mehrdad' , 'Spring ' , 2016 , '2A' , 'Option') ,</t>
  </si>
  <si>
    <t>(533572169, 'Economics and Project Management', 'Select the most economical investment decision among several alternatives', '', 0.24, 'Msci ' , '261x' , 'TestCourse' , 'Pirnia' , 'Mehrdad' , 'Spring ' , 2016 , '2A' , 'Option') ,</t>
  </si>
  <si>
    <t>(975325712, 'Economics and Project Management', 'Select the most economical investment decision among several alternatives', '', 0.391428571428571, 'Msci ' , '261x' , 'TestCourse' , 'Pirnia' , 'Mehrdad' , 'Spring ' , 2016 , '2A' , 'Option') ,</t>
  </si>
  <si>
    <t>(310082419, 'Economics and Project Management', 'Select the most economical investment decision among several alternatives', '', 0.145714285714286, 'Msci ' , '261x' , 'TestCourse' , 'Pirnia' , 'Mehrdad' , 'Spring ' , 2016 , '2A' , 'Option') ,</t>
  </si>
  <si>
    <t>(242132470, 'Economics and Project Management', 'Select the most economical investment decision among several alternatives', '', 0.308571428571429, 'Msci ' , '261x' , 'TestCourse' , 'Pirnia' , 'Mehrdad' , 'Spring ' , 2016 , '2A' , 'Option') ,</t>
  </si>
  <si>
    <t>(208248363, 'Economics and Project Management', 'Select the most economical investment decision among several alternatives', '', 0.441428571428571, 'Msci ' , '261x' , 'TestCourse' , 'Pirnia' , 'Mehrdad' , 'Spring ' , 2016 , '2A' , 'Option') ,</t>
  </si>
  <si>
    <t>(277055951, 'Economics and Project Management', 'Select the most economical investment decision among several alternatives', '', 0.188571428571429, 'Msci ' , '261x' , 'TestCourse' , 'Pirnia' , 'Mehrdad' , 'Spring ' , 2016 , '2A' , 'Option') ,</t>
  </si>
  <si>
    <t>(902907559, 'Economics and Project Management', 'Select the most economical investment decision among several alternatives', '', 0.661428571428571, 'Msci ' , '261x' , 'TestCourse' , 'Pirnia' , 'Mehrdad' , 'Spring ' , 2016 , '2A' , 'Option') ,</t>
  </si>
  <si>
    <t>(528297980, 'Economics and Project Management', 'Select the most economical investment decision among several alternatives', '', 0.614285714285714, 'Msci ' , '261x' , 'TestCourse' , 'Pirnia' , 'Mehrdad' , 'Spring ' , 2016 , '2A' , 'Option') ,</t>
  </si>
  <si>
    <t>(444882790, 'Economics and Project Management', 'Select the most economical investment decision among several alternatives', '', 0.164285714285714, 'Msci ' , '261x' , 'TestCourse' , 'Pirnia' , 'Mehrdad' , 'Spring ' , 2016 , '2A' , 'Option') ,</t>
  </si>
  <si>
    <t>(112085131, 'Economics and Project Management', 'Select the most economical investment decision among several alternatives', '', 0.211428571428571, 'Msci ' , '261x' , 'TestCourse' , 'Pirnia' , 'Mehrdad' , 'Spring ' , 2016 , '2A' , 'Option') ,</t>
  </si>
  <si>
    <t>(588642518, 'Economics and Project Management', 'Select the most economical investment decision among several alternatives', '', 0.834285714285714, 'Msci ' , '261x' , 'TestCourse' , 'Pirnia' , 'Mehrdad' , 'Spring ' , 2016 , '2A' , 'Option') ,</t>
  </si>
  <si>
    <t>(414520736, 'Economics and Project Management', 'Select the most economical investment decision among several alternatives', '', 0.518571428571429, 'Msci ' , '261x' , 'TestCourse' , 'Pirnia' , 'Mehrdad' , 'Spring ' , 2016 , '2A' , 'Option') ,</t>
  </si>
  <si>
    <t>(356558346, 'Economics and Project Management', 'Select the most economical investment decision among several alternatives', '', 0.328571428571429, 'Msci ' , '261x' , 'TestCourse' , 'Pirnia' , 'Mehrdad' , 'Spring ' , 2016 , '2A' , 'Option') ,</t>
  </si>
  <si>
    <t>(970698993, 'Economics and Project Management', 'Select the most economical investment decision among several alternatives', '', 0.677142857142857, 'Msci ' , '261x' , 'TestCourse' , 'Pirnia' , 'Mehrdad' , 'Spring ' , 2016 , '2A' , 'Option') ,</t>
  </si>
  <si>
    <t>(633537205, 'Economics and Project Management', 'Select the most economical investment decision among several alternatives', '', 0.295714285714286, 'Msci ' , '261x' , 'TestCourse' , 'Pirnia' , 'Mehrdad' , 'Spring ' , 2016 , '2A' , 'Option') ,</t>
  </si>
  <si>
    <t>(534292868, 'Economics and Project Management', 'Select the most economical investment decision among several alternatives', '', 0.662857142857143, 'Msci ' , '261x' , 'TestCourse' , 'Pirnia' , 'Mehrdad' , 'Spring ' , 2016 , '2A' , 'Option') ,</t>
  </si>
  <si>
    <t>(816787809, 'Economics and Project Management', 'Select the most economical investment decision among several alternatives', '', 0.491428571428571, 'Msci ' , '261x' , 'TestCourse' , 'Pirnia' , 'Mehrdad' , 'Spring ' , 2016 , '2A' , 'Option') ,</t>
  </si>
  <si>
    <t>(220052551, 'Economics and Project Management', 'Select the most economical investment decision among several alternatives', '', 0.471428571428571, 'Msci ' , '261x' , 'TestCourse' , 'Pirnia' , 'Mehrdad' , 'Spring ' , 2016 , '2A' , 'Option') ,</t>
  </si>
  <si>
    <t>(858571733, 'Economics and Project Management', 'Select the most economical investment decision among several alternatives', '', 0.265714285714286, 'Msci ' , '261x' , 'TestCourse' , 'Pirnia' , 'Mehrdad' , 'Spring ' , 2016 , '2A' , 'Option') ,</t>
  </si>
  <si>
    <t>(363436152, 'Economics and Project Management', 'Select the most economical investment decision among several alternatives', '', 0.274285714285714, 'Msci ' , '261x' , 'TestCourse' , 'Pirnia' , 'Mehrdad' , 'Spring ' , 2016 , '2A' , 'Option') ,</t>
  </si>
  <si>
    <t>(393495083, 'Economics and Project Management', 'Select the most economical investment decision among several alternatives', '', 0.67, 'Msci ' , '261x' , 'TestCourse' , 'Pirnia' , 'Mehrdad' , 'Spring ' , 2016 , '2A' , 'Option') ,</t>
  </si>
  <si>
    <t>(769635714, 'Economics and Project Management', 'Select the most economical investment decision among several alternatives', '', 0.792857142857143, 'Msci ' , '261x' , 'TestCourse' , 'Pirnia' , 'Mehrdad' , 'Spring ' , 2016 , '2A' , 'Option') ,</t>
  </si>
  <si>
    <t>(373048949, 'Economics and Project Management', 'Select the most economical investment decision among several alternatives', '', 0.611428571428571, 'Msci ' , '261x' , 'TestCourse' , 'Pirnia' , 'Mehrdad' , 'Spring ' , 2016 , '2A' , 'Option') ,</t>
  </si>
  <si>
    <t>(357061292, 'Economics and Project Management', 'Select the most economical investment decision among several alternatives', '', 0.21, 'Msci ' , '261x' , 'TestCourse' , 'Pirnia' , 'Mehrdad' , 'Spring ' , 2016 , '2A' , 'Option') ,</t>
  </si>
  <si>
    <t>(837310284, 'Economics and Project Management', 'Select the most economical investment decision among several alternatives', '', 0.36, 'Msci ' , '261x' , 'TestCourse' , 'Pirnia' , 'Mehrdad' , 'Spring ' , 2016 , '2A' , 'Option') ,</t>
  </si>
  <si>
    <t>(815854164, 'Economics and Project Management', 'Select the most economical investment decision among several alternatives', '', 0.825714285714286, 'Msci ' , '261x' , 'TestCourse' , 'Pirnia' , 'Mehrdad' , 'Spring ' , 2016 , '2A' , 'Option') ,</t>
  </si>
  <si>
    <t>(315378369, 'Economics and Project Management', 'Select the most economical investment decision among several alternatives', '', 0.237142857142857, 'Msci ' , '261x' , 'TestCourse' , 'Pirnia' , 'Mehrdad' , 'Spring ' , 2016 , '2A' , 'Option') ,</t>
  </si>
  <si>
    <t>(564410540, 'Economics and Project Management', 'Select the most economical investment decision among several alternatives', '', 0.38, 'Msci ' , '261x' , 'TestCourse' , 'Pirnia' , 'Mehrdad' , 'Spring ' , 2016 , '2A' , 'Option') ,</t>
  </si>
  <si>
    <t>(126539887, 'Economics and Project Management', 'Select the most economical investment decision among several alternatives', '', 0.354285714285714, 'Msci ' , '261x' , 'TestCourse' , 'Pirnia' , 'Mehrdad' , 'Spring ' , 2016 , '2A' , 'Option') ,</t>
  </si>
  <si>
    <t>(563937624, 'Economics and Project Management', 'Select the most economical investment decision among several alternatives', '', 0.227142857142857, 'Msci ' , '261x' , 'TestCourse' , 'Pirnia' , 'Mehrdad' , 'Spring ' , 2016 , '2A' , 'Option') ,</t>
  </si>
  <si>
    <t>(684291511, 'Economics and Project Management', 'Select the most economical investment decision among several alternatives', '', 0.391428571428571, 'Msci ' , '261x' , 'TestCourse' , 'Pirnia' , 'Mehrdad' , 'Spring ' , 2016 , '2A' , 'Option') ,</t>
  </si>
  <si>
    <t>(598829620, 'Life Long Learning', 'Evaluate the effectiveness of knowledge application from lessons learned in the design process', '', 0.4, 'Msci ' , '261x' , 'TestCourse' , 'Pirnia' , 'Mehrdad' , 'Spring ' , 2016 , '2A' , 'Option') ,</t>
  </si>
  <si>
    <t>(684014860, 'Life Long Learning', 'Evaluate the effectiveness of knowledge application from lessons learned in the design process', '', 0.56, 'Msci ' , '261x' , 'TestCourse' , 'Pirnia' , 'Mehrdad' , 'Spring ' , 2016 , '2A' , 'Option') ,</t>
  </si>
  <si>
    <t>(843228181, 'Life Long Learning', 'Evaluate the effectiveness of knowledge application from lessons learned in the design process', '', 0.42, 'Msci ' , '261x' , 'TestCourse' , 'Pirnia' , 'Mehrdad' , 'Spring ' , 2016 , '2A' , 'Option') ,</t>
  </si>
  <si>
    <t>(820549378, 'Life Long Learning', 'Evaluate the effectiveness of knowledge application from lessons learned in the design process', '', 0.26, 'Msci ' , '261x' , 'TestCourse' , 'Pirnia' , 'Mehrdad' , 'Spring ' , 2016 , '2A' , 'Option') ,</t>
  </si>
  <si>
    <t>(533572169, 'Life Long Learning', 'Evaluate the effectiveness of knowledge application from lessons learned in the design process', '', 0.04, 'Msci ' , '261x' , 'TestCourse' , 'Pirnia' , 'Mehrdad' , 'Spring ' , 2016 , '2A' , 'Option') ,</t>
  </si>
  <si>
    <t>(975325712, 'Life Long Learning', 'Evaluate the effectiveness of knowledge application from lessons learned in the design process', '', 0.36, 'Msci ' , '261x' , 'TestCourse' , 'Pirnia' , 'Mehrdad' , 'Spring ' , 2016 , '2A' , 'Option') ,</t>
  </si>
  <si>
    <t>(310082419, 'Life Long Learning', 'Evaluate the effectiveness of knowledge application from lessons learned in the design process', '', 0.22, 'Msci ' , '261x' , 'TestCourse' , 'Pirnia' , 'Mehrdad' , 'Spring ' , 2016 , '2A' , 'Option') ,</t>
  </si>
  <si>
    <t>(242132470, 'Life Long Learning', 'Evaluate the effectiveness of knowledge application from lessons learned in the design process', '', 0.56, 'Msci ' , '261x' , 'TestCourse' , 'Pirnia' , 'Mehrdad' , 'Spring ' , 2016 , '2A' , 'Option') ,</t>
  </si>
  <si>
    <t>(208248363, 'Life Long Learning', 'Evaluate the effectiveness of knowledge application from lessons learned in the design process', '', 0.4, 'Msci ' , '261x' , 'TestCourse' , 'Pirnia' , 'Mehrdad' , 'Spring ' , 2016 , '2A' , 'Option') ,</t>
  </si>
  <si>
    <t>(277055951, 'Life Long Learning', 'Evaluate the effectiveness of knowledge application from lessons learned in the design process', '', 0, 'Msci ' , '261x' , 'TestCourse' , 'Pirnia' , 'Mehrdad' , 'Spring ' , 2016 , '2A' , 'Option') ,</t>
  </si>
  <si>
    <t>(902907559, 'Life Long Learning', 'Evaluate the effectiveness of knowledge application from lessons learned in the design process', '', 0.12, 'Msci ' , '261x' , 'TestCourse' , 'Pirnia' , 'Mehrdad' , 'Spring ' , 2016 , '2A' , 'Option') ,</t>
  </si>
  <si>
    <t>(528297980, 'Life Long Learning', 'Evaluate the effectiveness of knowledge application from lessons learned in the design process', '', 0.62, 'Msci ' , '261x' , 'TestCourse' , 'Pirnia' , 'Mehrdad' , 'Spring ' , 2016 , '2A' , 'Option') ,</t>
  </si>
  <si>
    <t>(444882790, 'Life Long Learning', 'Evaluate the effectiveness of knowledge application from lessons learned in the design process', '', 0.14, 'Msci ' , '261x' , 'TestCourse' , 'Pirnia' , 'Mehrdad' , 'Spring ' , 2016 , '2A' , 'Option') ,</t>
  </si>
  <si>
    <t>(112085131, 'Life Long Learning', 'Evaluate the effectiveness of knowledge application from lessons learned in the design process', '', 0.18, 'Msci ' , '261x' , 'TestCourse' , 'Pirnia' , 'Mehrdad' , 'Spring ' , 2016 , '2A' , 'Option') ,</t>
  </si>
  <si>
    <t>(588642518, 'Life Long Learning', 'Evaluate the effectiveness of knowledge application from lessons learned in the design process', '', 0.68, 'Msci ' , '261x' , 'TestCourse' , 'Pirnia' , 'Mehrdad' , 'Spring ' , 2016 , '2A' , 'Option') ,</t>
  </si>
  <si>
    <t>(414520736, 'Life Long Learning', 'Evaluate the effectiveness of knowledge application from lessons learned in the design process', '', 0.14, 'Msci ' , '261x' , 'TestCourse' , 'Pirnia' , 'Mehrdad' , 'Spring ' , 2016 , '2A' , 'Option') ,</t>
  </si>
  <si>
    <t>(356558346, 'Life Long Learning', 'Evaluate the effectiveness of knowledge application from lessons learned in the design process', '', 0.04, 'Msci ' , '261x' , 'TestCourse' , 'Pirnia' , 'Mehrdad' , 'Spring ' , 2016 , '2A' , 'Option') ,</t>
  </si>
  <si>
    <t>(970698993, 'Life Long Learning', 'Evaluate the effectiveness of knowledge application from lessons learned in the design process', '', 0.08, 'Msci ' , '261x' , 'TestCourse' , 'Pirnia' , 'Mehrdad' , 'Spring ' , 2016 , '2A' , 'Option') ,</t>
  </si>
  <si>
    <t>(633537205, 'Life Long Learning', 'Evaluate the effectiveness of knowledge application from lessons learned in the design process', '', 0.1, 'Msci ' , '261x' , 'TestCourse' , 'Pirnia' , 'Mehrdad' , 'Spring ' , 2016 , '2A' , 'Option') ,</t>
  </si>
  <si>
    <t>(534292868, 'Life Long Learning', 'Evaluate the effectiveness of knowledge application from lessons learned in the design process', '', 0.08, 'Msci ' , '261x' , 'TestCourse' , 'Pirnia' , 'Mehrdad' , 'Spring ' , 2016 , '2A' , 'Option') ,</t>
  </si>
  <si>
    <t>(816787809, 'Life Long Learning', 'Evaluate the effectiveness of knowledge application from lessons learned in the design process', '', 0.64, 'Msci ' , '261x' , 'TestCourse' , 'Pirnia' , 'Mehrdad' , 'Spring ' , 2016 , '2A' , 'Option') ,</t>
  </si>
  <si>
    <t>(220052551, 'Life Long Learning', 'Evaluate the effectiveness of knowledge application from lessons learned in the design process', '', 0.14, 'Msci ' , '261x' , 'TestCourse' , 'Pirnia' , 'Mehrdad' , 'Spring ' , 2016 , '2A' , 'Option') ,</t>
  </si>
  <si>
    <t>(858571733, 'Life Long Learning', 'Evaluate the effectiveness of knowledge application from lessons learned in the design process', '', 0.16, 'Msci ' , '261x' , 'TestCourse' , 'Pirnia' , 'Mehrdad' , 'Spring ' , 2016 , '2A' , 'Option') ,</t>
  </si>
  <si>
    <t>(363436152, 'Life Long Learning', 'Evaluate the effectiveness of knowledge application from lessons learned in the design process', '', 0.46, 'Msci ' , '261x' , 'TestCourse' , 'Pirnia' , 'Mehrdad' , 'Spring ' , 2016 , '2A' , 'Option') ,</t>
  </si>
  <si>
    <t>(393495083, 'Life Long Learning', 'Evaluate the effectiveness of knowledge application from lessons learned in the design process', '', 0.18, 'Msci ' , '261x' , 'TestCourse' , 'Pirnia' , 'Mehrdad' , 'Spring ' , 2016 , '2A' , 'Option') ,</t>
  </si>
  <si>
    <t>(769635714, 'Life Long Learning', 'Evaluate the effectiveness of knowledge application from lessons learned in the design process', '', 0.64, 'Msci ' , '261x' , 'TestCourse' , 'Pirnia' , 'Mehrdad' , 'Spring ' , 2016 , '2A' , 'Option') ,</t>
  </si>
  <si>
    <t>(373048949, 'Life Long Learning', 'Evaluate the effectiveness of knowledge application from lessons learned in the design process', '', 0.3, 'Msci ' , '261x' , 'TestCourse' , 'Pirnia' , 'Mehrdad' , 'Spring ' , 2016 , '2A' , 'Option') ,</t>
  </si>
  <si>
    <t>(357061292, 'Life Long Learning', 'Evaluate the effectiveness of knowledge application from lessons learned in the design process', '', 0.5, 'Msci ' , '261x' , 'TestCourse' , 'Pirnia' , 'Mehrdad' , 'Spring ' , 2016 , '2A' , 'Option') ,</t>
  </si>
  <si>
    <t>(837310284, 'Life Long Learning', 'Evaluate the effectiveness of knowledge application from lessons learned in the design process', '', 0.36, 'Msci ' , '261x' , 'TestCourse' , 'Pirnia' , 'Mehrdad' , 'Spring ' , 2016 , '2A' , 'Option') ,</t>
  </si>
  <si>
    <t>(815854164, 'Life Long Learning', 'Evaluate the effectiveness of knowledge application from lessons learned in the design process', '', 0.62, 'Msci ' , '261x' , 'TestCourse' , 'Pirnia' , 'Mehrdad' , 'Spring ' , 2016 , '2A' , 'Option') ,</t>
  </si>
  <si>
    <t>(315378369, 'Life Long Learning', 'Evaluate the effectiveness of knowledge application from lessons learned in the design process', '', 0.36, 'Msci ' , '261x' , 'TestCourse' , 'Pirnia' , 'Mehrdad' , 'Spring ' , 2016 , '2A' , 'Option') ,</t>
  </si>
  <si>
    <t>(564410540, 'Life Long Learning', 'Evaluate the effectiveness of knowledge application from lessons learned in the design process', '', 0.72, 'Msci ' , '261x' , 'TestCourse' , 'Pirnia' , 'Mehrdad' , 'Spring ' , 2016 , '2A' , 'Option') ,</t>
  </si>
  <si>
    <t>(126539887, 'Life Long Learning', 'Evaluate the effectiveness of knowledge application from lessons learned in the design process', '', 0.62, 'Msci ' , '261x' , 'TestCourse' , 'Pirnia' , 'Mehrdad' , 'Spring ' , 2016 , '2A' , 'Option') ,</t>
  </si>
  <si>
    <t>(563937624, 'Life Long Learning', 'Evaluate the effectiveness of knowledge application from lessons learned in the design process', '', 0.2, 'Msci ' , '261x' , 'TestCourse' , 'Pirnia' , 'Mehrdad' , 'Spring ' , 2016 , '2A' , 'Option') ,</t>
  </si>
  <si>
    <t>(684291511, 'Life Long Learning', 'Evaluate the effectiveness of knowledge application from lessons learned in the design process', '', 0.52, 'Msci ' , '261x' , 'TestCourse' , 'Pirnia' , 'Mehrdad' , 'Spring ' , 2016 , '2A' , 'Option') ,</t>
  </si>
  <si>
    <t>(598829620, 'Life Long Learning', 'Accurately identify gaps in their knowledge and understanding', '', 0.4, 'Msci ' , '261x' , 'TestCourse' , 'Pirnia' , 'Mehrdad' , 'Spring ' , 2016 , '2A' , 'Option') ,</t>
  </si>
  <si>
    <t>(684014860, 'Life Long Learning', 'Accurately identify gaps in their knowledge and understanding', '', 0.6175, 'Msci ' , '261x' , 'TestCourse' , 'Pirnia' , 'Mehrdad' , 'Spring ' , 2016 , '2A' , 'Option') ,</t>
  </si>
  <si>
    <t>(843228181, 'Life Long Learning', 'Accurately identify gaps in their knowledge and understanding', '', 0.57875, 'Msci ' , '261x' , 'TestCourse' , 'Pirnia' , 'Mehrdad' , 'Spring ' , 2016 , '2A' , 'Option') ,</t>
  </si>
  <si>
    <t>(820549378, 'Life Long Learning', 'Accurately identify gaps in their knowledge and understanding', '', 0.52375, 'Msci ' , '261x' , 'TestCourse' , 'Pirnia' , 'Mehrdad' , 'Spring ' , 2016 , '2A' , 'Option') ,</t>
  </si>
  <si>
    <t>(533572169, 'Life Long Learning', 'Accurately identify gaps in their knowledge and understanding', '', 0.18875, 'Msci ' , '261x' , 'TestCourse' , 'Pirnia' , 'Mehrdad' , 'Spring ' , 2016 , '2A' , 'Option') ,</t>
  </si>
  <si>
    <t>(975325712, 'Life Long Learning', 'Accurately identify gaps in their knowledge and understanding', '', 0.28625, 'Msci ' , '261x' , 'TestCourse' , 'Pirnia' , 'Mehrdad' , 'Spring ' , 2016 , '2A' , 'Option') ,</t>
  </si>
  <si>
    <t>(310082419, 'Life Long Learning', 'Accurately identify gaps in their knowledge and understanding', '', 0.36625, 'Msci ' , '261x' , 'TestCourse' , 'Pirnia' , 'Mehrdad' , 'Spring ' , 2016 , '2A' , 'Option') ,</t>
  </si>
  <si>
    <t>(242132470, 'Life Long Learning', 'Accurately identify gaps in their knowledge and understanding', '', 0.33625, 'Msci ' , '261x' , 'TestCourse' , 'Pirnia' , 'Mehrdad' , 'Spring ' , 2016 , '2A' , 'Option') ,</t>
  </si>
  <si>
    <t>(208248363, 'Life Long Learning', 'Accurately identify gaps in their knowledge and understanding', '', 0.51875, 'Msci ' , '261x' , 'TestCourse' , 'Pirnia' , 'Mehrdad' , 'Spring ' , 2016 , '2A' , 'Option') ,</t>
  </si>
  <si>
    <t>(277055951, 'Life Long Learning', 'Accurately identify gaps in their knowledge and understanding', '', 0.25, 'Msci ' , '261x' , 'TestCourse' , 'Pirnia' , 'Mehrdad' , 'Spring ' , 2016 , '2A' , 'Option') ,</t>
  </si>
  <si>
    <t>(902907559, 'Life Long Learning', 'Accurately identify gaps in their knowledge and understanding', '', 0.335, 'Msci ' , '261x' , 'TestCourse' , 'Pirnia' , 'Mehrdad' , 'Spring ' , 2016 , '2A' , 'Option') ,</t>
  </si>
  <si>
    <t>(528297980, 'Life Long Learning', 'Accurately identify gaps in their knowledge and understanding', '', 0.5475, 'Msci ' , '261x' , 'TestCourse' , 'Pirnia' , 'Mehrdad' , 'Spring ' , 2016 , '2A' , 'Option') ,</t>
  </si>
  <si>
    <t>(444882790, 'Life Long Learning', 'Accurately identify gaps in their knowledge and understanding', '', 0.42, 'Msci ' , '261x' , 'TestCourse' , 'Pirnia' , 'Mehrdad' , 'Spring ' , 2016 , '2A' , 'Option') ,</t>
  </si>
  <si>
    <t>(112085131, 'Life Long Learning', 'Accurately identify gaps in their knowledge and understanding', '', 0.25875, 'Msci ' , '261x' , 'TestCourse' , 'Pirnia' , 'Mehrdad' , 'Spring ' , 2016 , '2A' , 'Option') ,</t>
  </si>
  <si>
    <t>(588642518, 'Life Long Learning', 'Accurately identify gaps in their knowledge and understanding', '', 0.3775, 'Msci ' , '261x' , 'TestCourse' , 'Pirnia' , 'Mehrdad' , 'Spring ' , 2016 , '2A' , 'Option') ,</t>
  </si>
  <si>
    <t>(414520736, 'Life Long Learning', 'Accurately identify gaps in their knowledge and understanding', '', 0.22625, 'Msci ' , '261x' , 'TestCourse' , 'Pirnia' , 'Mehrdad' , 'Spring ' , 2016 , '2A' , 'Option') ,</t>
  </si>
  <si>
    <t>(356558346, 'Life Long Learning', 'Accurately identify gaps in their knowledge and understanding', '', 0.22625, 'Msci ' , '261x' , 'TestCourse' , 'Pirnia' , 'Mehrdad' , 'Spring ' , 2016 , '2A' , 'Option') ,</t>
  </si>
  <si>
    <t>(970698993, 'Life Long Learning', 'Accurately identify gaps in their knowledge and understanding', '', 0.2275, 'Msci ' , '261x' , 'TestCourse' , 'Pirnia' , 'Mehrdad' , 'Spring ' , 2016 , '2A' , 'Option') ,</t>
  </si>
  <si>
    <t>(633537205, 'Life Long Learning', 'Accurately identify gaps in their knowledge and understanding', '', 0.125, 'Msci ' , '261x' , 'TestCourse' , 'Pirnia' , 'Mehrdad' , 'Spring ' , 2016 , '2A' , 'Option') ,</t>
  </si>
  <si>
    <t>(534292868, 'Life Long Learning', 'Accurately identify gaps in their knowledge and understanding', '', 0.1525, 'Msci ' , '261x' , 'TestCourse' , 'Pirnia' , 'Mehrdad' , 'Spring ' , 2016 , '2A' , 'Option') ,</t>
  </si>
  <si>
    <t>(816787809, 'Life Long Learning', 'Accurately identify gaps in their knowledge and understanding', '', 0.62625, 'Msci ' , '261x' , 'TestCourse' , 'Pirnia' , 'Mehrdad' , 'Spring ' , 2016 , '2A' , 'Option') ,</t>
  </si>
  <si>
    <t>(220052551, 'Life Long Learning', 'Accurately identify gaps in their knowledge and understanding', '', 0.26375, 'Msci ' , '261x' , 'TestCourse' , 'Pirnia' , 'Mehrdad' , 'Spring ' , 2016 , '2A' , 'Option') ,</t>
  </si>
  <si>
    <t>(858571733, 'Life Long Learning', 'Accurately identify gaps in their knowledge and understanding', '', 0.1425, 'Msci ' , '261x' , 'TestCourse' , 'Pirnia' , 'Mehrdad' , 'Spring ' , 2016 , '2A' , 'Option') ,</t>
  </si>
  <si>
    <t>(363436152, 'Life Long Learning', 'Accurately identify gaps in their knowledge and understanding', '', 0.44875, 'Msci ' , '261x' , 'TestCourse' , 'Pirnia' , 'Mehrdad' , 'Spring ' , 2016 , '2A' , 'Option') ,</t>
  </si>
  <si>
    <t>(393495083, 'Life Long Learning', 'Accurately identify gaps in their knowledge and understanding', '', 0.14625, 'Msci ' , '261x' , 'TestCourse' , 'Pirnia' , 'Mehrdad' , 'Spring ' , 2016 , '2A' , 'Option') ,</t>
  </si>
  <si>
    <t>(769635714, 'Life Long Learning', 'Accurately identify gaps in their knowledge and understanding', '', 0.42625, 'Msci ' , '261x' , 'TestCourse' , 'Pirnia' , 'Mehrdad' , 'Spring ' , 2016 , '2A' , 'Option') ,</t>
  </si>
  <si>
    <t>(373048949, 'Life Long Learning', 'Accurately identify gaps in their knowledge and understanding', '', 0.4375, 'Msci ' , '261x' , 'TestCourse' , 'Pirnia' , 'Mehrdad' , 'Spring ' , 2016 , '2A' , 'Option') ,</t>
  </si>
  <si>
    <t>(357061292, 'Life Long Learning', 'Accurately identify gaps in their knowledge and understanding', '', 0.54375, 'Msci ' , '261x' , 'TestCourse' , 'Pirnia' , 'Mehrdad' , 'Spring ' , 2016 , '2A' , 'Option') ,</t>
  </si>
  <si>
    <t>(837310284, 'Life Long Learning', 'Accurately identify gaps in their knowledge and understanding', '', 0.3425, 'Msci ' , '261x' , 'TestCourse' , 'Pirnia' , 'Mehrdad' , 'Spring ' , 2016 , '2A' , 'Option') ,</t>
  </si>
  <si>
    <t>(815854164, 'Life Long Learning', 'Accurately identify gaps in their knowledge and understanding', '', 0.36, 'Msci ' , '261x' , 'TestCourse' , 'Pirnia' , 'Mehrdad' , 'Spring ' , 2016 , '2A' , 'Option') ,</t>
  </si>
  <si>
    <t>(315378369, 'Life Long Learning', 'Accurately identify gaps in their knowledge and understanding', '', 0.2925, 'Msci ' , '261x' , 'TestCourse' , 'Pirnia' , 'Mehrdad' , 'Spring ' , 2016 , '2A' , 'Option') ,</t>
  </si>
  <si>
    <t>(564410540, 'Life Long Learning', 'Accurately identify gaps in their knowledge and understanding', '', 0.67875, 'Msci ' , '261x' , 'TestCourse' , 'Pirnia' , 'Mehrdad' , 'Spring ' , 2016 , '2A' , 'Option') ,</t>
  </si>
  <si>
    <t>(126539887, 'Life Long Learning', 'Accurately identify gaps in their knowledge and understanding', '', 0.6225, 'Msci ' , '261x' , 'TestCourse' , 'Pirnia' , 'Mehrdad' , 'Spring ' , 2016 , '2A' , 'Option') ,</t>
  </si>
  <si>
    <t>(563937624, 'Life Long Learning', 'Accurately identify gaps in their knowledge and understanding', '', 0.475, 'Msci ' , '261x' , 'TestCourse' , 'Pirnia' , 'Mehrdad' , 'Spring ' , 2016 , '2A' , 'Option') ,</t>
  </si>
  <si>
    <t>(598829620, 'Knowledge Base', 'Recognize the key elements of object-oriented programming using Java', '', 0.2, 'Msci ' , '261x' , 'TestCourse' , 'Pirnia' , 'Mehrdad' , 'Spring ' , 2016 , '2A' , 'Option')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</si>
</sst>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b/>
      <sz val="12"/>
      <color theme="1"/>
      <name val="Times New Roman"/>
      <family val="1"/>
    </font>
    <font>
      <b/>
      <sz val="10"/>
      <color rgb="FF000000"/>
      <name val="Tahoma"/>
      <family val="2"/>
    </font>
    <font>
      <b/>
      <u/>
      <sz val="10"/>
      <color rgb="FF000000"/>
      <name val="Tahoma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/>
    <xf numFmtId="0" fontId="2" fillId="0" borderId="0" xfId="0" applyFont="1" applyAlignment="1">
      <alignment horizontal="justify" vertical="center"/>
    </xf>
    <xf numFmtId="0" fontId="0" fillId="0" borderId="0" xfId="0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2" fontId="4" fillId="0" borderId="0" xfId="0" applyNumberFormat="1" applyFont="1"/>
    <xf numFmtId="2" fontId="0" fillId="0" borderId="0" xfId="0" applyNumberFormat="1" applyFont="1"/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Font="1" applyBorder="1"/>
    <xf numFmtId="0" fontId="5" fillId="2" borderId="0" xfId="0" applyFont="1" applyFill="1"/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vertical="top" wrapText="1"/>
    </xf>
    <xf numFmtId="0" fontId="7" fillId="3" borderId="0" xfId="0" applyFont="1" applyFill="1" applyAlignment="1">
      <alignment vertical="top" wrapText="1"/>
    </xf>
    <xf numFmtId="0" fontId="9" fillId="0" borderId="0" xfId="0" applyFont="1"/>
    <xf numFmtId="0" fontId="10" fillId="0" borderId="0" xfId="0" applyFont="1"/>
    <xf numFmtId="0" fontId="3" fillId="0" borderId="1" xfId="0" applyFont="1" applyBorder="1" applyAlignment="1">
      <alignment horizontal="left" vertical="center" wrapText="1" indent="1"/>
    </xf>
    <xf numFmtId="0" fontId="3" fillId="0" borderId="1" xfId="0" applyFont="1" applyFill="1" applyBorder="1" applyAlignment="1">
      <alignment horizontal="left" vertical="center" wrapText="1" indent="1"/>
    </xf>
    <xf numFmtId="2" fontId="4" fillId="0" borderId="0" xfId="0" applyNumberFormat="1" applyFont="1" applyBorder="1" applyAlignment="1">
      <alignment horizontal="center" vertical="center"/>
    </xf>
    <xf numFmtId="2" fontId="0" fillId="0" borderId="0" xfId="0" applyNumberFormat="1"/>
    <xf numFmtId="0" fontId="0" fillId="5" borderId="2" xfId="0" applyFont="1" applyFill="1" applyBorder="1"/>
    <xf numFmtId="0" fontId="0" fillId="5" borderId="2" xfId="0" applyFont="1" applyFill="1" applyBorder="1" applyAlignment="1"/>
    <xf numFmtId="0" fontId="0" fillId="5" borderId="0" xfId="0" applyFont="1" applyFill="1" applyBorder="1" applyAlignment="1"/>
    <xf numFmtId="0" fontId="0" fillId="0" borderId="2" xfId="0" applyFont="1" applyBorder="1"/>
    <xf numFmtId="0" fontId="0" fillId="0" borderId="2" xfId="0" applyFont="1" applyBorder="1" applyAlignment="1">
      <alignment vertical="center" wrapText="1"/>
    </xf>
    <xf numFmtId="0" fontId="0" fillId="0" borderId="2" xfId="0" applyFont="1" applyBorder="1" applyAlignment="1"/>
    <xf numFmtId="0" fontId="11" fillId="4" borderId="2" xfId="0" applyFont="1" applyFill="1" applyBorder="1" applyAlignment="1">
      <alignment horizontal="center" vertical="center" wrapText="1"/>
    </xf>
    <xf numFmtId="0" fontId="0" fillId="0" borderId="0" xfId="0" applyFont="1"/>
    <xf numFmtId="0" fontId="12" fillId="0" borderId="0" xfId="0" applyFont="1" applyAlignment="1">
      <alignment horizontal="center" vertical="center" wrapText="1"/>
    </xf>
    <xf numFmtId="0" fontId="12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 applyAlignment="1">
      <alignment horizontal="left" vertical="center" wrapText="1" indent="1"/>
    </xf>
    <xf numFmtId="2" fontId="0" fillId="0" borderId="0" xfId="0" applyNumberFormat="1" applyFont="1" applyBorder="1" applyAlignment="1">
      <alignment horizontal="right" vertical="center" wrapText="1"/>
    </xf>
    <xf numFmtId="2" fontId="0" fillId="0" borderId="0" xfId="0" applyNumberFormat="1" applyFont="1" applyBorder="1" applyAlignment="1">
      <alignment horizontal="left" vertical="center" wrapText="1" inden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5" borderId="3" xfId="0" applyFont="1" applyFill="1" applyBorder="1"/>
    <xf numFmtId="0" fontId="0" fillId="0" borderId="3" xfId="0" applyFont="1" applyBorder="1"/>
    <xf numFmtId="0" fontId="11" fillId="4" borderId="3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vertical="center" wrapText="1"/>
    </xf>
    <xf numFmtId="0" fontId="11" fillId="4" borderId="2" xfId="0" applyFont="1" applyFill="1" applyBorder="1" applyAlignment="1">
      <alignment wrapText="1"/>
    </xf>
    <xf numFmtId="0" fontId="11" fillId="4" borderId="0" xfId="0" applyFont="1" applyFill="1" applyBorder="1" applyAlignment="1">
      <alignment wrapText="1"/>
    </xf>
    <xf numFmtId="0" fontId="11" fillId="4" borderId="0" xfId="0" applyFont="1" applyFill="1" applyBorder="1"/>
    <xf numFmtId="0" fontId="0" fillId="0" borderId="0" xfId="0" applyFont="1" applyAlignment="1">
      <alignment wrapText="1"/>
    </xf>
    <xf numFmtId="0" fontId="0" fillId="0" borderId="0" xfId="0" applyFont="1" applyBorder="1" applyAlignment="1"/>
    <xf numFmtId="0" fontId="0" fillId="0" borderId="0" xfId="0" applyFont="1" applyFill="1" applyBorder="1" applyAlignment="1"/>
    <xf numFmtId="0" fontId="10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0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0" fillId="0" borderId="10" xfId="0" applyFont="1" applyBorder="1" applyAlignment="1">
      <alignment wrapText="1"/>
    </xf>
    <xf numFmtId="0" fontId="0" fillId="0" borderId="7" xfId="0" applyFont="1" applyBorder="1" applyAlignment="1">
      <alignment vertical="center" wrapText="1"/>
    </xf>
    <xf numFmtId="0" fontId="0" fillId="0" borderId="10" xfId="0" applyFont="1" applyBorder="1" applyAlignment="1">
      <alignment vertical="center" wrapText="1"/>
    </xf>
    <xf numFmtId="0" fontId="16" fillId="0" borderId="6" xfId="0" applyFont="1" applyBorder="1" applyAlignment="1">
      <alignment horizontal="center" vertical="center" wrapText="1"/>
    </xf>
    <xf numFmtId="0" fontId="17" fillId="0" borderId="7" xfId="0" applyFont="1" applyBorder="1" applyAlignment="1">
      <alignment vertical="center" wrapText="1"/>
    </xf>
    <xf numFmtId="0" fontId="16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19" fillId="0" borderId="7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left" vertical="center" wrapText="1"/>
    </xf>
    <xf numFmtId="0" fontId="4" fillId="0" borderId="7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0" fillId="3" borderId="0" xfId="0" applyFont="1" applyFill="1" applyBorder="1" applyAlignment="1"/>
    <xf numFmtId="0" fontId="4" fillId="0" borderId="8" xfId="0" applyFont="1" applyBorder="1" applyAlignment="1">
      <alignment vertical="center" wrapText="1"/>
    </xf>
    <xf numFmtId="0" fontId="0" fillId="0" borderId="8" xfId="0" applyFont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6" fillId="0" borderId="9" xfId="0" applyFont="1" applyBorder="1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0</xdr:row>
          <xdr:rowOff>38100</xdr:rowOff>
        </xdr:from>
        <xdr:to>
          <xdr:col>0</xdr:col>
          <xdr:colOff>2362200</xdr:colOff>
          <xdr:row>0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63500</xdr:rowOff>
        </xdr:from>
        <xdr:to>
          <xdr:col>1</xdr:col>
          <xdr:colOff>1727200</xdr:colOff>
          <xdr:row>0</xdr:row>
          <xdr:rowOff>355600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to Prog. Indicators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485775</xdr:colOff>
      <xdr:row>1</xdr:row>
      <xdr:rowOff>171450</xdr:rowOff>
    </xdr:from>
    <xdr:to>
      <xdr:col>21</xdr:col>
      <xdr:colOff>523875</xdr:colOff>
      <xdr:row>13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581775" y="361950"/>
          <a:ext cx="3457575" cy="2190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1- Find the total weight of assessment for eac</a:t>
          </a:r>
          <a:r>
            <a:rPr lang="en-CA" sz="1100" baseline="0"/>
            <a:t>h indicator</a:t>
          </a:r>
        </a:p>
        <a:p>
          <a:r>
            <a:rPr lang="en-CA" sz="1100" baseline="0"/>
            <a:t>What would be the total contribution weight of the related assessments if the studnet gets full mark at each? (5*(5/5)+100*(10/100)+10*(5/10)+100*(10/100))</a:t>
          </a:r>
        </a:p>
        <a:p>
          <a:r>
            <a:rPr lang="en-CA" sz="1100" baseline="0"/>
            <a:t>or sum(related contributions)</a:t>
          </a:r>
        </a:p>
        <a:p>
          <a:endParaRPr lang="en-CA" sz="1100" baseline="0"/>
        </a:p>
        <a:p>
          <a:r>
            <a:rPr lang="en-CA" sz="1100" baseline="0"/>
            <a:t>2- Find the totall contribution from the assessments obtained by students.</a:t>
          </a:r>
        </a:p>
        <a:p>
          <a:r>
            <a:rPr lang="en-CA" sz="1100" baseline="0"/>
            <a:t>(x1*(5/5)+x2*(10/100)+x3*(5/10)+x4*(10/100)</a:t>
          </a:r>
        </a:p>
        <a:p>
          <a:endParaRPr lang="en-CA" sz="1100" baseline="0"/>
        </a:p>
        <a:p>
          <a:r>
            <a:rPr lang="en-CA" sz="1100" baseline="0"/>
            <a:t>3- (2)/(1)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Q57"/>
  <sheetViews>
    <sheetView workbookViewId="0">
      <selection activeCell="A9" sqref="A9"/>
    </sheetView>
  </sheetViews>
  <sheetFormatPr baseColWidth="10" defaultColWidth="8.83203125" defaultRowHeight="15" x14ac:dyDescent="0.2"/>
  <cols>
    <col min="1" max="1" width="116" customWidth="1"/>
  </cols>
  <sheetData>
    <row r="1" spans="1:17" s="6" customFormat="1" ht="84" customHeight="1" x14ac:dyDescent="0.2">
      <c r="A1" s="16" t="s">
        <v>38</v>
      </c>
    </row>
    <row r="2" spans="1:17" s="6" customFormat="1" ht="22" customHeight="1" x14ac:dyDescent="0.2">
      <c r="A2" s="15"/>
    </row>
    <row r="3" spans="1:17" x14ac:dyDescent="0.2">
      <c r="A3" s="1" t="s">
        <v>10</v>
      </c>
    </row>
    <row r="4" spans="1:17" x14ac:dyDescent="0.2">
      <c r="A4" s="1"/>
    </row>
    <row r="5" spans="1:17" ht="18" x14ac:dyDescent="0.2">
      <c r="A5" s="13" t="s">
        <v>36</v>
      </c>
    </row>
    <row r="6" spans="1:17" ht="16" x14ac:dyDescent="0.2">
      <c r="A6" s="2"/>
    </row>
    <row r="7" spans="1:17" ht="16" x14ac:dyDescent="0.2">
      <c r="A7" s="2" t="s">
        <v>37</v>
      </c>
    </row>
    <row r="8" spans="1:17" ht="16" x14ac:dyDescent="0.2">
      <c r="A8" s="2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6" x14ac:dyDescent="0.2">
      <c r="A9" s="14" t="s">
        <v>21</v>
      </c>
    </row>
    <row r="10" spans="1:17" ht="16" x14ac:dyDescent="0.2">
      <c r="A10" s="2" t="s">
        <v>30</v>
      </c>
    </row>
    <row r="11" spans="1:17" s="6" customFormat="1" ht="16" x14ac:dyDescent="0.2">
      <c r="A11" s="2" t="s">
        <v>31</v>
      </c>
    </row>
    <row r="12" spans="1:17" s="6" customFormat="1" ht="16" x14ac:dyDescent="0.2">
      <c r="A12" s="2"/>
    </row>
    <row r="13" spans="1:17" ht="16" x14ac:dyDescent="0.2">
      <c r="A13" s="14" t="s">
        <v>20</v>
      </c>
    </row>
    <row r="14" spans="1:17" ht="16" x14ac:dyDescent="0.2">
      <c r="A14" s="2" t="s">
        <v>25</v>
      </c>
    </row>
    <row r="15" spans="1:17" s="6" customFormat="1" ht="16" x14ac:dyDescent="0.2">
      <c r="A15" s="2" t="s">
        <v>26</v>
      </c>
    </row>
    <row r="16" spans="1:17" s="6" customFormat="1" ht="16" x14ac:dyDescent="0.2">
      <c r="A16" s="2" t="s">
        <v>27</v>
      </c>
    </row>
    <row r="17" spans="1:1" s="6" customFormat="1" ht="16" x14ac:dyDescent="0.2">
      <c r="A17" s="2" t="s">
        <v>28</v>
      </c>
    </row>
    <row r="18" spans="1:1" s="6" customFormat="1" ht="16" x14ac:dyDescent="0.2">
      <c r="A18" s="2"/>
    </row>
    <row r="19" spans="1:1" ht="16" x14ac:dyDescent="0.2">
      <c r="A19" s="14" t="s">
        <v>19</v>
      </c>
    </row>
    <row r="20" spans="1:1" ht="16" x14ac:dyDescent="0.2">
      <c r="A20" s="2" t="s">
        <v>32</v>
      </c>
    </row>
    <row r="21" spans="1:1" s="6" customFormat="1" ht="16" x14ac:dyDescent="0.2">
      <c r="A21" s="2" t="s">
        <v>35</v>
      </c>
    </row>
    <row r="22" spans="1:1" s="6" customFormat="1" ht="16" x14ac:dyDescent="0.2">
      <c r="A22" s="2" t="s">
        <v>29</v>
      </c>
    </row>
    <row r="23" spans="1:1" s="6" customFormat="1" ht="16" x14ac:dyDescent="0.2">
      <c r="A23" s="2"/>
    </row>
    <row r="24" spans="1:1" ht="16" x14ac:dyDescent="0.2">
      <c r="A24" s="14" t="s">
        <v>18</v>
      </c>
    </row>
    <row r="25" spans="1:1" ht="16" x14ac:dyDescent="0.2">
      <c r="A25" s="2" t="s">
        <v>33</v>
      </c>
    </row>
    <row r="26" spans="1:1" s="6" customFormat="1" ht="16" x14ac:dyDescent="0.2">
      <c r="A26" s="2" t="s">
        <v>34</v>
      </c>
    </row>
    <row r="27" spans="1:1" s="6" customFormat="1" ht="16" x14ac:dyDescent="0.2">
      <c r="A27" s="2"/>
    </row>
    <row r="28" spans="1:1" ht="16" x14ac:dyDescent="0.2">
      <c r="A28" s="14" t="s">
        <v>17</v>
      </c>
    </row>
    <row r="29" spans="1:1" ht="16" x14ac:dyDescent="0.2">
      <c r="A29" s="2" t="s">
        <v>22</v>
      </c>
    </row>
    <row r="30" spans="1:1" ht="16" x14ac:dyDescent="0.2">
      <c r="A30" s="2" t="s">
        <v>23</v>
      </c>
    </row>
    <row r="31" spans="1:1" ht="16" x14ac:dyDescent="0.2">
      <c r="A31" s="2" t="s">
        <v>24</v>
      </c>
    </row>
    <row r="32" spans="1:1" ht="16" x14ac:dyDescent="0.2">
      <c r="A32" s="2"/>
    </row>
    <row r="33" spans="1:1" ht="16" x14ac:dyDescent="0.2">
      <c r="A33" s="2"/>
    </row>
    <row r="34" spans="1:1" x14ac:dyDescent="0.2">
      <c r="A34" s="1"/>
    </row>
    <row r="35" spans="1:1" ht="16" x14ac:dyDescent="0.2">
      <c r="A35" s="2"/>
    </row>
    <row r="36" spans="1:1" ht="16" x14ac:dyDescent="0.2">
      <c r="A36" s="2"/>
    </row>
    <row r="37" spans="1:1" ht="16" x14ac:dyDescent="0.2">
      <c r="A37" s="2"/>
    </row>
    <row r="38" spans="1:1" ht="16" x14ac:dyDescent="0.2">
      <c r="A38" s="2"/>
    </row>
    <row r="39" spans="1:1" ht="16" x14ac:dyDescent="0.2">
      <c r="A39" s="2"/>
    </row>
    <row r="40" spans="1:1" ht="16" x14ac:dyDescent="0.2">
      <c r="A40" s="2"/>
    </row>
    <row r="41" spans="1:1" ht="16" x14ac:dyDescent="0.2">
      <c r="A41" s="2"/>
    </row>
    <row r="42" spans="1:1" ht="16" x14ac:dyDescent="0.2">
      <c r="A42" s="2"/>
    </row>
    <row r="43" spans="1:1" ht="16" x14ac:dyDescent="0.2">
      <c r="A43" s="2"/>
    </row>
    <row r="44" spans="1:1" x14ac:dyDescent="0.2">
      <c r="A44" s="1"/>
    </row>
    <row r="45" spans="1:1" ht="16" x14ac:dyDescent="0.2">
      <c r="A45" s="2"/>
    </row>
    <row r="46" spans="1:1" ht="16" x14ac:dyDescent="0.2">
      <c r="A46" s="2"/>
    </row>
    <row r="47" spans="1:1" ht="16" x14ac:dyDescent="0.2">
      <c r="A47" s="2"/>
    </row>
    <row r="48" spans="1:1" ht="16" x14ac:dyDescent="0.2">
      <c r="A48" s="2"/>
    </row>
    <row r="49" spans="1:1" ht="16" x14ac:dyDescent="0.2">
      <c r="A49" s="2"/>
    </row>
    <row r="50" spans="1:1" ht="16" x14ac:dyDescent="0.2">
      <c r="A50" s="2"/>
    </row>
    <row r="51" spans="1:1" ht="16" x14ac:dyDescent="0.2">
      <c r="A51" s="2"/>
    </row>
    <row r="52" spans="1:1" ht="16" x14ac:dyDescent="0.2">
      <c r="A52" s="2"/>
    </row>
    <row r="53" spans="1:1" ht="16" x14ac:dyDescent="0.2">
      <c r="A53" s="2"/>
    </row>
    <row r="54" spans="1:1" ht="16" x14ac:dyDescent="0.2">
      <c r="A54" s="2"/>
    </row>
    <row r="55" spans="1:1" ht="16" x14ac:dyDescent="0.2">
      <c r="A55" s="2"/>
    </row>
    <row r="56" spans="1:1" ht="16" x14ac:dyDescent="0.2">
      <c r="A56" s="2"/>
    </row>
    <row r="57" spans="1:1" ht="16" x14ac:dyDescent="0.2">
      <c r="A5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10"/>
  <sheetViews>
    <sheetView workbookViewId="0">
      <selection activeCell="G14" sqref="G14"/>
    </sheetView>
  </sheetViews>
  <sheetFormatPr baseColWidth="10" defaultColWidth="8.83203125" defaultRowHeight="15" x14ac:dyDescent="0.2"/>
  <cols>
    <col min="1" max="1" width="24.1640625" bestFit="1" customWidth="1"/>
    <col min="2" max="2" width="10.83203125" style="10" bestFit="1" customWidth="1"/>
    <col min="3" max="3" width="7.1640625" hidden="1" customWidth="1"/>
    <col min="4" max="4" width="8.1640625" hidden="1" customWidth="1"/>
    <col min="5" max="5" width="0" hidden="1" customWidth="1"/>
  </cols>
  <sheetData>
    <row r="1" spans="1:5" s="6" customFormat="1" ht="19" x14ac:dyDescent="0.25">
      <c r="A1" s="18" t="s">
        <v>42</v>
      </c>
      <c r="B1" s="10"/>
    </row>
    <row r="2" spans="1:5" x14ac:dyDescent="0.2">
      <c r="A2" t="s">
        <v>41</v>
      </c>
      <c r="B2" s="10" t="s">
        <v>648</v>
      </c>
    </row>
    <row r="3" spans="1:5" x14ac:dyDescent="0.2">
      <c r="A3" t="s">
        <v>43</v>
      </c>
      <c r="B3" s="10" t="s">
        <v>649</v>
      </c>
    </row>
    <row r="4" spans="1:5" x14ac:dyDescent="0.2">
      <c r="A4" t="s">
        <v>39</v>
      </c>
      <c r="B4" s="10" t="s">
        <v>650</v>
      </c>
    </row>
    <row r="5" spans="1:5" x14ac:dyDescent="0.2">
      <c r="A5" t="s">
        <v>44</v>
      </c>
      <c r="B5" s="10" t="s">
        <v>651</v>
      </c>
    </row>
    <row r="6" spans="1:5" x14ac:dyDescent="0.2">
      <c r="A6" s="6" t="s">
        <v>45</v>
      </c>
      <c r="B6" s="10" t="s">
        <v>652</v>
      </c>
    </row>
    <row r="7" spans="1:5" x14ac:dyDescent="0.2">
      <c r="A7" t="s">
        <v>46</v>
      </c>
      <c r="B7" s="10" t="s">
        <v>48</v>
      </c>
      <c r="C7" t="s">
        <v>47</v>
      </c>
    </row>
    <row r="8" spans="1:5" x14ac:dyDescent="0.2">
      <c r="A8" t="s">
        <v>50</v>
      </c>
      <c r="B8" s="10">
        <v>2016</v>
      </c>
      <c r="C8" t="s">
        <v>48</v>
      </c>
    </row>
    <row r="9" spans="1:5" x14ac:dyDescent="0.2">
      <c r="A9" t="s">
        <v>51</v>
      </c>
      <c r="B9" s="10" t="s">
        <v>56</v>
      </c>
      <c r="C9" t="s">
        <v>49</v>
      </c>
    </row>
    <row r="10" spans="1:5" x14ac:dyDescent="0.2">
      <c r="A10" t="s">
        <v>52</v>
      </c>
      <c r="B10" s="10" t="s">
        <v>55</v>
      </c>
      <c r="C10" t="s">
        <v>53</v>
      </c>
      <c r="D10" t="s">
        <v>54</v>
      </c>
      <c r="E10" t="s">
        <v>55</v>
      </c>
    </row>
  </sheetData>
  <dataValidations count="2">
    <dataValidation type="list" allowBlank="1" showInputMessage="1" showErrorMessage="1" sqref="B7">
      <formula1>Terms</formula1>
    </dataValidation>
    <dataValidation type="list" allowBlank="1" showInputMessage="1" showErrorMessage="1" sqref="D10 B10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W45"/>
  <sheetViews>
    <sheetView zoomScale="90" zoomScaleNormal="90" zoomScalePageLayoutView="90" workbookViewId="0">
      <selection activeCell="B6" sqref="B6"/>
    </sheetView>
  </sheetViews>
  <sheetFormatPr baseColWidth="10" defaultColWidth="36.5" defaultRowHeight="15" x14ac:dyDescent="0.2"/>
  <cols>
    <col min="2" max="2" width="68.6640625" style="30" customWidth="1"/>
    <col min="3" max="3" width="17.5" customWidth="1"/>
    <col min="4" max="4" width="5.6640625" customWidth="1"/>
    <col min="5" max="5" width="6.33203125" customWidth="1"/>
    <col min="6" max="7" width="6.5" customWidth="1"/>
    <col min="8" max="8" width="5.83203125" customWidth="1"/>
    <col min="9" max="9" width="4.83203125" customWidth="1"/>
    <col min="10" max="10" width="6.6640625" customWidth="1"/>
    <col min="11" max="11" width="6.5" customWidth="1"/>
    <col min="12" max="12" width="7" customWidth="1"/>
    <col min="13" max="13" width="7.5" customWidth="1"/>
    <col min="14" max="14" width="5.33203125" bestFit="1" customWidth="1"/>
    <col min="15" max="15" width="5.5" bestFit="1" customWidth="1"/>
    <col min="16" max="18" width="3.33203125" bestFit="1" customWidth="1"/>
    <col min="19" max="20" width="5.6640625" bestFit="1" customWidth="1"/>
    <col min="21" max="22" width="3.83203125" bestFit="1" customWidth="1"/>
    <col min="23" max="23" width="3.5" bestFit="1" customWidth="1"/>
  </cols>
  <sheetData>
    <row r="1" spans="1:23" ht="31.5" customHeight="1" x14ac:dyDescent="0.2">
      <c r="B1" s="17"/>
      <c r="C1" s="5" t="s">
        <v>11</v>
      </c>
      <c r="D1" t="s">
        <v>7</v>
      </c>
      <c r="J1" t="s">
        <v>8</v>
      </c>
    </row>
    <row r="2" spans="1:23" x14ac:dyDescent="0.2">
      <c r="A2" t="s">
        <v>2</v>
      </c>
      <c r="B2" s="30" t="s">
        <v>3</v>
      </c>
      <c r="D2" t="s">
        <v>0</v>
      </c>
      <c r="E2" t="s">
        <v>4</v>
      </c>
      <c r="F2" t="s">
        <v>5</v>
      </c>
      <c r="G2" t="s">
        <v>6</v>
      </c>
      <c r="H2" t="s">
        <v>1</v>
      </c>
      <c r="J2" s="10" t="s">
        <v>13</v>
      </c>
      <c r="K2" s="10" t="s">
        <v>14</v>
      </c>
      <c r="L2" s="10" t="s">
        <v>15</v>
      </c>
      <c r="M2" s="10" t="s">
        <v>16</v>
      </c>
      <c r="N2" s="10" t="s">
        <v>63</v>
      </c>
      <c r="O2" s="10" t="s">
        <v>64</v>
      </c>
      <c r="P2" s="10" t="s">
        <v>65</v>
      </c>
      <c r="Q2" s="10" t="s">
        <v>66</v>
      </c>
      <c r="R2" s="10" t="s">
        <v>67</v>
      </c>
      <c r="S2" s="10" t="s">
        <v>68</v>
      </c>
      <c r="T2" s="10" t="s">
        <v>69</v>
      </c>
      <c r="U2" s="10" t="s">
        <v>70</v>
      </c>
      <c r="V2" s="10" t="s">
        <v>71</v>
      </c>
      <c r="W2" s="10" t="s">
        <v>72</v>
      </c>
    </row>
    <row r="3" spans="1:23" x14ac:dyDescent="0.2">
      <c r="C3" s="3"/>
      <c r="J3" s="3"/>
      <c r="K3" s="3"/>
      <c r="L3" s="3"/>
      <c r="M3" s="3"/>
      <c r="N3" s="1"/>
      <c r="O3" s="1"/>
      <c r="P3" s="1"/>
      <c r="Q3" s="1"/>
      <c r="R3" s="1"/>
      <c r="S3" s="1"/>
      <c r="T3" s="1"/>
    </row>
    <row r="4" spans="1:23" x14ac:dyDescent="0.2">
      <c r="A4" s="6" t="s">
        <v>512</v>
      </c>
      <c r="B4" s="34"/>
      <c r="C4" s="4"/>
      <c r="D4" s="7">
        <v>0.68571428571428572</v>
      </c>
      <c r="E4" s="7">
        <v>8.5714285714285715E-2</v>
      </c>
      <c r="F4" s="7">
        <v>0.11428571428571428</v>
      </c>
      <c r="G4" s="7">
        <v>0.11428571428571428</v>
      </c>
      <c r="H4" s="7">
        <v>0</v>
      </c>
      <c r="I4" s="6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3" ht="23.25" customHeight="1" x14ac:dyDescent="0.2">
      <c r="A5" s="6"/>
      <c r="B5" s="19" t="s">
        <v>513</v>
      </c>
      <c r="C5" s="9">
        <v>0.5</v>
      </c>
      <c r="D5" s="8">
        <v>0.62857142857142856</v>
      </c>
      <c r="E5" s="8">
        <v>0.14285714285714285</v>
      </c>
      <c r="F5" s="8">
        <v>0.14285714285714285</v>
      </c>
      <c r="G5" s="8">
        <v>8.5714285714285715E-2</v>
      </c>
      <c r="H5" s="8">
        <v>0</v>
      </c>
      <c r="I5" s="6"/>
      <c r="J5" s="11" t="s">
        <v>58</v>
      </c>
      <c r="K5" s="11"/>
      <c r="L5" s="11"/>
      <c r="M5" s="11"/>
      <c r="N5" s="11"/>
      <c r="O5" s="11"/>
      <c r="P5" s="11" t="s">
        <v>58</v>
      </c>
      <c r="Q5" s="11"/>
      <c r="R5" s="11"/>
      <c r="S5" s="11" t="s">
        <v>58</v>
      </c>
      <c r="T5" s="11"/>
      <c r="U5" s="11" t="s">
        <v>58</v>
      </c>
      <c r="V5" s="11"/>
      <c r="W5" s="11"/>
    </row>
    <row r="6" spans="1:23" s="6" customFormat="1" ht="24" customHeight="1" x14ac:dyDescent="0.2">
      <c r="B6" s="19" t="s">
        <v>514</v>
      </c>
      <c r="C6" s="9">
        <v>0.5</v>
      </c>
      <c r="D6" s="8">
        <v>0.68571428571428572</v>
      </c>
      <c r="E6" s="8">
        <v>8.5714285714285715E-2</v>
      </c>
      <c r="F6" s="8">
        <v>2.8571428571428571E-2</v>
      </c>
      <c r="G6" s="8">
        <v>0.14285714285714285</v>
      </c>
      <c r="H6" s="8">
        <v>5.7142857142857141E-2</v>
      </c>
      <c r="J6" s="11"/>
      <c r="K6" s="11" t="s">
        <v>58</v>
      </c>
      <c r="L6" s="11" t="s">
        <v>58</v>
      </c>
      <c r="M6" s="11"/>
      <c r="N6" s="11"/>
      <c r="O6" s="11"/>
      <c r="P6" s="11"/>
      <c r="Q6" s="11" t="s">
        <v>58</v>
      </c>
      <c r="R6" s="11"/>
      <c r="S6" s="11"/>
      <c r="T6" s="11" t="s">
        <v>58</v>
      </c>
      <c r="U6" s="11"/>
      <c r="V6" s="11"/>
      <c r="W6" s="11"/>
    </row>
    <row r="7" spans="1:23" s="6" customFormat="1" x14ac:dyDescent="0.2">
      <c r="A7" s="6" t="s">
        <v>59</v>
      </c>
      <c r="B7" s="12"/>
      <c r="C7" s="9"/>
      <c r="D7" s="7">
        <v>0.68571428571428572</v>
      </c>
      <c r="E7" s="7">
        <v>8.5714285714285715E-2</v>
      </c>
      <c r="F7" s="7">
        <v>0.2</v>
      </c>
      <c r="G7" s="7">
        <v>2.8571428571428571E-2</v>
      </c>
      <c r="H7" s="7">
        <v>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</row>
    <row r="8" spans="1:23" s="6" customFormat="1" ht="27" customHeight="1" x14ac:dyDescent="0.2">
      <c r="B8" s="20" t="s">
        <v>515</v>
      </c>
      <c r="C8" s="9">
        <v>0.5</v>
      </c>
      <c r="D8" s="8">
        <v>0.68571428571428572</v>
      </c>
      <c r="E8" s="8">
        <v>2.8571428571428571E-2</v>
      </c>
      <c r="F8" s="8">
        <v>5.7142857142857141E-2</v>
      </c>
      <c r="G8" s="8">
        <v>0.14285714285714285</v>
      </c>
      <c r="H8" s="8">
        <v>8.5714285714285715E-2</v>
      </c>
      <c r="J8" s="11"/>
      <c r="K8" s="11"/>
      <c r="L8" s="11"/>
      <c r="M8" s="11"/>
      <c r="N8" s="11"/>
      <c r="O8" s="11"/>
      <c r="P8" s="11" t="s">
        <v>58</v>
      </c>
      <c r="Q8" s="11"/>
      <c r="R8" s="11"/>
      <c r="S8" s="11"/>
      <c r="T8" s="11"/>
      <c r="U8" s="11"/>
      <c r="V8" s="11"/>
      <c r="W8" s="11"/>
    </row>
    <row r="9" spans="1:23" s="6" customFormat="1" ht="26.25" customHeight="1" x14ac:dyDescent="0.2">
      <c r="B9" s="20" t="s">
        <v>516</v>
      </c>
      <c r="C9" s="9">
        <v>0.5</v>
      </c>
      <c r="D9" s="8">
        <v>0.68571428571428572</v>
      </c>
      <c r="E9" s="8">
        <v>0.22857142857142856</v>
      </c>
      <c r="F9" s="8">
        <v>5.7142857142857141E-2</v>
      </c>
      <c r="G9" s="8">
        <v>2.8571428571428571E-2</v>
      </c>
      <c r="H9" s="8">
        <v>0</v>
      </c>
      <c r="J9" s="11"/>
      <c r="K9" s="11" t="s">
        <v>58</v>
      </c>
      <c r="L9" s="11"/>
      <c r="M9" s="11" t="s">
        <v>58</v>
      </c>
      <c r="N9" s="11"/>
      <c r="O9" s="11"/>
      <c r="P9" s="11"/>
      <c r="Q9" s="11"/>
      <c r="R9" s="11"/>
      <c r="S9" s="11" t="s">
        <v>58</v>
      </c>
      <c r="T9" s="11"/>
      <c r="U9" s="11"/>
      <c r="V9" s="11"/>
      <c r="W9" s="11"/>
    </row>
    <row r="10" spans="1:23" s="6" customFormat="1" ht="26.25" customHeight="1" x14ac:dyDescent="0.2">
      <c r="A10" s="6" t="s">
        <v>60</v>
      </c>
      <c r="B10" s="35"/>
      <c r="C10" s="9"/>
      <c r="D10" s="7">
        <v>0.8571428571428571</v>
      </c>
      <c r="E10" s="7">
        <v>0.14285714285714285</v>
      </c>
      <c r="F10" s="7">
        <v>0</v>
      </c>
      <c r="G10" s="7">
        <v>0</v>
      </c>
      <c r="H10" s="7">
        <v>0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</row>
    <row r="11" spans="1:23" ht="28" x14ac:dyDescent="0.2">
      <c r="A11" s="6"/>
      <c r="B11" s="19" t="s">
        <v>517</v>
      </c>
      <c r="C11" s="9">
        <v>0.33</v>
      </c>
      <c r="D11" s="8">
        <v>0.74285714285714288</v>
      </c>
      <c r="E11" s="8">
        <v>0.11428571428571428</v>
      </c>
      <c r="F11" s="8">
        <v>5.7142857142857141E-2</v>
      </c>
      <c r="G11" s="8">
        <v>8.5714285714285715E-2</v>
      </c>
      <c r="H11" s="8">
        <v>0</v>
      </c>
      <c r="I11" s="6"/>
      <c r="J11" s="11"/>
      <c r="K11" s="11" t="s">
        <v>58</v>
      </c>
      <c r="L11" s="11"/>
      <c r="M11" s="11"/>
      <c r="N11" s="11" t="s">
        <v>58</v>
      </c>
      <c r="O11" s="11"/>
      <c r="P11" s="11"/>
      <c r="Q11" s="11"/>
      <c r="R11" s="11"/>
      <c r="S11" s="11"/>
      <c r="T11" s="11"/>
      <c r="U11" s="11" t="s">
        <v>58</v>
      </c>
      <c r="V11" s="11"/>
      <c r="W11" s="11"/>
    </row>
    <row r="12" spans="1:23" x14ac:dyDescent="0.2">
      <c r="A12" s="6"/>
      <c r="B12" s="20" t="s">
        <v>518</v>
      </c>
      <c r="C12" s="9">
        <v>0.33</v>
      </c>
      <c r="D12" s="8">
        <v>0.94285714285714284</v>
      </c>
      <c r="E12" s="8">
        <v>5.7142857142857141E-2</v>
      </c>
      <c r="F12" s="8">
        <v>0</v>
      </c>
      <c r="G12" s="8">
        <v>0</v>
      </c>
      <c r="H12" s="8">
        <v>0</v>
      </c>
      <c r="I12" s="6"/>
      <c r="J12" s="11"/>
      <c r="K12" s="11"/>
      <c r="L12" s="11"/>
      <c r="M12" s="11" t="s">
        <v>58</v>
      </c>
      <c r="N12" s="11"/>
      <c r="O12" s="11"/>
      <c r="P12" s="11"/>
      <c r="Q12" s="11"/>
      <c r="R12" s="11" t="s">
        <v>58</v>
      </c>
      <c r="S12" s="11" t="s">
        <v>58</v>
      </c>
      <c r="T12" s="11"/>
      <c r="U12" s="11" t="s">
        <v>58</v>
      </c>
      <c r="V12" s="11"/>
      <c r="W12" s="11"/>
    </row>
    <row r="13" spans="1:23" ht="28" x14ac:dyDescent="0.2">
      <c r="A13" s="35"/>
      <c r="B13" s="19" t="s">
        <v>519</v>
      </c>
      <c r="C13" s="9">
        <v>0.34</v>
      </c>
      <c r="D13" s="36">
        <v>0.8</v>
      </c>
      <c r="E13" s="37">
        <v>0.17142857142857143</v>
      </c>
      <c r="F13" s="36">
        <v>2.8571428571428571E-2</v>
      </c>
      <c r="G13" s="37">
        <v>0</v>
      </c>
      <c r="H13" s="37">
        <v>0</v>
      </c>
      <c r="I13" s="35"/>
      <c r="J13" s="11" t="s">
        <v>58</v>
      </c>
      <c r="K13" s="38"/>
      <c r="L13" s="38"/>
      <c r="M13" s="38"/>
      <c r="N13" s="38"/>
      <c r="O13" s="11"/>
      <c r="P13" s="38"/>
      <c r="Q13" s="38"/>
      <c r="R13" s="11"/>
      <c r="S13" s="38"/>
      <c r="T13" s="11"/>
      <c r="U13" s="38"/>
      <c r="V13" s="38" t="s">
        <v>58</v>
      </c>
      <c r="W13" s="11"/>
    </row>
    <row r="14" spans="1:23" x14ac:dyDescent="0.2">
      <c r="A14" s="6" t="s">
        <v>61</v>
      </c>
      <c r="B14" s="12"/>
      <c r="C14" s="9"/>
      <c r="D14" s="7">
        <v>0.88571428571428568</v>
      </c>
      <c r="E14" s="7">
        <v>2.8571428571428571E-2</v>
      </c>
      <c r="F14" s="7">
        <v>5.7142857142857141E-2</v>
      </c>
      <c r="G14" s="7">
        <v>2.8571428571428571E-2</v>
      </c>
      <c r="H14" s="7">
        <v>0</v>
      </c>
      <c r="I14" s="6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 x14ac:dyDescent="0.2">
      <c r="A15" s="6"/>
      <c r="B15" s="19" t="s">
        <v>520</v>
      </c>
      <c r="C15" s="9">
        <v>0.25</v>
      </c>
      <c r="D15" s="8">
        <v>0.8</v>
      </c>
      <c r="E15" s="8">
        <v>0.17142857142857143</v>
      </c>
      <c r="F15" s="8">
        <v>2.8571428571428571E-2</v>
      </c>
      <c r="G15" s="8">
        <v>0</v>
      </c>
      <c r="H15" s="8">
        <v>0</v>
      </c>
      <c r="I15" s="6"/>
      <c r="J15" s="11"/>
      <c r="K15" s="11"/>
      <c r="L15" s="11"/>
      <c r="M15" s="11"/>
      <c r="N15" s="11" t="s">
        <v>58</v>
      </c>
      <c r="O15" s="11"/>
      <c r="P15" s="11"/>
      <c r="Q15" s="11"/>
      <c r="R15" s="11"/>
      <c r="S15" s="11"/>
      <c r="T15" s="11"/>
      <c r="U15" s="11"/>
      <c r="V15" s="11"/>
      <c r="W15" s="11"/>
    </row>
    <row r="16" spans="1:23" x14ac:dyDescent="0.2">
      <c r="A16" s="6"/>
      <c r="B16" s="19" t="s">
        <v>521</v>
      </c>
      <c r="C16" s="9">
        <v>0.25</v>
      </c>
      <c r="D16" s="8">
        <v>0.68571428571428572</v>
      </c>
      <c r="E16" s="8">
        <v>2.8571428571428571E-2</v>
      </c>
      <c r="F16" s="8">
        <v>5.7142857142857141E-2</v>
      </c>
      <c r="G16" s="8">
        <v>0.14285714285714285</v>
      </c>
      <c r="H16" s="8">
        <v>8.5714285714285715E-2</v>
      </c>
      <c r="I16" s="6"/>
      <c r="J16" s="11"/>
      <c r="K16" s="11"/>
      <c r="L16" s="11"/>
      <c r="M16" s="11"/>
      <c r="N16" s="11"/>
      <c r="O16" s="11"/>
      <c r="P16" s="11" t="s">
        <v>58</v>
      </c>
      <c r="Q16" s="11" t="s">
        <v>58</v>
      </c>
      <c r="R16" s="11"/>
      <c r="S16" s="11"/>
      <c r="T16" s="11"/>
      <c r="U16" s="11"/>
      <c r="V16" s="11"/>
      <c r="W16" s="11"/>
    </row>
    <row r="17" spans="1:23" x14ac:dyDescent="0.2">
      <c r="A17" s="6"/>
      <c r="B17" s="19" t="s">
        <v>522</v>
      </c>
      <c r="C17" s="9">
        <v>0.25</v>
      </c>
      <c r="D17" s="8">
        <v>0.68571428571428572</v>
      </c>
      <c r="E17" s="8">
        <v>2.8571428571428571E-2</v>
      </c>
      <c r="F17" s="8">
        <v>5.7142857142857141E-2</v>
      </c>
      <c r="G17" s="8">
        <v>0.14285714285714285</v>
      </c>
      <c r="H17" s="8">
        <v>8.5714285714285715E-2</v>
      </c>
      <c r="I17" s="6"/>
      <c r="J17" s="11"/>
      <c r="K17" s="11" t="s">
        <v>58</v>
      </c>
      <c r="L17" s="11"/>
      <c r="M17" s="11"/>
      <c r="N17" s="11"/>
      <c r="O17" s="11"/>
      <c r="P17" s="11"/>
      <c r="Q17" s="11" t="s">
        <v>58</v>
      </c>
      <c r="R17" s="11"/>
      <c r="S17" s="11"/>
      <c r="T17" s="11"/>
      <c r="U17" s="11"/>
      <c r="V17" s="11"/>
      <c r="W17" s="11"/>
    </row>
    <row r="18" spans="1:23" ht="28" x14ac:dyDescent="0.2">
      <c r="A18" s="6"/>
      <c r="B18" s="19" t="s">
        <v>523</v>
      </c>
      <c r="C18" s="9">
        <v>0.25</v>
      </c>
      <c r="D18" s="8">
        <v>0.8</v>
      </c>
      <c r="E18" s="8">
        <v>0.17142857142857143</v>
      </c>
      <c r="F18" s="8">
        <v>2.8571428571428571E-2</v>
      </c>
      <c r="G18" s="8">
        <v>0</v>
      </c>
      <c r="H18" s="8">
        <v>0</v>
      </c>
      <c r="I18" s="6"/>
      <c r="J18" s="11"/>
      <c r="K18" s="11"/>
      <c r="L18" s="11"/>
      <c r="M18" s="11"/>
      <c r="N18" s="11"/>
      <c r="O18" s="11"/>
      <c r="P18" s="11"/>
      <c r="Q18" s="11"/>
      <c r="R18" s="11" t="s">
        <v>58</v>
      </c>
      <c r="S18" s="11"/>
      <c r="T18" s="11"/>
      <c r="U18" s="11"/>
      <c r="V18" s="11"/>
      <c r="W18" s="11"/>
    </row>
    <row r="19" spans="1:23" x14ac:dyDescent="0.2">
      <c r="A19" s="6" t="s">
        <v>524</v>
      </c>
      <c r="B19" s="12"/>
      <c r="C19" s="9"/>
      <c r="D19" s="7">
        <v>0.88571428571428568</v>
      </c>
      <c r="E19" s="7">
        <v>0.11428571428571428</v>
      </c>
      <c r="F19" s="7">
        <v>0</v>
      </c>
      <c r="G19" s="7">
        <v>0</v>
      </c>
      <c r="H19" s="7">
        <v>0</v>
      </c>
      <c r="I19" s="6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1:23" ht="28" x14ac:dyDescent="0.2">
      <c r="A20" s="6"/>
      <c r="B20" s="19" t="s">
        <v>525</v>
      </c>
      <c r="C20" s="9">
        <v>0.5</v>
      </c>
      <c r="D20" s="8">
        <v>0.94285714285714284</v>
      </c>
      <c r="E20" s="8">
        <v>5.7142857142857141E-2</v>
      </c>
      <c r="F20" s="8">
        <v>0</v>
      </c>
      <c r="G20" s="8">
        <v>0</v>
      </c>
      <c r="H20" s="8">
        <v>0</v>
      </c>
      <c r="I20" s="6"/>
      <c r="J20" s="11" t="s">
        <v>58</v>
      </c>
      <c r="K20" s="11" t="s">
        <v>58</v>
      </c>
      <c r="L20" s="11"/>
      <c r="M20" s="11" t="s">
        <v>58</v>
      </c>
      <c r="N20" s="11"/>
      <c r="O20" s="11" t="s">
        <v>58</v>
      </c>
      <c r="P20" s="11"/>
      <c r="Q20" s="11"/>
      <c r="R20" s="11"/>
      <c r="S20" s="11" t="s">
        <v>58</v>
      </c>
      <c r="T20" s="11"/>
      <c r="U20" s="11" t="s">
        <v>58</v>
      </c>
      <c r="V20" s="11" t="s">
        <v>58</v>
      </c>
      <c r="W20" s="11"/>
    </row>
    <row r="21" spans="1:23" x14ac:dyDescent="0.2">
      <c r="A21" s="6"/>
      <c r="B21" s="20" t="s">
        <v>526</v>
      </c>
      <c r="C21" s="9">
        <v>0.5</v>
      </c>
      <c r="D21" s="8">
        <v>0.8</v>
      </c>
      <c r="E21" s="8">
        <v>0.17142857142857143</v>
      </c>
      <c r="F21" s="8">
        <v>2.8571428571428571E-2</v>
      </c>
      <c r="G21" s="8">
        <v>0</v>
      </c>
      <c r="H21" s="8">
        <v>0</v>
      </c>
      <c r="I21" s="6"/>
      <c r="J21" s="11"/>
      <c r="K21" s="11"/>
      <c r="L21" s="11"/>
      <c r="M21" s="11"/>
      <c r="N21" s="11"/>
      <c r="O21" s="11"/>
      <c r="P21" s="11"/>
      <c r="Q21" s="11"/>
      <c r="R21" s="11" t="s">
        <v>58</v>
      </c>
      <c r="S21" s="11"/>
      <c r="T21" s="11"/>
      <c r="U21" s="11"/>
      <c r="V21" s="11"/>
      <c r="W21" s="11"/>
    </row>
    <row r="22" spans="1:23" x14ac:dyDescent="0.2">
      <c r="A22" s="6" t="s">
        <v>527</v>
      </c>
      <c r="B22" s="12"/>
      <c r="C22" s="9"/>
      <c r="D22" s="7">
        <v>0.77142857142857146</v>
      </c>
      <c r="E22" s="7">
        <v>0.14285714285714285</v>
      </c>
      <c r="F22" s="7">
        <v>5.7142857142857141E-2</v>
      </c>
      <c r="G22" s="7">
        <v>2.8571428571428571E-2</v>
      </c>
      <c r="H22" s="7">
        <v>0</v>
      </c>
      <c r="I22" s="6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3" x14ac:dyDescent="0.2">
      <c r="A23" s="6"/>
      <c r="B23" s="19" t="s">
        <v>528</v>
      </c>
      <c r="C23" s="9">
        <v>0.5</v>
      </c>
      <c r="D23" s="8">
        <v>0.77142857142857146</v>
      </c>
      <c r="E23" s="8">
        <v>0.14285714285714285</v>
      </c>
      <c r="F23" s="8">
        <v>5.7142857142857141E-2</v>
      </c>
      <c r="G23" s="8">
        <v>2.8571428571428571E-2</v>
      </c>
      <c r="H23" s="8">
        <v>0</v>
      </c>
      <c r="I23" s="6"/>
      <c r="J23" s="11"/>
      <c r="K23" s="11"/>
      <c r="L23" s="11"/>
      <c r="M23" s="11"/>
      <c r="N23" s="11"/>
      <c r="O23" s="11"/>
      <c r="P23" s="11" t="s">
        <v>58</v>
      </c>
      <c r="Q23" s="11" t="s">
        <v>58</v>
      </c>
      <c r="R23" s="11" t="s">
        <v>58</v>
      </c>
      <c r="S23" s="11"/>
      <c r="T23" s="11"/>
      <c r="U23" s="11"/>
      <c r="V23" s="11"/>
      <c r="W23" s="11"/>
    </row>
    <row r="24" spans="1:23" x14ac:dyDescent="0.2">
      <c r="A24" s="6"/>
      <c r="B24" s="19" t="s">
        <v>529</v>
      </c>
      <c r="C24" s="9">
        <v>0.5</v>
      </c>
      <c r="D24" s="8">
        <v>0.77142857142857146</v>
      </c>
      <c r="E24" s="8">
        <v>0.14285714285714285</v>
      </c>
      <c r="F24" s="8">
        <v>5.7142857142857141E-2</v>
      </c>
      <c r="G24" s="8">
        <v>2.8571428571428571E-2</v>
      </c>
      <c r="H24" s="8">
        <v>0</v>
      </c>
      <c r="I24" s="6"/>
      <c r="J24" s="11"/>
      <c r="K24" s="11"/>
      <c r="L24" s="11"/>
      <c r="M24" s="11"/>
      <c r="N24" s="11"/>
      <c r="O24" s="11"/>
      <c r="P24" s="11" t="s">
        <v>58</v>
      </c>
      <c r="Q24" s="11" t="s">
        <v>58</v>
      </c>
      <c r="R24" s="11" t="s">
        <v>58</v>
      </c>
      <c r="S24" s="11"/>
      <c r="T24" s="11"/>
      <c r="U24" s="11"/>
      <c r="V24" s="11"/>
      <c r="W24" s="11"/>
    </row>
    <row r="25" spans="1:23" x14ac:dyDescent="0.2">
      <c r="A25" s="6" t="s">
        <v>530</v>
      </c>
      <c r="B25" s="12"/>
      <c r="C25" s="39"/>
      <c r="D25" s="7">
        <v>0.8</v>
      </c>
      <c r="E25" s="7">
        <v>0.17142857142857143</v>
      </c>
      <c r="F25" s="7">
        <v>2.8571428571428571E-2</v>
      </c>
      <c r="G25" s="7">
        <v>0</v>
      </c>
      <c r="H25" s="7">
        <v>0</v>
      </c>
      <c r="I25" s="6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</row>
    <row r="26" spans="1:23" ht="28" x14ac:dyDescent="0.2">
      <c r="A26" s="6"/>
      <c r="B26" s="19" t="s">
        <v>531</v>
      </c>
      <c r="C26" s="9">
        <v>0.5</v>
      </c>
      <c r="D26" s="8">
        <v>0.8</v>
      </c>
      <c r="E26" s="8">
        <v>0.17142857142857143</v>
      </c>
      <c r="F26" s="8">
        <v>2.8571428571428571E-2</v>
      </c>
      <c r="G26" s="8">
        <v>0</v>
      </c>
      <c r="H26" s="8">
        <v>0</v>
      </c>
      <c r="I26" s="6"/>
      <c r="J26" s="11"/>
      <c r="K26" s="11"/>
      <c r="L26" s="11"/>
      <c r="M26" s="11"/>
      <c r="N26" s="11"/>
      <c r="O26" s="11"/>
      <c r="P26" s="11"/>
      <c r="Q26" s="11"/>
      <c r="R26" s="11" t="s">
        <v>58</v>
      </c>
      <c r="S26" s="11"/>
      <c r="T26" s="11"/>
      <c r="U26" s="11"/>
      <c r="V26" s="11"/>
      <c r="W26" s="11"/>
    </row>
    <row r="27" spans="1:23" x14ac:dyDescent="0.2">
      <c r="A27" s="6"/>
      <c r="B27" s="19" t="s">
        <v>532</v>
      </c>
      <c r="C27" s="9">
        <v>0.5</v>
      </c>
      <c r="D27" s="8">
        <v>0.8</v>
      </c>
      <c r="E27" s="8">
        <v>0.17142857142857143</v>
      </c>
      <c r="F27" s="8">
        <v>2.8571428571428571E-2</v>
      </c>
      <c r="G27" s="8">
        <v>0</v>
      </c>
      <c r="H27" s="8">
        <v>0</v>
      </c>
      <c r="I27" s="6"/>
      <c r="J27" s="11"/>
      <c r="K27" s="11"/>
      <c r="L27" s="11"/>
      <c r="M27" s="11"/>
      <c r="N27" s="11"/>
      <c r="O27" s="11"/>
      <c r="P27" s="11"/>
      <c r="Q27" s="11"/>
      <c r="R27" s="11" t="s">
        <v>58</v>
      </c>
      <c r="S27" s="11"/>
      <c r="T27" s="11"/>
      <c r="U27" s="11"/>
      <c r="V27" s="11"/>
      <c r="W27" s="11"/>
    </row>
    <row r="28" spans="1:23" x14ac:dyDescent="0.2">
      <c r="A28" s="6" t="s">
        <v>62</v>
      </c>
      <c r="B28" s="12"/>
      <c r="C28" s="9"/>
      <c r="D28" s="7">
        <v>0.88571428571428568</v>
      </c>
      <c r="E28" s="7">
        <v>2.8571428571428571E-2</v>
      </c>
      <c r="F28" s="7">
        <v>8.5714285714285715E-2</v>
      </c>
      <c r="G28" s="7">
        <v>0</v>
      </c>
      <c r="H28" s="7">
        <v>0</v>
      </c>
      <c r="I28" s="6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</row>
    <row r="29" spans="1:23" x14ac:dyDescent="0.2">
      <c r="A29" s="6"/>
      <c r="B29" s="19" t="s">
        <v>533</v>
      </c>
      <c r="C29" s="9">
        <v>1</v>
      </c>
      <c r="D29" s="8">
        <v>0.88571428571428568</v>
      </c>
      <c r="E29" s="8">
        <v>2.8571428571428571E-2</v>
      </c>
      <c r="F29" s="8">
        <v>8.5714285714285715E-2</v>
      </c>
      <c r="G29" s="8">
        <v>0</v>
      </c>
      <c r="H29" s="8">
        <v>0</v>
      </c>
      <c r="I29" s="6"/>
      <c r="J29" s="11"/>
      <c r="K29" s="11"/>
      <c r="L29" s="11"/>
      <c r="M29" s="11"/>
      <c r="N29" s="11" t="s">
        <v>58</v>
      </c>
      <c r="O29" s="11"/>
      <c r="P29" s="11"/>
      <c r="Q29" s="11"/>
      <c r="R29" s="11" t="s">
        <v>58</v>
      </c>
      <c r="S29" s="11"/>
      <c r="T29" s="11"/>
      <c r="U29" s="11" t="s">
        <v>58</v>
      </c>
      <c r="V29" s="11"/>
      <c r="W29" s="11"/>
    </row>
    <row r="30" spans="1:23" x14ac:dyDescent="0.2">
      <c r="A30" s="6" t="s">
        <v>534</v>
      </c>
      <c r="B30" s="12"/>
      <c r="C30" s="21"/>
      <c r="D30" s="7">
        <v>0.7142857142857143</v>
      </c>
      <c r="E30" s="7">
        <v>2.8571428571428571E-2</v>
      </c>
      <c r="F30" s="7">
        <v>0.2</v>
      </c>
      <c r="G30" s="7">
        <v>5.7142857142857141E-2</v>
      </c>
      <c r="H30" s="7">
        <v>0</v>
      </c>
      <c r="I30" s="6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</row>
    <row r="31" spans="1:23" ht="28" x14ac:dyDescent="0.2">
      <c r="A31" s="6"/>
      <c r="B31" s="19" t="s">
        <v>535</v>
      </c>
      <c r="C31" s="9">
        <v>0.5</v>
      </c>
      <c r="D31" s="8">
        <v>0.7142857142857143</v>
      </c>
      <c r="E31" s="8">
        <v>5.7142857142857141E-2</v>
      </c>
      <c r="F31" s="8">
        <v>0.2</v>
      </c>
      <c r="G31" s="8">
        <v>2.8571428571428571E-2</v>
      </c>
      <c r="H31" s="8">
        <v>0</v>
      </c>
      <c r="I31" s="6"/>
      <c r="J31" s="11"/>
      <c r="K31" s="11"/>
      <c r="L31" s="11" t="s">
        <v>58</v>
      </c>
      <c r="M31" s="11"/>
      <c r="N31" s="11"/>
      <c r="O31" s="11" t="s">
        <v>58</v>
      </c>
      <c r="P31" s="11"/>
      <c r="Q31" s="11" t="s">
        <v>58</v>
      </c>
      <c r="R31" s="11"/>
      <c r="S31" s="11"/>
      <c r="T31" s="11" t="s">
        <v>58</v>
      </c>
      <c r="U31" s="11" t="s">
        <v>58</v>
      </c>
      <c r="V31" s="11"/>
      <c r="W31" s="11"/>
    </row>
    <row r="32" spans="1:23" x14ac:dyDescent="0.2">
      <c r="A32" s="6"/>
      <c r="B32" s="19" t="s">
        <v>536</v>
      </c>
      <c r="C32" s="9">
        <v>0.5</v>
      </c>
      <c r="D32" s="8">
        <v>0.68571428571428572</v>
      </c>
      <c r="E32" s="8">
        <v>2.8571428571428571E-2</v>
      </c>
      <c r="F32" s="8">
        <v>8.5714285714285715E-2</v>
      </c>
      <c r="G32" s="8">
        <v>0.17142857142857143</v>
      </c>
      <c r="H32" s="8">
        <v>2.8571428571428571E-2</v>
      </c>
      <c r="I32" s="6"/>
      <c r="J32" s="11"/>
      <c r="K32" s="11"/>
      <c r="L32" s="11"/>
      <c r="M32" s="11"/>
      <c r="N32" s="11"/>
      <c r="O32" s="11"/>
      <c r="P32" s="11"/>
      <c r="Q32" s="11" t="s">
        <v>58</v>
      </c>
      <c r="R32" s="11"/>
      <c r="S32" s="11" t="s">
        <v>58</v>
      </c>
      <c r="T32" s="11"/>
      <c r="U32" s="11" t="s">
        <v>58</v>
      </c>
      <c r="V32" s="11"/>
      <c r="W32" s="11"/>
    </row>
    <row r="33" spans="1:23" x14ac:dyDescent="0.2">
      <c r="A33" s="6" t="s">
        <v>537</v>
      </c>
      <c r="B33" s="12"/>
      <c r="C33" s="9"/>
      <c r="D33" s="7">
        <v>0.88571428571428568</v>
      </c>
      <c r="E33" s="7">
        <v>2.8571428571428571E-2</v>
      </c>
      <c r="F33" s="7">
        <v>8.5714285714285715E-2</v>
      </c>
      <c r="G33" s="7">
        <v>0</v>
      </c>
      <c r="H33" s="7">
        <v>0</v>
      </c>
      <c r="I33" s="6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</row>
    <row r="34" spans="1:23" x14ac:dyDescent="0.2">
      <c r="A34" s="6"/>
      <c r="B34" s="19" t="s">
        <v>538</v>
      </c>
      <c r="C34" s="9">
        <v>0.2</v>
      </c>
      <c r="D34" s="8">
        <v>0.68571428571428572</v>
      </c>
      <c r="E34" s="8">
        <v>2.8571428571428571E-2</v>
      </c>
      <c r="F34" s="8">
        <v>5.7142857142857141E-2</v>
      </c>
      <c r="G34" s="8">
        <v>0.14285714285714285</v>
      </c>
      <c r="H34" s="8">
        <v>8.5714285714285715E-2</v>
      </c>
      <c r="I34" s="6"/>
      <c r="J34" s="11"/>
      <c r="K34" s="11"/>
      <c r="L34" s="11"/>
      <c r="M34" s="11"/>
      <c r="N34" s="11"/>
      <c r="O34" s="11"/>
      <c r="P34" s="11" t="s">
        <v>58</v>
      </c>
      <c r="Q34" s="11"/>
      <c r="R34" s="11"/>
      <c r="S34" s="11"/>
      <c r="T34" s="11"/>
      <c r="U34" s="11"/>
      <c r="V34" s="11"/>
      <c r="W34" s="11"/>
    </row>
    <row r="35" spans="1:23" x14ac:dyDescent="0.2">
      <c r="A35" s="6"/>
      <c r="B35" s="19" t="s">
        <v>539</v>
      </c>
      <c r="C35" s="9">
        <v>0.2</v>
      </c>
      <c r="D35" s="8">
        <v>0.8</v>
      </c>
      <c r="E35" s="8">
        <v>0.17142857142857143</v>
      </c>
      <c r="F35" s="8">
        <v>2.8571428571428571E-2</v>
      </c>
      <c r="G35" s="8">
        <v>0</v>
      </c>
      <c r="H35" s="8">
        <v>0</v>
      </c>
      <c r="I35" s="6"/>
      <c r="J35" s="11"/>
      <c r="K35" s="11"/>
      <c r="L35" s="11"/>
      <c r="M35" s="11"/>
      <c r="N35" s="11"/>
      <c r="O35" s="11"/>
      <c r="P35" s="11"/>
      <c r="Q35" s="11"/>
      <c r="R35" s="11" t="s">
        <v>58</v>
      </c>
      <c r="S35" s="11"/>
      <c r="T35" s="11"/>
      <c r="U35" s="11"/>
      <c r="V35" s="11"/>
      <c r="W35" s="11"/>
    </row>
    <row r="36" spans="1:23" x14ac:dyDescent="0.2">
      <c r="A36" s="6"/>
      <c r="B36" s="19" t="s">
        <v>540</v>
      </c>
      <c r="C36" s="9">
        <v>0.2</v>
      </c>
      <c r="D36" s="8">
        <v>0.77142857142857146</v>
      </c>
      <c r="E36" s="8">
        <v>0.14285714285714285</v>
      </c>
      <c r="F36" s="8">
        <v>5.7142857142857141E-2</v>
      </c>
      <c r="G36" s="8">
        <v>2.8571428571428571E-2</v>
      </c>
      <c r="H36" s="8">
        <v>0</v>
      </c>
      <c r="I36" s="6"/>
      <c r="J36" s="11"/>
      <c r="K36" s="11"/>
      <c r="L36" s="11"/>
      <c r="M36" s="11"/>
      <c r="N36" s="11"/>
      <c r="O36" s="11"/>
      <c r="P36" s="11" t="s">
        <v>58</v>
      </c>
      <c r="Q36" s="11" t="s">
        <v>58</v>
      </c>
      <c r="R36" s="11" t="s">
        <v>58</v>
      </c>
      <c r="S36" s="11"/>
      <c r="T36" s="11"/>
      <c r="U36" s="11"/>
      <c r="V36" s="11"/>
      <c r="W36" s="11"/>
    </row>
    <row r="37" spans="1:23" ht="28" x14ac:dyDescent="0.2">
      <c r="A37" s="6"/>
      <c r="B37" s="19" t="s">
        <v>541</v>
      </c>
      <c r="C37" s="9">
        <v>0.2</v>
      </c>
      <c r="D37" s="8">
        <v>0.8</v>
      </c>
      <c r="E37" s="8">
        <v>0.17142857142857143</v>
      </c>
      <c r="F37" s="8">
        <v>2.8571428571428571E-2</v>
      </c>
      <c r="G37" s="8">
        <v>0</v>
      </c>
      <c r="H37" s="8">
        <v>0</v>
      </c>
      <c r="I37" s="6"/>
      <c r="J37" s="11"/>
      <c r="K37" s="11"/>
      <c r="L37" s="11"/>
      <c r="M37" s="11"/>
      <c r="N37" s="11"/>
      <c r="O37" s="11"/>
      <c r="P37" s="11"/>
      <c r="Q37" s="11"/>
      <c r="R37" s="11" t="s">
        <v>58</v>
      </c>
      <c r="S37" s="11"/>
      <c r="T37" s="11" t="s">
        <v>58</v>
      </c>
      <c r="U37" s="11"/>
      <c r="V37" s="11" t="s">
        <v>58</v>
      </c>
      <c r="W37" s="11"/>
    </row>
    <row r="38" spans="1:23" ht="28" x14ac:dyDescent="0.2">
      <c r="A38" s="6"/>
      <c r="B38" s="19" t="s">
        <v>542</v>
      </c>
      <c r="C38" s="9">
        <v>0.2</v>
      </c>
      <c r="D38" s="8">
        <v>0.8</v>
      </c>
      <c r="E38" s="8">
        <v>0.17142857142857143</v>
      </c>
      <c r="F38" s="8">
        <v>2.8571428571428571E-2</v>
      </c>
      <c r="G38" s="8">
        <v>0</v>
      </c>
      <c r="H38" s="8">
        <v>0</v>
      </c>
      <c r="I38" s="6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 t="s">
        <v>58</v>
      </c>
      <c r="U38" s="11"/>
      <c r="V38" s="11"/>
      <c r="W38" s="11" t="s">
        <v>58</v>
      </c>
    </row>
    <row r="39" spans="1:23" x14ac:dyDescent="0.2">
      <c r="A39" s="6" t="s">
        <v>543</v>
      </c>
      <c r="B39" s="12"/>
      <c r="C39" s="21"/>
      <c r="D39" s="7">
        <v>0.7142857142857143</v>
      </c>
      <c r="E39" s="7">
        <v>0.17142857142857143</v>
      </c>
      <c r="F39" s="7">
        <v>8.5714285714285715E-2</v>
      </c>
      <c r="G39" s="7">
        <v>2.8571428571428571E-2</v>
      </c>
      <c r="H39" s="7">
        <v>0</v>
      </c>
      <c r="I39" s="6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</row>
    <row r="40" spans="1:23" x14ac:dyDescent="0.2">
      <c r="A40" s="6"/>
      <c r="B40" s="19" t="s">
        <v>544</v>
      </c>
      <c r="C40" s="9">
        <v>0.33</v>
      </c>
      <c r="D40" s="8">
        <v>0.77142857142857146</v>
      </c>
      <c r="E40" s="8">
        <v>0.14285714285714285</v>
      </c>
      <c r="F40" s="8">
        <v>5.7142857142857141E-2</v>
      </c>
      <c r="G40" s="8">
        <v>2.8571428571428571E-2</v>
      </c>
      <c r="H40" s="8">
        <v>0</v>
      </c>
      <c r="I40" s="6"/>
      <c r="J40" s="11"/>
      <c r="K40" s="11"/>
      <c r="L40" s="11"/>
      <c r="M40" s="11"/>
      <c r="N40" s="11"/>
      <c r="O40" s="11"/>
      <c r="P40" s="11" t="s">
        <v>58</v>
      </c>
      <c r="Q40" s="11" t="s">
        <v>58</v>
      </c>
      <c r="R40" s="11" t="s">
        <v>58</v>
      </c>
      <c r="S40" s="11"/>
      <c r="T40" s="11"/>
      <c r="U40" s="11"/>
      <c r="V40" s="11"/>
      <c r="W40" s="11"/>
    </row>
    <row r="41" spans="1:23" x14ac:dyDescent="0.2">
      <c r="A41" s="6"/>
      <c r="B41" s="19" t="s">
        <v>545</v>
      </c>
      <c r="C41" s="9">
        <v>0.33</v>
      </c>
      <c r="D41" s="8">
        <v>0.68571428571428572</v>
      </c>
      <c r="E41" s="8">
        <v>8.5714285714285715E-2</v>
      </c>
      <c r="F41" s="8">
        <v>0.22857142857142856</v>
      </c>
      <c r="G41" s="8">
        <v>0</v>
      </c>
      <c r="H41" s="8">
        <v>0</v>
      </c>
      <c r="I41" s="6"/>
      <c r="J41" s="11"/>
      <c r="K41" s="11" t="s">
        <v>58</v>
      </c>
      <c r="L41" s="11"/>
      <c r="M41" s="11" t="s">
        <v>58</v>
      </c>
      <c r="N41" s="11"/>
      <c r="O41" s="11"/>
      <c r="P41" s="11" t="s">
        <v>58</v>
      </c>
      <c r="Q41" s="11"/>
      <c r="R41" s="11"/>
      <c r="S41" s="11"/>
      <c r="T41" s="11"/>
      <c r="U41" s="11"/>
      <c r="V41" s="11"/>
      <c r="W41" s="11"/>
    </row>
    <row r="42" spans="1:23" x14ac:dyDescent="0.2">
      <c r="A42" s="6"/>
      <c r="B42" s="19" t="s">
        <v>546</v>
      </c>
      <c r="C42" s="9">
        <v>0.34</v>
      </c>
      <c r="D42" s="8">
        <v>0.7142857142857143</v>
      </c>
      <c r="E42" s="8">
        <v>0.2</v>
      </c>
      <c r="F42" s="8">
        <v>2.8571428571428571E-2</v>
      </c>
      <c r="G42" s="8">
        <v>5.7142857142857141E-2</v>
      </c>
      <c r="H42" s="8">
        <v>0</v>
      </c>
      <c r="I42" s="6"/>
      <c r="J42" s="11"/>
      <c r="K42" s="11"/>
      <c r="L42" s="11" t="s">
        <v>58</v>
      </c>
      <c r="M42" s="11"/>
      <c r="N42" s="11"/>
      <c r="O42" s="11"/>
      <c r="P42" s="11" t="s">
        <v>58</v>
      </c>
      <c r="Q42" s="11" t="s">
        <v>58</v>
      </c>
      <c r="R42" s="11"/>
      <c r="S42" s="11"/>
      <c r="T42" s="11" t="s">
        <v>58</v>
      </c>
      <c r="U42" s="11"/>
      <c r="V42" s="11" t="s">
        <v>58</v>
      </c>
      <c r="W42" s="11"/>
    </row>
    <row r="43" spans="1:23" x14ac:dyDescent="0.2">
      <c r="A43" s="6" t="s">
        <v>547</v>
      </c>
      <c r="B43" s="12"/>
      <c r="C43" s="9"/>
      <c r="D43" s="7">
        <v>0.91428571428571426</v>
      </c>
      <c r="E43" s="7">
        <v>8.5714285714285715E-2</v>
      </c>
      <c r="F43" s="7">
        <v>0</v>
      </c>
      <c r="G43" s="7">
        <v>0</v>
      </c>
      <c r="H43" s="7">
        <v>0</v>
      </c>
      <c r="I43" s="6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</row>
    <row r="44" spans="1:23" ht="28" x14ac:dyDescent="0.2">
      <c r="A44" s="6"/>
      <c r="B44" s="19" t="s">
        <v>548</v>
      </c>
      <c r="C44" s="9">
        <v>0.5</v>
      </c>
      <c r="D44" s="8">
        <v>0.8</v>
      </c>
      <c r="E44" s="8">
        <v>0.17142857142857143</v>
      </c>
      <c r="F44" s="8">
        <v>2.8571428571428571E-2</v>
      </c>
      <c r="G44" s="8">
        <v>0</v>
      </c>
      <c r="H44" s="8">
        <v>0</v>
      </c>
      <c r="I44" s="6"/>
      <c r="J44" s="11"/>
      <c r="K44" s="11"/>
      <c r="L44" s="11"/>
      <c r="M44" s="11"/>
      <c r="N44" s="11"/>
      <c r="O44" s="11"/>
      <c r="P44" s="11"/>
      <c r="Q44" s="11"/>
      <c r="R44" s="11" t="s">
        <v>58</v>
      </c>
      <c r="S44" s="11"/>
      <c r="T44" s="11"/>
      <c r="U44" s="11"/>
      <c r="V44" s="11"/>
      <c r="W44" s="11" t="s">
        <v>58</v>
      </c>
    </row>
    <row r="45" spans="1:23" x14ac:dyDescent="0.2">
      <c r="A45" s="6"/>
      <c r="B45" s="19" t="s">
        <v>549</v>
      </c>
      <c r="C45" s="9">
        <v>0.5</v>
      </c>
      <c r="D45" s="8">
        <v>0.88571428571428568</v>
      </c>
      <c r="E45" s="8">
        <v>0.11428571428571428</v>
      </c>
      <c r="F45" s="8">
        <v>0</v>
      </c>
      <c r="G45" s="8">
        <v>0</v>
      </c>
      <c r="H45" s="8">
        <v>0</v>
      </c>
      <c r="I45" s="6"/>
      <c r="J45" s="11" t="s">
        <v>58</v>
      </c>
      <c r="K45" s="11"/>
      <c r="L45" s="11"/>
      <c r="M45" s="11"/>
      <c r="N45" s="11"/>
      <c r="O45" s="11" t="s">
        <v>58</v>
      </c>
      <c r="P45" s="11"/>
      <c r="Q45" s="11"/>
      <c r="R45" s="11"/>
      <c r="S45" s="11"/>
      <c r="T45" s="11"/>
      <c r="U45" s="11"/>
      <c r="V45" s="11"/>
      <c r="W45" s="11" t="s">
        <v>58</v>
      </c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Grinder">
                <anchor mov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2362200</xdr:colOff>
                    <xdr:row>0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pping_CL_PL">
                <anchor moveWithCells="1" sizeWithCells="1">
                  <from>
                    <xdr:col>1</xdr:col>
                    <xdr:colOff>76200</xdr:colOff>
                    <xdr:row>0</xdr:row>
                    <xdr:rowOff>63500</xdr:rowOff>
                  </from>
                  <to>
                    <xdr:col>1</xdr:col>
                    <xdr:colOff>1727200</xdr:colOff>
                    <xdr:row>0</xdr:row>
                    <xdr:rowOff>355600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39"/>
  <sheetViews>
    <sheetView workbookViewId="0">
      <selection activeCell="C25" sqref="C25"/>
    </sheetView>
  </sheetViews>
  <sheetFormatPr baseColWidth="10" defaultColWidth="8.83203125" defaultRowHeight="15" x14ac:dyDescent="0.2"/>
  <cols>
    <col min="1" max="1" width="17.33203125" style="6" bestFit="1" customWidth="1"/>
    <col min="2" max="16384" width="8.83203125" style="6"/>
  </cols>
  <sheetData>
    <row r="1" spans="1:15" x14ac:dyDescent="0.2">
      <c r="B1" s="10" t="s">
        <v>13</v>
      </c>
      <c r="C1" s="10" t="s">
        <v>14</v>
      </c>
      <c r="D1" s="10" t="s">
        <v>15</v>
      </c>
      <c r="E1" s="10" t="s">
        <v>16</v>
      </c>
      <c r="F1" s="10" t="s">
        <v>63</v>
      </c>
      <c r="G1" s="10" t="s">
        <v>64</v>
      </c>
      <c r="H1" s="10" t="s">
        <v>65</v>
      </c>
      <c r="I1" s="10" t="s">
        <v>66</v>
      </c>
      <c r="J1" s="10" t="s">
        <v>67</v>
      </c>
      <c r="K1" s="10" t="s">
        <v>68</v>
      </c>
      <c r="L1" s="10" t="s">
        <v>82</v>
      </c>
      <c r="M1" s="10" t="s">
        <v>70</v>
      </c>
      <c r="N1" s="10" t="s">
        <v>71</v>
      </c>
      <c r="O1" s="10" t="s">
        <v>72</v>
      </c>
    </row>
    <row r="2" spans="1:15" x14ac:dyDescent="0.2">
      <c r="A2" s="6" t="s">
        <v>9</v>
      </c>
      <c r="B2" s="6">
        <v>5</v>
      </c>
      <c r="C2" s="6">
        <v>100</v>
      </c>
      <c r="D2" s="6">
        <v>100</v>
      </c>
      <c r="E2" s="6">
        <v>100</v>
      </c>
      <c r="F2" s="6">
        <v>50</v>
      </c>
      <c r="G2" s="6">
        <v>40</v>
      </c>
      <c r="H2" s="6">
        <v>100</v>
      </c>
      <c r="I2" s="6">
        <v>100</v>
      </c>
      <c r="J2" s="6">
        <v>50</v>
      </c>
      <c r="K2" s="6">
        <v>10</v>
      </c>
      <c r="L2" s="6">
        <v>5</v>
      </c>
      <c r="M2" s="6">
        <v>100</v>
      </c>
      <c r="N2" s="6">
        <v>50</v>
      </c>
      <c r="O2" s="6">
        <v>50</v>
      </c>
    </row>
    <row r="3" spans="1:15" x14ac:dyDescent="0.2">
      <c r="A3" s="6" t="s">
        <v>12</v>
      </c>
      <c r="B3" s="6">
        <v>5</v>
      </c>
      <c r="C3" s="6">
        <v>5</v>
      </c>
      <c r="D3" s="6">
        <v>5</v>
      </c>
      <c r="E3" s="6">
        <v>5</v>
      </c>
      <c r="F3" s="6">
        <v>5</v>
      </c>
      <c r="G3" s="6">
        <v>5</v>
      </c>
      <c r="H3" s="6">
        <v>10</v>
      </c>
      <c r="I3" s="6">
        <v>10</v>
      </c>
      <c r="J3" s="6">
        <v>10</v>
      </c>
      <c r="K3" s="6">
        <v>5</v>
      </c>
      <c r="L3" s="6">
        <v>5</v>
      </c>
      <c r="M3" s="6">
        <v>10</v>
      </c>
      <c r="N3" s="6">
        <v>10</v>
      </c>
      <c r="O3" s="6">
        <v>10</v>
      </c>
    </row>
    <row r="5" spans="1:15" x14ac:dyDescent="0.2">
      <c r="A5" s="6">
        <v>598829620</v>
      </c>
      <c r="B5" s="6">
        <v>3</v>
      </c>
      <c r="C5" s="6">
        <v>15</v>
      </c>
      <c r="D5" s="6">
        <v>83</v>
      </c>
      <c r="E5" s="6">
        <v>55</v>
      </c>
      <c r="F5" s="6">
        <v>20</v>
      </c>
      <c r="G5" s="6">
        <v>8</v>
      </c>
      <c r="H5" s="6">
        <v>15</v>
      </c>
      <c r="I5" s="6">
        <v>15</v>
      </c>
      <c r="J5" s="6">
        <v>20</v>
      </c>
      <c r="K5" s="6">
        <v>0</v>
      </c>
      <c r="L5" s="6">
        <v>3</v>
      </c>
      <c r="M5" s="6">
        <v>15</v>
      </c>
      <c r="N5" s="6">
        <v>20</v>
      </c>
      <c r="O5" s="6">
        <v>20</v>
      </c>
    </row>
    <row r="6" spans="1:15" x14ac:dyDescent="0.2">
      <c r="A6" s="6">
        <v>684014860</v>
      </c>
      <c r="B6" s="6">
        <v>4</v>
      </c>
      <c r="C6" s="6">
        <v>56</v>
      </c>
      <c r="D6" s="6">
        <v>93</v>
      </c>
      <c r="E6" s="6">
        <v>9</v>
      </c>
      <c r="F6" s="6">
        <v>28</v>
      </c>
      <c r="G6" s="6">
        <v>22</v>
      </c>
      <c r="H6" s="6">
        <v>56</v>
      </c>
      <c r="I6" s="6">
        <v>56</v>
      </c>
      <c r="J6" s="6">
        <v>28</v>
      </c>
      <c r="K6" s="6">
        <v>2</v>
      </c>
      <c r="L6" s="6">
        <v>4</v>
      </c>
      <c r="M6" s="6">
        <v>56</v>
      </c>
      <c r="N6" s="6">
        <v>28</v>
      </c>
      <c r="O6" s="6">
        <v>28</v>
      </c>
    </row>
    <row r="7" spans="1:15" x14ac:dyDescent="0.2">
      <c r="A7" s="6">
        <v>843228181</v>
      </c>
      <c r="B7" s="6">
        <v>5</v>
      </c>
      <c r="C7" s="6">
        <v>61</v>
      </c>
      <c r="D7" s="6">
        <v>26</v>
      </c>
      <c r="E7" s="6">
        <v>19</v>
      </c>
      <c r="F7" s="6">
        <v>21</v>
      </c>
      <c r="G7" s="6">
        <v>19</v>
      </c>
      <c r="H7" s="6">
        <v>61</v>
      </c>
      <c r="I7" s="6">
        <v>61</v>
      </c>
      <c r="J7" s="6">
        <v>21</v>
      </c>
      <c r="K7" s="6">
        <v>5</v>
      </c>
      <c r="L7" s="6">
        <v>5</v>
      </c>
      <c r="M7" s="6">
        <v>61</v>
      </c>
      <c r="N7" s="6">
        <v>21</v>
      </c>
      <c r="O7" s="6">
        <v>21</v>
      </c>
    </row>
    <row r="8" spans="1:15" x14ac:dyDescent="0.2">
      <c r="A8" s="6">
        <v>820549378</v>
      </c>
      <c r="B8" s="6">
        <v>4</v>
      </c>
      <c r="C8" s="6">
        <v>32</v>
      </c>
      <c r="D8" s="6">
        <v>64</v>
      </c>
      <c r="E8" s="6">
        <v>79</v>
      </c>
      <c r="F8" s="6">
        <v>13</v>
      </c>
      <c r="G8" s="6">
        <v>31</v>
      </c>
      <c r="H8" s="6">
        <v>32</v>
      </c>
      <c r="I8" s="6">
        <v>32</v>
      </c>
      <c r="J8" s="6">
        <v>13</v>
      </c>
      <c r="K8" s="6">
        <v>3</v>
      </c>
      <c r="L8" s="6">
        <v>4</v>
      </c>
      <c r="M8" s="6">
        <v>32</v>
      </c>
      <c r="N8" s="6">
        <v>13</v>
      </c>
      <c r="O8" s="6">
        <v>13</v>
      </c>
    </row>
    <row r="9" spans="1:15" x14ac:dyDescent="0.2">
      <c r="A9" s="6">
        <v>533572169</v>
      </c>
      <c r="B9" s="6">
        <v>0</v>
      </c>
      <c r="C9" s="6">
        <v>30</v>
      </c>
      <c r="D9" s="6">
        <v>40</v>
      </c>
      <c r="E9" s="6">
        <v>88</v>
      </c>
      <c r="F9" s="6">
        <v>2</v>
      </c>
      <c r="G9" s="6">
        <v>27</v>
      </c>
      <c r="H9" s="6">
        <v>30</v>
      </c>
      <c r="I9" s="6">
        <v>30</v>
      </c>
      <c r="J9" s="6">
        <v>2</v>
      </c>
      <c r="K9" s="6">
        <v>9</v>
      </c>
      <c r="L9" s="6">
        <v>0</v>
      </c>
      <c r="M9" s="6">
        <v>30</v>
      </c>
      <c r="N9" s="6">
        <v>2</v>
      </c>
      <c r="O9" s="6">
        <v>2</v>
      </c>
    </row>
    <row r="10" spans="1:15" x14ac:dyDescent="0.2">
      <c r="A10" s="6">
        <v>975325712</v>
      </c>
      <c r="B10" s="6">
        <v>2</v>
      </c>
      <c r="C10" s="6">
        <v>40</v>
      </c>
      <c r="D10" s="6">
        <v>42</v>
      </c>
      <c r="E10" s="6">
        <v>63</v>
      </c>
      <c r="F10" s="6">
        <v>18</v>
      </c>
      <c r="G10" s="6">
        <v>1</v>
      </c>
      <c r="H10" s="6">
        <v>40</v>
      </c>
      <c r="I10" s="6">
        <v>40</v>
      </c>
      <c r="J10" s="6">
        <v>18</v>
      </c>
      <c r="K10" s="6">
        <v>8</v>
      </c>
      <c r="L10" s="6">
        <v>2</v>
      </c>
      <c r="M10" s="6">
        <v>40</v>
      </c>
      <c r="N10" s="6">
        <v>18</v>
      </c>
      <c r="O10" s="6">
        <v>18</v>
      </c>
    </row>
    <row r="11" spans="1:15" x14ac:dyDescent="0.2">
      <c r="A11" s="6">
        <v>310082419</v>
      </c>
      <c r="B11" s="6">
        <v>3</v>
      </c>
      <c r="C11" s="6">
        <v>4</v>
      </c>
      <c r="D11" s="6">
        <v>42</v>
      </c>
      <c r="E11" s="6">
        <v>83</v>
      </c>
      <c r="F11" s="6">
        <v>11</v>
      </c>
      <c r="G11" s="6">
        <v>17</v>
      </c>
      <c r="H11" s="6">
        <v>4</v>
      </c>
      <c r="I11" s="6">
        <v>4</v>
      </c>
      <c r="J11" s="6">
        <v>11</v>
      </c>
      <c r="K11" s="6">
        <v>3</v>
      </c>
      <c r="L11" s="6">
        <v>3</v>
      </c>
      <c r="M11" s="6">
        <v>4</v>
      </c>
      <c r="N11" s="6">
        <v>11</v>
      </c>
      <c r="O11" s="6">
        <v>11</v>
      </c>
    </row>
    <row r="12" spans="1:15" x14ac:dyDescent="0.2">
      <c r="A12" s="6">
        <v>242132470</v>
      </c>
      <c r="B12" s="6">
        <v>0</v>
      </c>
      <c r="C12" s="6">
        <v>11</v>
      </c>
      <c r="D12" s="6">
        <v>60</v>
      </c>
      <c r="E12" s="6">
        <v>55</v>
      </c>
      <c r="F12" s="6">
        <v>28</v>
      </c>
      <c r="G12" s="6">
        <v>9</v>
      </c>
      <c r="H12" s="6">
        <v>11</v>
      </c>
      <c r="I12" s="6">
        <v>11</v>
      </c>
      <c r="J12" s="6">
        <v>28</v>
      </c>
      <c r="K12" s="6">
        <v>10</v>
      </c>
      <c r="L12" s="6">
        <v>0</v>
      </c>
      <c r="M12" s="6">
        <v>11</v>
      </c>
      <c r="N12" s="6">
        <v>28</v>
      </c>
      <c r="O12" s="6">
        <v>28</v>
      </c>
    </row>
    <row r="13" spans="1:15" x14ac:dyDescent="0.2">
      <c r="A13" s="6">
        <v>208248363</v>
      </c>
      <c r="B13" s="6">
        <v>4</v>
      </c>
      <c r="C13" s="6">
        <v>51</v>
      </c>
      <c r="D13" s="6">
        <v>25</v>
      </c>
      <c r="E13" s="6">
        <v>58</v>
      </c>
      <c r="F13" s="6">
        <v>20</v>
      </c>
      <c r="G13" s="6">
        <v>19</v>
      </c>
      <c r="H13" s="6">
        <v>51</v>
      </c>
      <c r="I13" s="6">
        <v>51</v>
      </c>
      <c r="J13" s="6">
        <v>20</v>
      </c>
      <c r="K13" s="6">
        <v>7</v>
      </c>
      <c r="L13" s="6">
        <v>4</v>
      </c>
      <c r="M13" s="6">
        <v>51</v>
      </c>
      <c r="N13" s="6">
        <v>20</v>
      </c>
      <c r="O13" s="6">
        <v>20</v>
      </c>
    </row>
    <row r="14" spans="1:15" x14ac:dyDescent="0.2">
      <c r="A14" s="6">
        <v>277055951</v>
      </c>
      <c r="B14" s="6">
        <v>2</v>
      </c>
      <c r="C14" s="6">
        <v>26</v>
      </c>
      <c r="D14" s="6">
        <v>28</v>
      </c>
      <c r="E14" s="6">
        <v>96</v>
      </c>
      <c r="F14" s="6">
        <v>0</v>
      </c>
      <c r="G14" s="6">
        <v>24</v>
      </c>
      <c r="H14" s="6">
        <v>26</v>
      </c>
      <c r="I14" s="6">
        <v>26</v>
      </c>
      <c r="J14" s="6">
        <v>0</v>
      </c>
      <c r="K14" s="6">
        <v>6</v>
      </c>
      <c r="L14" s="6">
        <v>2</v>
      </c>
      <c r="M14" s="6">
        <v>26</v>
      </c>
      <c r="N14" s="6">
        <v>0</v>
      </c>
      <c r="O14" s="6">
        <v>0</v>
      </c>
    </row>
    <row r="15" spans="1:15" x14ac:dyDescent="0.2">
      <c r="A15" s="6">
        <v>902907559</v>
      </c>
      <c r="B15" s="6">
        <v>5</v>
      </c>
      <c r="C15" s="6">
        <v>86</v>
      </c>
      <c r="D15" s="6">
        <v>95</v>
      </c>
      <c r="E15" s="6">
        <v>30</v>
      </c>
      <c r="F15" s="6">
        <v>6</v>
      </c>
      <c r="G15" s="6">
        <v>4</v>
      </c>
      <c r="H15" s="6">
        <v>86</v>
      </c>
      <c r="I15" s="6">
        <v>86</v>
      </c>
      <c r="J15" s="6">
        <v>6</v>
      </c>
      <c r="K15" s="6">
        <v>5</v>
      </c>
      <c r="L15" s="6">
        <v>5</v>
      </c>
      <c r="M15" s="6">
        <v>86</v>
      </c>
      <c r="N15" s="6">
        <v>6</v>
      </c>
      <c r="O15" s="6">
        <v>6</v>
      </c>
    </row>
    <row r="16" spans="1:15" x14ac:dyDescent="0.2">
      <c r="A16" s="6">
        <v>528297980</v>
      </c>
      <c r="B16" s="6">
        <v>3</v>
      </c>
      <c r="C16" s="6">
        <v>58</v>
      </c>
      <c r="D16" s="6">
        <v>74</v>
      </c>
      <c r="E16" s="6">
        <v>78</v>
      </c>
      <c r="F16" s="6">
        <v>31</v>
      </c>
      <c r="G16" s="6">
        <v>14</v>
      </c>
      <c r="H16" s="6">
        <v>58</v>
      </c>
      <c r="I16" s="6">
        <v>58</v>
      </c>
      <c r="J16" s="6">
        <v>31</v>
      </c>
      <c r="K16" s="6">
        <v>8</v>
      </c>
      <c r="L16" s="6">
        <v>3</v>
      </c>
      <c r="M16" s="6">
        <v>58</v>
      </c>
      <c r="N16" s="6">
        <v>31</v>
      </c>
      <c r="O16" s="6">
        <v>31</v>
      </c>
    </row>
    <row r="17" spans="1:15" x14ac:dyDescent="0.2">
      <c r="A17" s="6">
        <v>444882790</v>
      </c>
      <c r="B17" s="6">
        <v>4</v>
      </c>
      <c r="C17" s="6">
        <v>5</v>
      </c>
      <c r="D17" s="6">
        <v>67</v>
      </c>
      <c r="E17" s="6">
        <v>21</v>
      </c>
      <c r="F17" s="6">
        <v>7</v>
      </c>
      <c r="G17" s="6">
        <v>24</v>
      </c>
      <c r="H17" s="6">
        <v>5</v>
      </c>
      <c r="I17" s="6">
        <v>5</v>
      </c>
      <c r="J17" s="6">
        <v>7</v>
      </c>
      <c r="K17" s="6">
        <v>9</v>
      </c>
      <c r="L17" s="6">
        <v>4</v>
      </c>
      <c r="M17" s="6">
        <v>5</v>
      </c>
      <c r="N17" s="6">
        <v>7</v>
      </c>
      <c r="O17" s="6">
        <v>7</v>
      </c>
    </row>
    <row r="18" spans="1:15" x14ac:dyDescent="0.2">
      <c r="A18" s="6">
        <v>112085131</v>
      </c>
      <c r="B18" s="6">
        <v>0</v>
      </c>
      <c r="C18" s="6">
        <v>13</v>
      </c>
      <c r="D18" s="6">
        <v>60</v>
      </c>
      <c r="E18" s="6">
        <v>69</v>
      </c>
      <c r="F18" s="6">
        <v>9</v>
      </c>
      <c r="G18" s="6">
        <v>27</v>
      </c>
      <c r="H18" s="6">
        <v>13</v>
      </c>
      <c r="I18" s="6">
        <v>13</v>
      </c>
      <c r="J18" s="6">
        <v>9</v>
      </c>
      <c r="K18" s="6">
        <v>4</v>
      </c>
      <c r="L18" s="6">
        <v>0</v>
      </c>
      <c r="M18" s="6">
        <v>13</v>
      </c>
      <c r="N18" s="6">
        <v>9</v>
      </c>
      <c r="O18" s="6">
        <v>9</v>
      </c>
    </row>
    <row r="19" spans="1:15" x14ac:dyDescent="0.2">
      <c r="A19" s="6">
        <v>588642518</v>
      </c>
      <c r="B19" s="6">
        <v>0</v>
      </c>
      <c r="C19" s="6">
        <v>94</v>
      </c>
      <c r="D19" s="6">
        <v>72</v>
      </c>
      <c r="E19" s="6">
        <v>27</v>
      </c>
      <c r="F19" s="6">
        <v>34</v>
      </c>
      <c r="G19" s="6">
        <v>6</v>
      </c>
      <c r="H19" s="6">
        <v>94</v>
      </c>
      <c r="I19" s="6">
        <v>94</v>
      </c>
      <c r="J19" s="6">
        <v>34</v>
      </c>
      <c r="K19" s="6">
        <v>0</v>
      </c>
      <c r="L19" s="6">
        <v>0</v>
      </c>
      <c r="M19" s="6">
        <v>94</v>
      </c>
      <c r="N19" s="6">
        <v>34</v>
      </c>
      <c r="O19" s="6">
        <v>34</v>
      </c>
    </row>
    <row r="20" spans="1:15" x14ac:dyDescent="0.2">
      <c r="A20" s="6">
        <v>414520736</v>
      </c>
      <c r="B20" s="6">
        <v>1</v>
      </c>
      <c r="C20" s="6">
        <v>81</v>
      </c>
      <c r="D20" s="6">
        <v>11</v>
      </c>
      <c r="E20" s="6">
        <v>64</v>
      </c>
      <c r="F20" s="6">
        <v>7</v>
      </c>
      <c r="G20" s="6">
        <v>17</v>
      </c>
      <c r="H20" s="6">
        <v>81</v>
      </c>
      <c r="I20" s="6">
        <v>81</v>
      </c>
      <c r="J20" s="6">
        <v>7</v>
      </c>
      <c r="K20" s="6">
        <v>10</v>
      </c>
      <c r="L20" s="6">
        <v>1</v>
      </c>
      <c r="M20" s="6">
        <v>81</v>
      </c>
      <c r="N20" s="6">
        <v>7</v>
      </c>
      <c r="O20" s="6">
        <v>7</v>
      </c>
    </row>
    <row r="21" spans="1:15" x14ac:dyDescent="0.2">
      <c r="A21" s="6">
        <v>356558346</v>
      </c>
      <c r="B21" s="6">
        <v>3</v>
      </c>
      <c r="C21" s="6">
        <v>43</v>
      </c>
      <c r="D21" s="6">
        <v>50</v>
      </c>
      <c r="E21" s="6">
        <v>46</v>
      </c>
      <c r="F21" s="6">
        <v>2</v>
      </c>
      <c r="G21" s="6">
        <v>9</v>
      </c>
      <c r="H21" s="6">
        <v>43</v>
      </c>
      <c r="I21" s="6">
        <v>43</v>
      </c>
      <c r="J21" s="6">
        <v>2</v>
      </c>
      <c r="K21" s="6">
        <v>9</v>
      </c>
      <c r="L21" s="6">
        <v>3</v>
      </c>
      <c r="M21" s="6">
        <v>43</v>
      </c>
      <c r="N21" s="6">
        <v>2</v>
      </c>
      <c r="O21" s="6">
        <v>2</v>
      </c>
    </row>
    <row r="22" spans="1:15" x14ac:dyDescent="0.2">
      <c r="A22" s="6">
        <v>970698993</v>
      </c>
      <c r="B22" s="6">
        <v>2</v>
      </c>
      <c r="C22" s="6">
        <v>95</v>
      </c>
      <c r="D22" s="6">
        <v>78</v>
      </c>
      <c r="E22" s="6">
        <v>15</v>
      </c>
      <c r="F22" s="6">
        <v>4</v>
      </c>
      <c r="G22" s="6">
        <v>14</v>
      </c>
      <c r="H22" s="6">
        <v>95</v>
      </c>
      <c r="I22" s="6">
        <v>95</v>
      </c>
      <c r="J22" s="6">
        <v>4</v>
      </c>
      <c r="K22" s="6">
        <v>8</v>
      </c>
      <c r="L22" s="6">
        <v>2</v>
      </c>
      <c r="M22" s="6">
        <v>95</v>
      </c>
      <c r="N22" s="6">
        <v>4</v>
      </c>
      <c r="O22" s="6">
        <v>4</v>
      </c>
    </row>
    <row r="23" spans="1:15" x14ac:dyDescent="0.2">
      <c r="A23" s="6">
        <v>633537205</v>
      </c>
      <c r="B23" s="6">
        <v>1</v>
      </c>
      <c r="C23" s="6">
        <v>36</v>
      </c>
      <c r="D23" s="6">
        <v>43</v>
      </c>
      <c r="E23" s="6">
        <v>75</v>
      </c>
      <c r="F23" s="6">
        <v>5</v>
      </c>
      <c r="G23" s="6">
        <v>4</v>
      </c>
      <c r="H23" s="6">
        <v>36</v>
      </c>
      <c r="I23" s="6">
        <v>36</v>
      </c>
      <c r="J23" s="6">
        <v>5</v>
      </c>
      <c r="K23" s="6">
        <v>0</v>
      </c>
      <c r="L23" s="6">
        <v>1</v>
      </c>
      <c r="M23" s="6">
        <v>36</v>
      </c>
      <c r="N23" s="6">
        <v>5</v>
      </c>
      <c r="O23" s="6">
        <v>5</v>
      </c>
    </row>
    <row r="24" spans="1:15" x14ac:dyDescent="0.2">
      <c r="A24" s="6">
        <v>534292868</v>
      </c>
      <c r="B24" s="6">
        <v>2</v>
      </c>
      <c r="C24" s="6">
        <v>90</v>
      </c>
      <c r="D24" s="6">
        <v>88</v>
      </c>
      <c r="E24" s="6">
        <v>12</v>
      </c>
      <c r="F24" s="6">
        <v>4</v>
      </c>
      <c r="G24" s="6">
        <v>2</v>
      </c>
      <c r="H24" s="6">
        <v>90</v>
      </c>
      <c r="I24" s="6">
        <v>90</v>
      </c>
      <c r="J24" s="6">
        <v>4</v>
      </c>
      <c r="K24" s="6">
        <v>5</v>
      </c>
      <c r="L24" s="6">
        <v>2</v>
      </c>
      <c r="M24" s="6">
        <v>90</v>
      </c>
      <c r="N24" s="6">
        <v>4</v>
      </c>
      <c r="O24" s="6">
        <v>4</v>
      </c>
    </row>
    <row r="25" spans="1:15" x14ac:dyDescent="0.2">
      <c r="A25" s="6">
        <v>816787809</v>
      </c>
      <c r="B25" s="6">
        <v>5</v>
      </c>
      <c r="C25" s="6">
        <v>47</v>
      </c>
      <c r="D25" s="6">
        <v>28</v>
      </c>
      <c r="E25" s="6">
        <v>38</v>
      </c>
      <c r="F25" s="6">
        <v>32</v>
      </c>
      <c r="G25" s="6">
        <v>9</v>
      </c>
      <c r="H25" s="6">
        <v>47</v>
      </c>
      <c r="I25" s="6">
        <v>47</v>
      </c>
      <c r="J25" s="6">
        <v>32</v>
      </c>
      <c r="K25" s="6">
        <v>8</v>
      </c>
      <c r="L25" s="6">
        <v>5</v>
      </c>
      <c r="M25" s="6">
        <v>47</v>
      </c>
      <c r="N25" s="6">
        <v>32</v>
      </c>
      <c r="O25" s="6">
        <v>32</v>
      </c>
    </row>
    <row r="26" spans="1:15" x14ac:dyDescent="0.2">
      <c r="A26" s="6">
        <v>220052551</v>
      </c>
      <c r="B26" s="6">
        <v>3</v>
      </c>
      <c r="C26" s="6">
        <v>74</v>
      </c>
      <c r="D26" s="6">
        <v>6</v>
      </c>
      <c r="E26" s="6">
        <v>90</v>
      </c>
      <c r="F26" s="6">
        <v>7</v>
      </c>
      <c r="G26" s="6">
        <v>7</v>
      </c>
      <c r="H26" s="6">
        <v>74</v>
      </c>
      <c r="I26" s="6">
        <v>74</v>
      </c>
      <c r="J26" s="6">
        <v>7</v>
      </c>
      <c r="K26" s="6">
        <v>7</v>
      </c>
      <c r="L26" s="6">
        <v>3</v>
      </c>
      <c r="M26" s="6">
        <v>74</v>
      </c>
      <c r="N26" s="6">
        <v>7</v>
      </c>
      <c r="O26" s="6">
        <v>7</v>
      </c>
    </row>
    <row r="27" spans="1:15" x14ac:dyDescent="0.2">
      <c r="A27" s="6">
        <v>858571733</v>
      </c>
      <c r="B27" s="6">
        <v>1</v>
      </c>
      <c r="C27" s="6">
        <v>19</v>
      </c>
      <c r="D27" s="6">
        <v>78</v>
      </c>
      <c r="E27" s="6">
        <v>30</v>
      </c>
      <c r="F27" s="6">
        <v>8</v>
      </c>
      <c r="G27" s="6">
        <v>2</v>
      </c>
      <c r="H27" s="6">
        <v>19</v>
      </c>
      <c r="I27" s="6">
        <v>19</v>
      </c>
      <c r="J27" s="6">
        <v>8</v>
      </c>
      <c r="K27" s="6">
        <v>6</v>
      </c>
      <c r="L27" s="6">
        <v>1</v>
      </c>
      <c r="M27" s="6">
        <v>19</v>
      </c>
      <c r="N27" s="6">
        <v>8</v>
      </c>
      <c r="O27" s="6">
        <v>8</v>
      </c>
    </row>
    <row r="28" spans="1:15" x14ac:dyDescent="0.2">
      <c r="A28" s="6">
        <v>363436152</v>
      </c>
      <c r="B28" s="6">
        <v>2</v>
      </c>
      <c r="C28" s="6">
        <v>21</v>
      </c>
      <c r="D28" s="6">
        <v>16</v>
      </c>
      <c r="E28" s="6">
        <v>65</v>
      </c>
      <c r="F28" s="6">
        <v>23</v>
      </c>
      <c r="G28" s="6">
        <v>19</v>
      </c>
      <c r="H28" s="6">
        <v>21</v>
      </c>
      <c r="I28" s="6">
        <v>21</v>
      </c>
      <c r="J28" s="6">
        <v>23</v>
      </c>
      <c r="K28" s="6">
        <v>7</v>
      </c>
      <c r="L28" s="6">
        <v>2</v>
      </c>
      <c r="M28" s="6">
        <v>21</v>
      </c>
      <c r="N28" s="6">
        <v>23</v>
      </c>
      <c r="O28" s="6">
        <v>23</v>
      </c>
    </row>
    <row r="29" spans="1:15" x14ac:dyDescent="0.2">
      <c r="A29" s="6">
        <v>393495083</v>
      </c>
      <c r="B29" s="6">
        <v>1</v>
      </c>
      <c r="C29" s="6">
        <v>91</v>
      </c>
      <c r="D29" s="6">
        <v>69</v>
      </c>
      <c r="E29" s="6">
        <v>34</v>
      </c>
      <c r="F29" s="6">
        <v>9</v>
      </c>
      <c r="G29" s="6">
        <v>1</v>
      </c>
      <c r="H29" s="6">
        <v>91</v>
      </c>
      <c r="I29" s="6">
        <v>91</v>
      </c>
      <c r="J29" s="6">
        <v>9</v>
      </c>
      <c r="K29" s="6">
        <v>6</v>
      </c>
      <c r="L29" s="6">
        <v>1</v>
      </c>
      <c r="M29" s="6">
        <v>91</v>
      </c>
      <c r="N29" s="6">
        <v>9</v>
      </c>
      <c r="O29" s="6">
        <v>9</v>
      </c>
    </row>
    <row r="30" spans="1:15" x14ac:dyDescent="0.2">
      <c r="A30" s="6">
        <v>769635714</v>
      </c>
      <c r="B30" s="6">
        <v>2</v>
      </c>
      <c r="C30" s="6">
        <v>88</v>
      </c>
      <c r="D30" s="6">
        <v>75</v>
      </c>
      <c r="E30" s="6">
        <v>19</v>
      </c>
      <c r="F30" s="6">
        <v>32</v>
      </c>
      <c r="G30" s="6">
        <v>1</v>
      </c>
      <c r="H30" s="6">
        <v>88</v>
      </c>
      <c r="I30" s="6">
        <v>88</v>
      </c>
      <c r="J30" s="6">
        <v>32</v>
      </c>
      <c r="K30" s="6">
        <v>9</v>
      </c>
      <c r="L30" s="6">
        <v>2</v>
      </c>
      <c r="M30" s="6">
        <v>88</v>
      </c>
      <c r="N30" s="6">
        <v>32</v>
      </c>
      <c r="O30" s="6">
        <v>32</v>
      </c>
    </row>
    <row r="31" spans="1:15" x14ac:dyDescent="0.2">
      <c r="A31" s="6">
        <v>373048949</v>
      </c>
      <c r="B31" s="6">
        <v>2</v>
      </c>
      <c r="C31" s="6">
        <v>80</v>
      </c>
      <c r="D31" s="6">
        <v>48</v>
      </c>
      <c r="E31" s="6">
        <v>23</v>
      </c>
      <c r="F31" s="6">
        <v>15</v>
      </c>
      <c r="G31" s="6">
        <v>30</v>
      </c>
      <c r="H31" s="6">
        <v>80</v>
      </c>
      <c r="I31" s="6">
        <v>80</v>
      </c>
      <c r="J31" s="6">
        <v>15</v>
      </c>
      <c r="K31" s="6">
        <v>10</v>
      </c>
      <c r="L31" s="6">
        <v>2</v>
      </c>
      <c r="M31" s="6">
        <v>80</v>
      </c>
      <c r="N31" s="6">
        <v>15</v>
      </c>
      <c r="O31" s="6">
        <v>15</v>
      </c>
    </row>
    <row r="32" spans="1:15" x14ac:dyDescent="0.2">
      <c r="A32" s="6">
        <v>357061292</v>
      </c>
      <c r="B32" s="6">
        <v>5</v>
      </c>
      <c r="C32" s="6">
        <v>10</v>
      </c>
      <c r="D32" s="6">
        <v>7</v>
      </c>
      <c r="E32" s="6">
        <v>86</v>
      </c>
      <c r="F32" s="6">
        <v>25</v>
      </c>
      <c r="G32" s="6">
        <v>7</v>
      </c>
      <c r="H32" s="6">
        <v>10</v>
      </c>
      <c r="I32" s="6">
        <v>10</v>
      </c>
      <c r="J32" s="6">
        <v>25</v>
      </c>
      <c r="K32" s="6">
        <v>5</v>
      </c>
      <c r="L32" s="6">
        <v>5</v>
      </c>
      <c r="M32" s="6">
        <v>10</v>
      </c>
      <c r="N32" s="6">
        <v>25</v>
      </c>
      <c r="O32" s="6">
        <v>25</v>
      </c>
    </row>
    <row r="33" spans="1:15" x14ac:dyDescent="0.2">
      <c r="A33" s="6">
        <v>837310284</v>
      </c>
      <c r="B33" s="6">
        <v>0</v>
      </c>
      <c r="C33" s="6">
        <v>45</v>
      </c>
      <c r="D33" s="6">
        <v>0</v>
      </c>
      <c r="E33" s="6">
        <v>46</v>
      </c>
      <c r="F33" s="6">
        <v>18</v>
      </c>
      <c r="G33" s="6">
        <v>26</v>
      </c>
      <c r="H33" s="6">
        <v>45</v>
      </c>
      <c r="I33" s="6">
        <v>45</v>
      </c>
      <c r="J33" s="6">
        <v>18</v>
      </c>
      <c r="K33" s="6">
        <v>4</v>
      </c>
      <c r="L33" s="6">
        <v>0</v>
      </c>
      <c r="M33" s="6">
        <v>45</v>
      </c>
      <c r="N33" s="6">
        <v>18</v>
      </c>
      <c r="O33" s="6">
        <v>18</v>
      </c>
    </row>
    <row r="34" spans="1:15" x14ac:dyDescent="0.2">
      <c r="A34" s="6">
        <v>815854164</v>
      </c>
      <c r="B34" s="6">
        <v>0</v>
      </c>
      <c r="C34" s="6">
        <v>89</v>
      </c>
      <c r="D34" s="6">
        <v>98</v>
      </c>
      <c r="E34" s="6">
        <v>2</v>
      </c>
      <c r="F34" s="6">
        <v>31</v>
      </c>
      <c r="G34" s="6">
        <v>8</v>
      </c>
      <c r="H34" s="6">
        <v>89</v>
      </c>
      <c r="I34" s="6">
        <v>89</v>
      </c>
      <c r="J34" s="6">
        <v>31</v>
      </c>
      <c r="K34" s="6">
        <v>5</v>
      </c>
      <c r="L34" s="6">
        <v>0</v>
      </c>
      <c r="M34" s="6">
        <v>89</v>
      </c>
      <c r="N34" s="6">
        <v>31</v>
      </c>
      <c r="O34" s="6">
        <v>31</v>
      </c>
    </row>
    <row r="35" spans="1:15" x14ac:dyDescent="0.2">
      <c r="A35" s="6">
        <v>315378369</v>
      </c>
      <c r="B35" s="6">
        <v>2</v>
      </c>
      <c r="C35" s="6">
        <v>12</v>
      </c>
      <c r="D35" s="6">
        <v>46</v>
      </c>
      <c r="E35" s="6">
        <v>31</v>
      </c>
      <c r="F35" s="6">
        <v>18</v>
      </c>
      <c r="G35" s="6">
        <v>2</v>
      </c>
      <c r="H35" s="6">
        <v>12</v>
      </c>
      <c r="I35" s="6">
        <v>12</v>
      </c>
      <c r="J35" s="6">
        <v>18</v>
      </c>
      <c r="K35" s="6">
        <v>3</v>
      </c>
      <c r="L35" s="6">
        <v>2</v>
      </c>
      <c r="M35" s="6">
        <v>12</v>
      </c>
      <c r="N35" s="6">
        <v>18</v>
      </c>
      <c r="O35" s="6">
        <v>18</v>
      </c>
    </row>
    <row r="36" spans="1:15" x14ac:dyDescent="0.2">
      <c r="A36" s="6">
        <v>564410540</v>
      </c>
      <c r="B36" s="6">
        <v>2</v>
      </c>
      <c r="C36" s="6">
        <v>21</v>
      </c>
      <c r="D36" s="6">
        <v>38</v>
      </c>
      <c r="E36" s="6">
        <v>64</v>
      </c>
      <c r="F36" s="6">
        <v>36</v>
      </c>
      <c r="G36" s="6">
        <v>35</v>
      </c>
      <c r="H36" s="6">
        <v>21</v>
      </c>
      <c r="I36" s="6">
        <v>21</v>
      </c>
      <c r="J36" s="6">
        <v>36</v>
      </c>
      <c r="K36" s="6">
        <v>6</v>
      </c>
      <c r="L36" s="6">
        <v>2</v>
      </c>
      <c r="M36" s="6">
        <v>21</v>
      </c>
      <c r="N36" s="6">
        <v>36</v>
      </c>
      <c r="O36" s="6">
        <v>36</v>
      </c>
    </row>
    <row r="37" spans="1:15" x14ac:dyDescent="0.2">
      <c r="A37" s="6">
        <v>126539887</v>
      </c>
      <c r="B37" s="6">
        <v>3</v>
      </c>
      <c r="C37" s="6">
        <v>7</v>
      </c>
      <c r="D37" s="6">
        <v>96</v>
      </c>
      <c r="E37" s="6">
        <v>84</v>
      </c>
      <c r="F37" s="6">
        <v>31</v>
      </c>
      <c r="G37" s="6">
        <v>26</v>
      </c>
      <c r="H37" s="6">
        <v>7</v>
      </c>
      <c r="I37" s="6">
        <v>7</v>
      </c>
      <c r="J37" s="6">
        <v>31</v>
      </c>
      <c r="K37" s="6">
        <v>8</v>
      </c>
      <c r="L37" s="6">
        <v>3</v>
      </c>
      <c r="M37" s="6">
        <v>7</v>
      </c>
      <c r="N37" s="6">
        <v>31</v>
      </c>
      <c r="O37" s="6">
        <v>31</v>
      </c>
    </row>
    <row r="38" spans="1:15" x14ac:dyDescent="0.2">
      <c r="A38" s="6">
        <v>563937624</v>
      </c>
      <c r="B38" s="6">
        <v>4</v>
      </c>
      <c r="C38" s="6">
        <v>5</v>
      </c>
      <c r="D38" s="6">
        <v>99</v>
      </c>
      <c r="E38" s="6">
        <v>97</v>
      </c>
      <c r="F38" s="6">
        <v>10</v>
      </c>
      <c r="G38" s="6">
        <v>28</v>
      </c>
      <c r="H38" s="6">
        <v>5</v>
      </c>
      <c r="I38" s="6">
        <v>5</v>
      </c>
      <c r="J38" s="6">
        <v>10</v>
      </c>
      <c r="K38" s="6">
        <v>7</v>
      </c>
      <c r="L38" s="6">
        <v>4</v>
      </c>
      <c r="M38" s="6">
        <v>5</v>
      </c>
      <c r="N38" s="6">
        <v>10</v>
      </c>
      <c r="O38" s="6">
        <v>10</v>
      </c>
    </row>
    <row r="39" spans="1:15" x14ac:dyDescent="0.2">
      <c r="A39" s="6">
        <v>684291511</v>
      </c>
      <c r="B39" s="6">
        <v>2</v>
      </c>
      <c r="C39" s="6">
        <v>37</v>
      </c>
      <c r="D39" s="6">
        <v>22</v>
      </c>
      <c r="E39" s="6">
        <v>82</v>
      </c>
      <c r="F39" s="6">
        <v>26</v>
      </c>
      <c r="G39" s="6">
        <v>16</v>
      </c>
      <c r="H39" s="6">
        <v>37</v>
      </c>
      <c r="I39" s="6">
        <v>37</v>
      </c>
      <c r="J39" s="6">
        <v>26</v>
      </c>
      <c r="K39" s="6">
        <v>9</v>
      </c>
      <c r="L39" s="6">
        <v>2</v>
      </c>
      <c r="M39" s="6">
        <v>37</v>
      </c>
      <c r="N39" s="6">
        <v>26</v>
      </c>
      <c r="O39" s="6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31"/>
  <sheetViews>
    <sheetView workbookViewId="0">
      <selection activeCell="A18" sqref="A18"/>
    </sheetView>
  </sheetViews>
  <sheetFormatPr baseColWidth="10" defaultColWidth="9.1640625" defaultRowHeight="15" x14ac:dyDescent="0.2"/>
  <cols>
    <col min="1" max="1" width="134.6640625" style="32" bestFit="1" customWidth="1"/>
    <col min="2" max="2" width="15.1640625" style="32" customWidth="1"/>
    <col min="3" max="16384" width="9.1640625" style="32"/>
  </cols>
  <sheetData>
    <row r="1" spans="1:2" s="31" customFormat="1" ht="46.5" customHeight="1" x14ac:dyDescent="0.2">
      <c r="A1" s="33" t="s">
        <v>509</v>
      </c>
      <c r="B1" s="33" t="s">
        <v>510</v>
      </c>
    </row>
    <row r="2" spans="1:2" x14ac:dyDescent="0.2">
      <c r="A2" s="32" t="s">
        <v>653</v>
      </c>
    </row>
    <row r="3" spans="1:2" x14ac:dyDescent="0.2">
      <c r="A3" s="32" t="s">
        <v>654</v>
      </c>
    </row>
    <row r="4" spans="1:2" x14ac:dyDescent="0.2">
      <c r="A4" s="32" t="s">
        <v>655</v>
      </c>
    </row>
    <row r="5" spans="1:2" x14ac:dyDescent="0.2">
      <c r="A5" s="32" t="s">
        <v>656</v>
      </c>
    </row>
    <row r="6" spans="1:2" x14ac:dyDescent="0.2">
      <c r="A6" s="32" t="s">
        <v>657</v>
      </c>
    </row>
    <row r="7" spans="1:2" x14ac:dyDescent="0.2">
      <c r="A7" s="32" t="s">
        <v>73</v>
      </c>
      <c r="B7" s="32" t="s">
        <v>581</v>
      </c>
    </row>
    <row r="8" spans="1:2" x14ac:dyDescent="0.2">
      <c r="A8" s="32" t="s">
        <v>74</v>
      </c>
      <c r="B8" s="32" t="s">
        <v>581</v>
      </c>
    </row>
    <row r="9" spans="1:2" x14ac:dyDescent="0.2">
      <c r="A9" s="32" t="s">
        <v>658</v>
      </c>
    </row>
    <row r="10" spans="1:2" x14ac:dyDescent="0.2">
      <c r="A10" s="32" t="s">
        <v>75</v>
      </c>
      <c r="B10" s="32" t="s">
        <v>589</v>
      </c>
    </row>
    <row r="11" spans="1:2" x14ac:dyDescent="0.2">
      <c r="A11" s="32" t="s">
        <v>659</v>
      </c>
    </row>
    <row r="12" spans="1:2" x14ac:dyDescent="0.2">
      <c r="A12" s="32" t="s">
        <v>76</v>
      </c>
      <c r="B12" s="32" t="s">
        <v>591</v>
      </c>
    </row>
    <row r="13" spans="1:2" x14ac:dyDescent="0.2">
      <c r="A13" s="32" t="s">
        <v>77</v>
      </c>
      <c r="B13" s="32" t="s">
        <v>596</v>
      </c>
    </row>
    <row r="14" spans="1:2" x14ac:dyDescent="0.2">
      <c r="A14" s="32" t="s">
        <v>78</v>
      </c>
      <c r="B14" s="32" t="s">
        <v>593</v>
      </c>
    </row>
    <row r="15" spans="1:2" x14ac:dyDescent="0.2">
      <c r="A15" s="32" t="s">
        <v>660</v>
      </c>
    </row>
    <row r="16" spans="1:2" x14ac:dyDescent="0.2">
      <c r="A16" s="32" t="s">
        <v>661</v>
      </c>
    </row>
    <row r="17" spans="1:2" x14ac:dyDescent="0.2">
      <c r="A17" s="32" t="s">
        <v>662</v>
      </c>
    </row>
    <row r="18" spans="1:2" x14ac:dyDescent="0.2">
      <c r="A18" s="32" t="s">
        <v>663</v>
      </c>
    </row>
    <row r="19" spans="1:2" x14ac:dyDescent="0.2">
      <c r="A19" s="32" t="s">
        <v>79</v>
      </c>
      <c r="B19" s="32" t="s">
        <v>609</v>
      </c>
    </row>
    <row r="20" spans="1:2" x14ac:dyDescent="0.2">
      <c r="A20" s="32" t="s">
        <v>664</v>
      </c>
    </row>
    <row r="21" spans="1:2" x14ac:dyDescent="0.2">
      <c r="A21" s="32" t="s">
        <v>665</v>
      </c>
    </row>
    <row r="22" spans="1:2" x14ac:dyDescent="0.2">
      <c r="A22" s="32" t="s">
        <v>666</v>
      </c>
    </row>
    <row r="23" spans="1:2" x14ac:dyDescent="0.2">
      <c r="A23" s="32" t="s">
        <v>667</v>
      </c>
    </row>
    <row r="24" spans="1:2" x14ac:dyDescent="0.2">
      <c r="A24" s="32" t="s">
        <v>668</v>
      </c>
    </row>
    <row r="25" spans="1:2" x14ac:dyDescent="0.2">
      <c r="A25" s="32" t="s">
        <v>669</v>
      </c>
    </row>
    <row r="26" spans="1:2" x14ac:dyDescent="0.2">
      <c r="A26" s="32" t="s">
        <v>670</v>
      </c>
    </row>
    <row r="27" spans="1:2" x14ac:dyDescent="0.2">
      <c r="A27" s="32" t="s">
        <v>671</v>
      </c>
    </row>
    <row r="28" spans="1:2" x14ac:dyDescent="0.2">
      <c r="A28" s="32" t="s">
        <v>80</v>
      </c>
      <c r="B28" s="32" t="s">
        <v>630</v>
      </c>
    </row>
    <row r="29" spans="1:2" x14ac:dyDescent="0.2">
      <c r="A29" s="32" t="s">
        <v>81</v>
      </c>
      <c r="B29" s="32" t="s">
        <v>578</v>
      </c>
    </row>
    <row r="30" spans="1:2" x14ac:dyDescent="0.2">
      <c r="A30" s="32" t="s">
        <v>672</v>
      </c>
    </row>
    <row r="31" spans="1:2" x14ac:dyDescent="0.2">
      <c r="A31" s="32" t="s">
        <v>673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39"/>
  <sheetViews>
    <sheetView workbookViewId="0">
      <selection sqref="A1:XFD1048576"/>
    </sheetView>
  </sheetViews>
  <sheetFormatPr baseColWidth="10" defaultColWidth="37.1640625" defaultRowHeight="15" x14ac:dyDescent="0.2"/>
  <cols>
    <col min="1" max="1" width="15.6640625" bestFit="1" customWidth="1"/>
    <col min="2" max="2" width="7.6640625" customWidth="1"/>
    <col min="3" max="3" width="66" bestFit="1" customWidth="1"/>
    <col min="4" max="4" width="4.5" bestFit="1" customWidth="1"/>
    <col min="5" max="5" width="66" bestFit="1" customWidth="1"/>
    <col min="6" max="6" width="5.5" bestFit="1" customWidth="1"/>
    <col min="7" max="7" width="6.5" bestFit="1" customWidth="1"/>
  </cols>
  <sheetData>
    <row r="1" spans="1:12" ht="28.5" customHeight="1" x14ac:dyDescent="0.2">
      <c r="A1" t="s">
        <v>512</v>
      </c>
      <c r="C1" t="s">
        <v>653</v>
      </c>
      <c r="H1" t="s">
        <v>654</v>
      </c>
    </row>
    <row r="2" spans="1:12" x14ac:dyDescent="0.2">
      <c r="D2" t="s">
        <v>13</v>
      </c>
      <c r="E2" t="s">
        <v>65</v>
      </c>
      <c r="F2" t="s">
        <v>68</v>
      </c>
      <c r="G2" t="s">
        <v>70</v>
      </c>
      <c r="I2" t="s">
        <v>14</v>
      </c>
      <c r="J2" t="s">
        <v>15</v>
      </c>
      <c r="K2" t="s">
        <v>66</v>
      </c>
      <c r="L2" t="s">
        <v>69</v>
      </c>
    </row>
    <row r="3" spans="1:12" x14ac:dyDescent="0.2">
      <c r="D3">
        <v>5</v>
      </c>
      <c r="E3">
        <v>100</v>
      </c>
      <c r="F3">
        <v>10</v>
      </c>
      <c r="G3">
        <v>100</v>
      </c>
      <c r="I3">
        <v>100</v>
      </c>
      <c r="J3">
        <v>100</v>
      </c>
      <c r="K3">
        <v>100</v>
      </c>
    </row>
    <row r="4" spans="1:12" x14ac:dyDescent="0.2">
      <c r="D4">
        <v>1</v>
      </c>
      <c r="E4">
        <v>0.1</v>
      </c>
      <c r="F4">
        <v>0.5</v>
      </c>
      <c r="G4">
        <v>0.1</v>
      </c>
      <c r="I4">
        <v>0.05</v>
      </c>
      <c r="J4">
        <v>0.05</v>
      </c>
      <c r="K4">
        <v>0.1</v>
      </c>
    </row>
    <row r="5" spans="1:12" x14ac:dyDescent="0.2">
      <c r="A5">
        <v>598829620</v>
      </c>
      <c r="B5" s="22">
        <v>0.26</v>
      </c>
      <c r="C5" s="22">
        <v>0.2</v>
      </c>
      <c r="D5" s="22">
        <v>3</v>
      </c>
      <c r="E5" s="22">
        <v>15</v>
      </c>
      <c r="F5" s="22">
        <v>0</v>
      </c>
      <c r="G5" s="22">
        <v>15</v>
      </c>
      <c r="H5" s="22">
        <v>0.32</v>
      </c>
      <c r="I5" s="22">
        <v>15</v>
      </c>
      <c r="J5" s="22">
        <v>83</v>
      </c>
      <c r="K5" s="22">
        <v>15</v>
      </c>
    </row>
    <row r="6" spans="1:12" x14ac:dyDescent="0.2">
      <c r="A6">
        <v>684014860</v>
      </c>
      <c r="B6" s="22">
        <v>0.59625000000000006</v>
      </c>
      <c r="C6" s="22">
        <v>0.54000000000000015</v>
      </c>
      <c r="D6" s="22">
        <v>4</v>
      </c>
      <c r="E6" s="22">
        <v>56</v>
      </c>
      <c r="F6" s="22">
        <v>2</v>
      </c>
      <c r="G6" s="22">
        <v>56</v>
      </c>
      <c r="H6" s="22">
        <v>0.65250000000000008</v>
      </c>
      <c r="I6" s="22">
        <v>56</v>
      </c>
      <c r="J6" s="22">
        <v>93</v>
      </c>
      <c r="K6" s="22">
        <v>56</v>
      </c>
    </row>
    <row r="7" spans="1:12" x14ac:dyDescent="0.2">
      <c r="A7">
        <v>843228181</v>
      </c>
      <c r="B7" s="22">
        <v>0.58958333333333335</v>
      </c>
      <c r="C7" s="22">
        <v>0.65666666666666673</v>
      </c>
      <c r="D7" s="22">
        <v>5</v>
      </c>
      <c r="E7" s="22">
        <v>61</v>
      </c>
      <c r="F7" s="22">
        <v>5</v>
      </c>
      <c r="G7" s="22">
        <v>61</v>
      </c>
      <c r="H7" s="22">
        <v>0.52250000000000008</v>
      </c>
      <c r="I7" s="22">
        <v>61</v>
      </c>
      <c r="J7" s="22">
        <v>26</v>
      </c>
      <c r="K7" s="22">
        <v>61</v>
      </c>
    </row>
    <row r="8" spans="1:12" x14ac:dyDescent="0.2">
      <c r="A8">
        <v>820549378</v>
      </c>
      <c r="B8" s="22">
        <v>0.39833333333333332</v>
      </c>
      <c r="C8" s="22">
        <v>0.39666666666666661</v>
      </c>
      <c r="D8" s="22">
        <v>4</v>
      </c>
      <c r="E8" s="22">
        <v>32</v>
      </c>
      <c r="F8" s="22">
        <v>3</v>
      </c>
      <c r="G8" s="22">
        <v>32</v>
      </c>
      <c r="H8" s="22">
        <v>0.4</v>
      </c>
      <c r="I8" s="22">
        <v>32</v>
      </c>
      <c r="J8" s="22">
        <v>64</v>
      </c>
      <c r="K8" s="22">
        <v>32</v>
      </c>
    </row>
    <row r="9" spans="1:12" x14ac:dyDescent="0.2">
      <c r="A9">
        <v>533572169</v>
      </c>
      <c r="B9" s="22">
        <v>0.33749999999999997</v>
      </c>
      <c r="C9" s="22">
        <v>0.35</v>
      </c>
      <c r="D9" s="22">
        <v>0</v>
      </c>
      <c r="E9" s="22">
        <v>30</v>
      </c>
      <c r="F9" s="22">
        <v>9</v>
      </c>
      <c r="G9" s="22">
        <v>30</v>
      </c>
      <c r="H9" s="22">
        <v>0.32500000000000001</v>
      </c>
      <c r="I9" s="22">
        <v>30</v>
      </c>
      <c r="J9" s="22">
        <v>40</v>
      </c>
      <c r="K9" s="22">
        <v>30</v>
      </c>
    </row>
    <row r="10" spans="1:12" x14ac:dyDescent="0.2">
      <c r="A10">
        <v>975325712</v>
      </c>
      <c r="B10" s="22">
        <v>0.43583333333333335</v>
      </c>
      <c r="C10" s="22">
        <v>0.46666666666666667</v>
      </c>
      <c r="D10" s="22">
        <v>2</v>
      </c>
      <c r="E10" s="22">
        <v>40</v>
      </c>
      <c r="F10" s="22">
        <v>8</v>
      </c>
      <c r="G10" s="22">
        <v>40</v>
      </c>
      <c r="H10" s="22">
        <v>0.40499999999999997</v>
      </c>
      <c r="I10" s="22">
        <v>40</v>
      </c>
      <c r="J10" s="22">
        <v>42</v>
      </c>
      <c r="K10" s="22">
        <v>40</v>
      </c>
    </row>
    <row r="11" spans="1:12" x14ac:dyDescent="0.2">
      <c r="A11">
        <v>310082419</v>
      </c>
      <c r="B11" s="22">
        <v>0.15583333333333335</v>
      </c>
      <c r="C11" s="22">
        <v>0.17666666666666669</v>
      </c>
      <c r="D11" s="22">
        <v>3</v>
      </c>
      <c r="E11" s="22">
        <v>4</v>
      </c>
      <c r="F11" s="22">
        <v>3</v>
      </c>
      <c r="G11" s="22">
        <v>4</v>
      </c>
      <c r="H11" s="22">
        <v>0.13500000000000001</v>
      </c>
      <c r="I11" s="22">
        <v>4</v>
      </c>
      <c r="J11" s="22">
        <v>42</v>
      </c>
      <c r="K11" s="22">
        <v>4</v>
      </c>
    </row>
    <row r="12" spans="1:12" x14ac:dyDescent="0.2">
      <c r="A12">
        <v>242132470</v>
      </c>
      <c r="B12" s="22">
        <v>0.23624999999999999</v>
      </c>
      <c r="C12" s="22">
        <v>0.23999999999999996</v>
      </c>
      <c r="D12" s="22">
        <v>0</v>
      </c>
      <c r="E12" s="22">
        <v>11</v>
      </c>
      <c r="F12" s="22">
        <v>10</v>
      </c>
      <c r="G12" s="22">
        <v>11</v>
      </c>
      <c r="H12" s="22">
        <v>0.23250000000000001</v>
      </c>
      <c r="I12" s="22">
        <v>11</v>
      </c>
      <c r="J12" s="22">
        <v>60</v>
      </c>
      <c r="K12" s="22">
        <v>11</v>
      </c>
    </row>
    <row r="13" spans="1:12" x14ac:dyDescent="0.2">
      <c r="A13">
        <v>208248363</v>
      </c>
      <c r="B13" s="22">
        <v>0.51750000000000007</v>
      </c>
      <c r="C13" s="22">
        <v>0.59000000000000008</v>
      </c>
      <c r="D13" s="22">
        <v>4</v>
      </c>
      <c r="E13" s="22">
        <v>51</v>
      </c>
      <c r="F13" s="22">
        <v>7</v>
      </c>
      <c r="G13" s="22">
        <v>51</v>
      </c>
      <c r="H13" s="22">
        <v>0.44500000000000001</v>
      </c>
      <c r="I13" s="22">
        <v>51</v>
      </c>
      <c r="J13" s="22">
        <v>25</v>
      </c>
      <c r="K13" s="22">
        <v>51</v>
      </c>
    </row>
    <row r="14" spans="1:12" x14ac:dyDescent="0.2">
      <c r="A14">
        <v>277055951</v>
      </c>
      <c r="B14" s="22">
        <v>0.30249999999999999</v>
      </c>
      <c r="C14" s="22">
        <v>0.33999999999999997</v>
      </c>
      <c r="D14" s="22">
        <v>2</v>
      </c>
      <c r="E14" s="22">
        <v>26</v>
      </c>
      <c r="F14" s="22">
        <v>6</v>
      </c>
      <c r="G14" s="22">
        <v>26</v>
      </c>
      <c r="H14" s="22">
        <v>0.26500000000000001</v>
      </c>
      <c r="I14" s="22">
        <v>26</v>
      </c>
      <c r="J14" s="22">
        <v>28</v>
      </c>
      <c r="K14" s="22">
        <v>26</v>
      </c>
    </row>
    <row r="15" spans="1:12" x14ac:dyDescent="0.2">
      <c r="A15">
        <v>902907559</v>
      </c>
      <c r="B15" s="22">
        <v>0.85291666666666666</v>
      </c>
      <c r="C15" s="22">
        <v>0.82333333333333347</v>
      </c>
      <c r="D15" s="22">
        <v>5</v>
      </c>
      <c r="E15" s="22">
        <v>86</v>
      </c>
      <c r="F15" s="22">
        <v>5</v>
      </c>
      <c r="G15" s="22">
        <v>86</v>
      </c>
      <c r="H15" s="22">
        <v>0.88249999999999995</v>
      </c>
      <c r="I15" s="22">
        <v>86</v>
      </c>
      <c r="J15" s="22">
        <v>95</v>
      </c>
      <c r="K15" s="22">
        <v>86</v>
      </c>
    </row>
    <row r="16" spans="1:12" x14ac:dyDescent="0.2">
      <c r="A16">
        <v>528297980</v>
      </c>
      <c r="B16" s="22">
        <v>0.62000000000000011</v>
      </c>
      <c r="C16" s="22">
        <v>0.62</v>
      </c>
      <c r="D16" s="22">
        <v>3</v>
      </c>
      <c r="E16" s="22">
        <v>58</v>
      </c>
      <c r="F16" s="22">
        <v>8</v>
      </c>
      <c r="G16" s="22">
        <v>58</v>
      </c>
      <c r="H16" s="22">
        <v>0.62000000000000011</v>
      </c>
      <c r="I16" s="22">
        <v>58</v>
      </c>
      <c r="J16" s="22">
        <v>74</v>
      </c>
      <c r="K16" s="22">
        <v>58</v>
      </c>
    </row>
    <row r="17" spans="1:11" x14ac:dyDescent="0.2">
      <c r="A17">
        <v>444882790</v>
      </c>
      <c r="B17" s="22">
        <v>0.26083333333333331</v>
      </c>
      <c r="C17" s="22">
        <v>0.31666666666666665</v>
      </c>
      <c r="D17" s="22">
        <v>4</v>
      </c>
      <c r="E17" s="22">
        <v>5</v>
      </c>
      <c r="F17" s="22">
        <v>9</v>
      </c>
      <c r="G17" s="22">
        <v>5</v>
      </c>
      <c r="H17" s="22">
        <v>0.20499999999999999</v>
      </c>
      <c r="I17" s="22">
        <v>5</v>
      </c>
      <c r="J17" s="22">
        <v>67</v>
      </c>
      <c r="K17" s="22">
        <v>5</v>
      </c>
    </row>
    <row r="18" spans="1:11" x14ac:dyDescent="0.2">
      <c r="A18">
        <v>112085131</v>
      </c>
      <c r="B18" s="22">
        <v>0.20041666666666666</v>
      </c>
      <c r="C18" s="22">
        <v>0.15333333333333332</v>
      </c>
      <c r="D18" s="22">
        <v>0</v>
      </c>
      <c r="E18" s="22">
        <v>13</v>
      </c>
      <c r="F18" s="22">
        <v>4</v>
      </c>
      <c r="G18" s="22">
        <v>13</v>
      </c>
      <c r="H18" s="22">
        <v>0.2475</v>
      </c>
      <c r="I18" s="22">
        <v>13</v>
      </c>
      <c r="J18" s="22">
        <v>60</v>
      </c>
      <c r="K18" s="22">
        <v>13</v>
      </c>
    </row>
    <row r="19" spans="1:11" x14ac:dyDescent="0.2">
      <c r="A19">
        <v>588642518</v>
      </c>
      <c r="B19" s="22">
        <v>0.75583333333333347</v>
      </c>
      <c r="C19" s="22">
        <v>0.62666666666666671</v>
      </c>
      <c r="D19" s="22">
        <v>0</v>
      </c>
      <c r="E19" s="22">
        <v>94</v>
      </c>
      <c r="F19" s="22">
        <v>0</v>
      </c>
      <c r="G19" s="22">
        <v>94</v>
      </c>
      <c r="H19" s="22">
        <v>0.88500000000000012</v>
      </c>
      <c r="I19" s="22">
        <v>94</v>
      </c>
      <c r="J19" s="22">
        <v>72</v>
      </c>
      <c r="K19" s="22">
        <v>94</v>
      </c>
    </row>
    <row r="20" spans="1:11" x14ac:dyDescent="0.2">
      <c r="A20">
        <v>414520736</v>
      </c>
      <c r="B20" s="22">
        <v>0.6875</v>
      </c>
      <c r="C20" s="22">
        <v>0.74</v>
      </c>
      <c r="D20" s="22">
        <v>1</v>
      </c>
      <c r="E20" s="22">
        <v>81</v>
      </c>
      <c r="F20" s="22">
        <v>10</v>
      </c>
      <c r="G20" s="22">
        <v>81</v>
      </c>
      <c r="H20" s="22">
        <v>0.63500000000000001</v>
      </c>
      <c r="I20" s="22">
        <v>81</v>
      </c>
      <c r="J20" s="22">
        <v>11</v>
      </c>
      <c r="K20" s="22">
        <v>81</v>
      </c>
    </row>
    <row r="21" spans="1:11" x14ac:dyDescent="0.2">
      <c r="A21">
        <v>356558346</v>
      </c>
      <c r="B21" s="22">
        <v>0.49208333333333337</v>
      </c>
      <c r="C21" s="22">
        <v>0.53666666666666674</v>
      </c>
      <c r="D21" s="22">
        <v>3</v>
      </c>
      <c r="E21" s="22">
        <v>43</v>
      </c>
      <c r="F21" s="22">
        <v>9</v>
      </c>
      <c r="G21" s="22">
        <v>43</v>
      </c>
      <c r="H21" s="22">
        <v>0.44749999999999995</v>
      </c>
      <c r="I21" s="22">
        <v>43</v>
      </c>
      <c r="J21" s="22">
        <v>50</v>
      </c>
      <c r="K21" s="22">
        <v>43</v>
      </c>
    </row>
    <row r="22" spans="1:11" x14ac:dyDescent="0.2">
      <c r="A22">
        <v>970698993</v>
      </c>
      <c r="B22" s="22">
        <v>0.87041666666666662</v>
      </c>
      <c r="C22" s="22">
        <v>0.83333333333333337</v>
      </c>
      <c r="D22" s="22">
        <v>2</v>
      </c>
      <c r="E22" s="22">
        <v>95</v>
      </c>
      <c r="F22" s="22">
        <v>8</v>
      </c>
      <c r="G22" s="22">
        <v>95</v>
      </c>
      <c r="H22" s="22">
        <v>0.90749999999999997</v>
      </c>
      <c r="I22" s="22">
        <v>95</v>
      </c>
      <c r="J22" s="22">
        <v>78</v>
      </c>
      <c r="K22" s="22">
        <v>95</v>
      </c>
    </row>
    <row r="23" spans="1:11" x14ac:dyDescent="0.2">
      <c r="A23">
        <v>633537205</v>
      </c>
      <c r="B23" s="22">
        <v>0.32541666666666669</v>
      </c>
      <c r="C23" s="22">
        <v>0.27333333333333332</v>
      </c>
      <c r="D23" s="22">
        <v>1</v>
      </c>
      <c r="E23" s="22">
        <v>36</v>
      </c>
      <c r="F23" s="22">
        <v>0</v>
      </c>
      <c r="G23" s="22">
        <v>36</v>
      </c>
      <c r="H23" s="22">
        <v>0.37750000000000006</v>
      </c>
      <c r="I23" s="22">
        <v>36</v>
      </c>
      <c r="J23" s="22">
        <v>43</v>
      </c>
      <c r="K23" s="22">
        <v>36</v>
      </c>
    </row>
    <row r="24" spans="1:11" x14ac:dyDescent="0.2">
      <c r="A24">
        <v>534292868</v>
      </c>
      <c r="B24" s="22">
        <v>0.82250000000000001</v>
      </c>
      <c r="C24" s="22">
        <v>0.75</v>
      </c>
      <c r="D24" s="22">
        <v>2</v>
      </c>
      <c r="E24" s="22">
        <v>90</v>
      </c>
      <c r="F24" s="22">
        <v>5</v>
      </c>
      <c r="G24" s="22">
        <v>90</v>
      </c>
      <c r="H24" s="22">
        <v>0.89499999999999991</v>
      </c>
      <c r="I24" s="22">
        <v>90</v>
      </c>
      <c r="J24" s="22">
        <v>88</v>
      </c>
      <c r="K24" s="22">
        <v>90</v>
      </c>
    </row>
    <row r="25" spans="1:11" x14ac:dyDescent="0.2">
      <c r="A25">
        <v>816787809</v>
      </c>
      <c r="B25" s="22">
        <v>0.51791666666666658</v>
      </c>
      <c r="C25" s="22">
        <v>0.61333333333333329</v>
      </c>
      <c r="D25" s="22">
        <v>5</v>
      </c>
      <c r="E25" s="22">
        <v>47</v>
      </c>
      <c r="F25" s="22">
        <v>8</v>
      </c>
      <c r="G25" s="22">
        <v>47</v>
      </c>
      <c r="H25" s="22">
        <v>0.42249999999999999</v>
      </c>
      <c r="I25" s="22">
        <v>47</v>
      </c>
      <c r="J25" s="22">
        <v>28</v>
      </c>
      <c r="K25" s="22">
        <v>47</v>
      </c>
    </row>
    <row r="26" spans="1:11" x14ac:dyDescent="0.2">
      <c r="A26">
        <v>220052551</v>
      </c>
      <c r="B26" s="22">
        <v>0.64</v>
      </c>
      <c r="C26" s="22">
        <v>0.71000000000000008</v>
      </c>
      <c r="D26" s="22">
        <v>3</v>
      </c>
      <c r="E26" s="22">
        <v>74</v>
      </c>
      <c r="F26" s="22">
        <v>7</v>
      </c>
      <c r="G26" s="22">
        <v>74</v>
      </c>
      <c r="H26" s="22">
        <v>0.57000000000000006</v>
      </c>
      <c r="I26" s="22">
        <v>74</v>
      </c>
      <c r="J26" s="22">
        <v>6</v>
      </c>
      <c r="K26" s="22">
        <v>74</v>
      </c>
    </row>
    <row r="27" spans="1:11" x14ac:dyDescent="0.2">
      <c r="A27">
        <v>858571733</v>
      </c>
      <c r="B27" s="22">
        <v>0.29875000000000002</v>
      </c>
      <c r="C27" s="22">
        <v>0.26</v>
      </c>
      <c r="D27" s="22">
        <v>1</v>
      </c>
      <c r="E27" s="22">
        <v>19</v>
      </c>
      <c r="F27" s="22">
        <v>6</v>
      </c>
      <c r="G27" s="22">
        <v>19</v>
      </c>
      <c r="H27" s="22">
        <v>0.33750000000000002</v>
      </c>
      <c r="I27" s="22">
        <v>19</v>
      </c>
      <c r="J27" s="22">
        <v>78</v>
      </c>
      <c r="K27" s="22">
        <v>19</v>
      </c>
    </row>
    <row r="28" spans="1:11" x14ac:dyDescent="0.2">
      <c r="A28">
        <v>363436152</v>
      </c>
      <c r="B28" s="22">
        <v>0.26041666666666663</v>
      </c>
      <c r="C28" s="22">
        <v>0.32333333333333331</v>
      </c>
      <c r="D28" s="22">
        <v>2</v>
      </c>
      <c r="E28" s="22">
        <v>21</v>
      </c>
      <c r="F28" s="22">
        <v>7</v>
      </c>
      <c r="G28" s="22">
        <v>21</v>
      </c>
      <c r="H28" s="22">
        <v>0.19750000000000001</v>
      </c>
      <c r="I28" s="22">
        <v>21</v>
      </c>
      <c r="J28" s="22">
        <v>16</v>
      </c>
      <c r="K28" s="22">
        <v>21</v>
      </c>
    </row>
    <row r="29" spans="1:11" x14ac:dyDescent="0.2">
      <c r="A29">
        <v>393495083</v>
      </c>
      <c r="B29" s="22">
        <v>0.79749999999999999</v>
      </c>
      <c r="C29" s="22">
        <v>0.74</v>
      </c>
      <c r="D29" s="22">
        <v>1</v>
      </c>
      <c r="E29" s="22">
        <v>91</v>
      </c>
      <c r="F29" s="22">
        <v>6</v>
      </c>
      <c r="G29" s="22">
        <v>91</v>
      </c>
      <c r="H29" s="22">
        <v>0.85500000000000009</v>
      </c>
      <c r="I29" s="22">
        <v>91</v>
      </c>
      <c r="J29" s="22">
        <v>69</v>
      </c>
      <c r="K29" s="22">
        <v>91</v>
      </c>
    </row>
    <row r="30" spans="1:11" x14ac:dyDescent="0.2">
      <c r="A30">
        <v>769635714</v>
      </c>
      <c r="B30" s="22">
        <v>0.82541666666666669</v>
      </c>
      <c r="C30" s="22">
        <v>0.80333333333333334</v>
      </c>
      <c r="D30" s="22">
        <v>2</v>
      </c>
      <c r="E30" s="22">
        <v>88</v>
      </c>
      <c r="F30" s="22">
        <v>9</v>
      </c>
      <c r="G30" s="22">
        <v>88</v>
      </c>
      <c r="H30" s="22">
        <v>0.84750000000000014</v>
      </c>
      <c r="I30" s="22">
        <v>88</v>
      </c>
      <c r="J30" s="22">
        <v>75</v>
      </c>
      <c r="K30" s="22">
        <v>88</v>
      </c>
    </row>
    <row r="31" spans="1:11" x14ac:dyDescent="0.2">
      <c r="A31">
        <v>373048949</v>
      </c>
      <c r="B31" s="22">
        <v>0.7433333333333334</v>
      </c>
      <c r="C31" s="22">
        <v>0.76666666666666672</v>
      </c>
      <c r="D31" s="22">
        <v>2</v>
      </c>
      <c r="E31" s="22">
        <v>80</v>
      </c>
      <c r="F31" s="22">
        <v>10</v>
      </c>
      <c r="G31" s="22">
        <v>80</v>
      </c>
      <c r="H31" s="22">
        <v>0.72</v>
      </c>
      <c r="I31" s="22">
        <v>80</v>
      </c>
      <c r="J31" s="22">
        <v>48</v>
      </c>
      <c r="K31" s="22">
        <v>80</v>
      </c>
    </row>
    <row r="32" spans="1:11" x14ac:dyDescent="0.2">
      <c r="A32">
        <v>357061292</v>
      </c>
      <c r="B32" s="22">
        <v>0.20458333333333334</v>
      </c>
      <c r="C32" s="22">
        <v>0.31666666666666665</v>
      </c>
      <c r="D32" s="22">
        <v>5</v>
      </c>
      <c r="E32" s="22">
        <v>10</v>
      </c>
      <c r="F32" s="22">
        <v>5</v>
      </c>
      <c r="G32" s="22">
        <v>10</v>
      </c>
      <c r="H32" s="22">
        <v>9.2499999999999999E-2</v>
      </c>
      <c r="I32" s="22">
        <v>10</v>
      </c>
      <c r="J32" s="22">
        <v>7</v>
      </c>
      <c r="K32" s="22">
        <v>10</v>
      </c>
    </row>
    <row r="33" spans="1:11" x14ac:dyDescent="0.2">
      <c r="A33">
        <v>837310284</v>
      </c>
      <c r="B33" s="22">
        <v>0.3520833333333333</v>
      </c>
      <c r="C33" s="22">
        <v>0.36666666666666664</v>
      </c>
      <c r="D33" s="22">
        <v>0</v>
      </c>
      <c r="E33" s="22">
        <v>45</v>
      </c>
      <c r="F33" s="22">
        <v>4</v>
      </c>
      <c r="G33" s="22">
        <v>45</v>
      </c>
      <c r="H33" s="22">
        <v>0.33750000000000002</v>
      </c>
      <c r="I33" s="22">
        <v>45</v>
      </c>
      <c r="J33" s="22">
        <v>0</v>
      </c>
      <c r="K33" s="22">
        <v>45</v>
      </c>
    </row>
    <row r="34" spans="1:11" x14ac:dyDescent="0.2">
      <c r="A34">
        <v>815854164</v>
      </c>
      <c r="B34" s="22">
        <v>0.79458333333333331</v>
      </c>
      <c r="C34" s="22">
        <v>0.67666666666666664</v>
      </c>
      <c r="D34" s="22">
        <v>0</v>
      </c>
      <c r="E34" s="22">
        <v>89</v>
      </c>
      <c r="F34" s="22">
        <v>5</v>
      </c>
      <c r="G34" s="22">
        <v>89</v>
      </c>
      <c r="H34" s="22">
        <v>0.91249999999999998</v>
      </c>
      <c r="I34" s="22">
        <v>89</v>
      </c>
      <c r="J34" s="22">
        <v>98</v>
      </c>
      <c r="K34" s="22">
        <v>89</v>
      </c>
    </row>
    <row r="35" spans="1:11" x14ac:dyDescent="0.2">
      <c r="A35">
        <v>315378369</v>
      </c>
      <c r="B35" s="22">
        <v>0.20083333333333336</v>
      </c>
      <c r="C35" s="22">
        <v>0.19666666666666668</v>
      </c>
      <c r="D35" s="22">
        <v>2</v>
      </c>
      <c r="E35" s="22">
        <v>12</v>
      </c>
      <c r="F35" s="22">
        <v>3</v>
      </c>
      <c r="G35" s="22">
        <v>12</v>
      </c>
      <c r="H35" s="22">
        <v>0.20500000000000002</v>
      </c>
      <c r="I35" s="22">
        <v>12</v>
      </c>
      <c r="J35" s="22">
        <v>46</v>
      </c>
      <c r="K35" s="22">
        <v>12</v>
      </c>
    </row>
    <row r="36" spans="1:11" x14ac:dyDescent="0.2">
      <c r="A36">
        <v>564410540</v>
      </c>
      <c r="B36" s="22">
        <v>0.27958333333333335</v>
      </c>
      <c r="C36" s="22">
        <v>0.30666666666666664</v>
      </c>
      <c r="D36" s="22">
        <v>2</v>
      </c>
      <c r="E36" s="22">
        <v>21</v>
      </c>
      <c r="F36" s="22">
        <v>6</v>
      </c>
      <c r="G36" s="22">
        <v>21</v>
      </c>
      <c r="H36" s="22">
        <v>0.25250000000000006</v>
      </c>
      <c r="I36" s="22">
        <v>21</v>
      </c>
      <c r="J36" s="22">
        <v>38</v>
      </c>
      <c r="K36" s="22">
        <v>21</v>
      </c>
    </row>
    <row r="37" spans="1:11" x14ac:dyDescent="0.2">
      <c r="A37">
        <v>126539887</v>
      </c>
      <c r="B37" s="22">
        <v>0.28625</v>
      </c>
      <c r="C37" s="22">
        <v>0.28000000000000003</v>
      </c>
      <c r="D37" s="22">
        <v>3</v>
      </c>
      <c r="E37" s="22">
        <v>7</v>
      </c>
      <c r="F37" s="22">
        <v>8</v>
      </c>
      <c r="G37" s="22">
        <v>7</v>
      </c>
      <c r="H37" s="22">
        <v>0.29250000000000004</v>
      </c>
      <c r="I37" s="22">
        <v>7</v>
      </c>
      <c r="J37" s="22">
        <v>96</v>
      </c>
      <c r="K37" s="22">
        <v>7</v>
      </c>
    </row>
    <row r="38" spans="1:11" x14ac:dyDescent="0.2">
      <c r="A38">
        <v>563937624</v>
      </c>
      <c r="B38" s="22">
        <v>0.28416666666666668</v>
      </c>
      <c r="C38" s="22">
        <v>0.28333333333333333</v>
      </c>
      <c r="D38" s="22">
        <v>4</v>
      </c>
      <c r="E38" s="22">
        <v>5</v>
      </c>
      <c r="F38" s="22">
        <v>7</v>
      </c>
      <c r="G38" s="22">
        <v>5</v>
      </c>
      <c r="H38" s="22">
        <v>0.28500000000000003</v>
      </c>
      <c r="I38" s="22">
        <v>5</v>
      </c>
      <c r="J38" s="22">
        <v>99</v>
      </c>
      <c r="K38" s="22">
        <v>5</v>
      </c>
    </row>
    <row r="39" spans="1:11" x14ac:dyDescent="0.2">
      <c r="A39">
        <v>684291511</v>
      </c>
      <c r="B39" s="22">
        <v>0.39791666666666664</v>
      </c>
      <c r="C39" s="22">
        <v>0.46333333333333326</v>
      </c>
      <c r="D39" s="22">
        <v>2</v>
      </c>
      <c r="E39" s="22">
        <v>37</v>
      </c>
      <c r="F39" s="22">
        <v>9</v>
      </c>
      <c r="G39" s="22">
        <v>37</v>
      </c>
      <c r="H39" s="22">
        <v>0.33250000000000002</v>
      </c>
      <c r="I39" s="22">
        <v>37</v>
      </c>
      <c r="J39" s="22">
        <v>22</v>
      </c>
      <c r="K39" s="22">
        <v>37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H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0" bestFit="1" customWidth="1"/>
    <col min="2" max="2" width="4.5" bestFit="1" customWidth="1"/>
    <col min="3" max="3" width="68.5" bestFit="1" customWidth="1"/>
    <col min="4" max="4" width="5.5" bestFit="1" customWidth="1"/>
    <col min="5" max="5" width="68.5" bestFit="1" customWidth="1"/>
    <col min="6" max="6" width="5.5" bestFit="1" customWidth="1"/>
    <col min="7" max="7" width="6.5" bestFit="1" customWidth="1"/>
    <col min="8" max="8" width="68.5" bestFit="1" customWidth="1"/>
    <col min="9" max="14" width="5.5" bestFit="1" customWidth="1"/>
    <col min="15" max="15" width="6" bestFit="1" customWidth="1"/>
    <col min="16" max="20" width="5.5" bestFit="1" customWidth="1"/>
    <col min="21" max="21" width="5.5" customWidth="1"/>
    <col min="22" max="22" width="4.5" bestFit="1" customWidth="1"/>
    <col min="23" max="23" width="7.83203125" customWidth="1"/>
    <col min="24" max="24" width="3.6640625" bestFit="1" customWidth="1"/>
    <col min="25" max="25" width="2.1640625" bestFit="1" customWidth="1"/>
  </cols>
  <sheetData>
    <row r="1" spans="1:8" ht="43.5" customHeight="1" x14ac:dyDescent="0.2">
      <c r="A1" t="s">
        <v>59</v>
      </c>
      <c r="C1" t="s">
        <v>655</v>
      </c>
      <c r="E1" t="s">
        <v>656</v>
      </c>
    </row>
    <row r="2" spans="1:8" x14ac:dyDescent="0.2">
      <c r="D2" t="s">
        <v>65</v>
      </c>
      <c r="F2" t="s">
        <v>14</v>
      </c>
      <c r="G2" t="s">
        <v>16</v>
      </c>
      <c r="H2" t="s">
        <v>68</v>
      </c>
    </row>
    <row r="3" spans="1:8" x14ac:dyDescent="0.2">
      <c r="D3">
        <v>100</v>
      </c>
      <c r="F3">
        <v>100</v>
      </c>
      <c r="G3">
        <v>100</v>
      </c>
      <c r="H3">
        <v>10</v>
      </c>
    </row>
    <row r="4" spans="1:8" x14ac:dyDescent="0.2">
      <c r="D4">
        <v>0.1</v>
      </c>
      <c r="F4">
        <v>0.05</v>
      </c>
      <c r="G4">
        <v>0.05</v>
      </c>
      <c r="H4">
        <v>0.5</v>
      </c>
    </row>
    <row r="5" spans="1:8" x14ac:dyDescent="0.2">
      <c r="A5">
        <v>598829620</v>
      </c>
      <c r="B5" s="22">
        <v>0.19166666666666665</v>
      </c>
      <c r="C5" s="22">
        <v>0.15</v>
      </c>
      <c r="D5" s="22">
        <v>15</v>
      </c>
      <c r="E5" s="22">
        <v>0.23333333333333334</v>
      </c>
      <c r="F5" s="22">
        <v>15</v>
      </c>
      <c r="G5" s="22">
        <v>55</v>
      </c>
      <c r="H5" s="22">
        <v>0</v>
      </c>
    </row>
    <row r="6" spans="1:8" x14ac:dyDescent="0.2">
      <c r="A6">
        <v>684014860</v>
      </c>
      <c r="B6" s="22">
        <v>0.42166666666666669</v>
      </c>
      <c r="C6" s="22">
        <v>0.56000000000000005</v>
      </c>
      <c r="D6" s="22">
        <v>56</v>
      </c>
      <c r="E6" s="22">
        <v>0.28333333333333333</v>
      </c>
      <c r="F6" s="22">
        <v>56</v>
      </c>
      <c r="G6" s="22">
        <v>9</v>
      </c>
      <c r="H6" s="22">
        <v>2</v>
      </c>
    </row>
    <row r="7" spans="1:8" x14ac:dyDescent="0.2">
      <c r="A7">
        <v>843228181</v>
      </c>
      <c r="B7" s="22">
        <v>0.52166666666666672</v>
      </c>
      <c r="C7" s="22">
        <v>0.6100000000000001</v>
      </c>
      <c r="D7" s="22">
        <v>61</v>
      </c>
      <c r="E7" s="22">
        <v>0.43333333333333335</v>
      </c>
      <c r="F7" s="22">
        <v>61</v>
      </c>
      <c r="G7" s="22">
        <v>19</v>
      </c>
      <c r="H7" s="22">
        <v>5</v>
      </c>
    </row>
    <row r="8" spans="1:8" x14ac:dyDescent="0.2">
      <c r="A8">
        <v>820549378</v>
      </c>
      <c r="B8" s="22">
        <v>0.39500000000000002</v>
      </c>
      <c r="C8" s="22">
        <v>0.32</v>
      </c>
      <c r="D8" s="22">
        <v>32</v>
      </c>
      <c r="E8" s="22">
        <v>0.47000000000000003</v>
      </c>
      <c r="F8" s="22">
        <v>32</v>
      </c>
      <c r="G8" s="22">
        <v>79</v>
      </c>
      <c r="H8" s="22">
        <v>3</v>
      </c>
    </row>
    <row r="9" spans="1:8" x14ac:dyDescent="0.2">
      <c r="A9">
        <v>533572169</v>
      </c>
      <c r="B9" s="22">
        <v>0.4966666666666667</v>
      </c>
      <c r="C9" s="22">
        <v>0.3</v>
      </c>
      <c r="D9" s="22">
        <v>30</v>
      </c>
      <c r="E9" s="22">
        <v>0.69333333333333336</v>
      </c>
      <c r="F9" s="22">
        <v>30</v>
      </c>
      <c r="G9" s="22">
        <v>88</v>
      </c>
      <c r="H9" s="22">
        <v>9</v>
      </c>
    </row>
    <row r="10" spans="1:8" x14ac:dyDescent="0.2">
      <c r="A10">
        <v>975325712</v>
      </c>
      <c r="B10" s="22">
        <v>0.505</v>
      </c>
      <c r="C10" s="22">
        <v>0.4</v>
      </c>
      <c r="D10" s="22">
        <v>40</v>
      </c>
      <c r="E10" s="22">
        <v>0.61</v>
      </c>
      <c r="F10" s="22">
        <v>40</v>
      </c>
      <c r="G10" s="22">
        <v>63</v>
      </c>
      <c r="H10" s="22">
        <v>8</v>
      </c>
    </row>
    <row r="11" spans="1:8" x14ac:dyDescent="0.2">
      <c r="A11">
        <v>310082419</v>
      </c>
      <c r="B11" s="22">
        <v>0.21500000000000002</v>
      </c>
      <c r="C11" s="22">
        <v>0.04</v>
      </c>
      <c r="D11" s="22">
        <v>4</v>
      </c>
      <c r="E11" s="22">
        <v>0.39</v>
      </c>
      <c r="F11" s="22">
        <v>4</v>
      </c>
      <c r="G11" s="22">
        <v>83</v>
      </c>
      <c r="H11" s="22">
        <v>3</v>
      </c>
    </row>
    <row r="12" spans="1:8" x14ac:dyDescent="0.2">
      <c r="A12">
        <v>242132470</v>
      </c>
      <c r="B12" s="22">
        <v>0.33166666666666672</v>
      </c>
      <c r="C12" s="22">
        <v>0.11000000000000001</v>
      </c>
      <c r="D12" s="22">
        <v>11</v>
      </c>
      <c r="E12" s="22">
        <v>0.55333333333333334</v>
      </c>
      <c r="F12" s="22">
        <v>11</v>
      </c>
      <c r="G12" s="22">
        <v>55</v>
      </c>
      <c r="H12" s="22">
        <v>10</v>
      </c>
    </row>
    <row r="13" spans="1:8" x14ac:dyDescent="0.2">
      <c r="A13">
        <v>208248363</v>
      </c>
      <c r="B13" s="22">
        <v>0.55333333333333334</v>
      </c>
      <c r="C13" s="22">
        <v>0.51</v>
      </c>
      <c r="D13" s="22">
        <v>51</v>
      </c>
      <c r="E13" s="22">
        <v>0.59666666666666679</v>
      </c>
      <c r="F13" s="22">
        <v>51</v>
      </c>
      <c r="G13" s="22">
        <v>58</v>
      </c>
      <c r="H13" s="22">
        <v>7</v>
      </c>
    </row>
    <row r="14" spans="1:8" x14ac:dyDescent="0.2">
      <c r="A14">
        <v>277055951</v>
      </c>
      <c r="B14" s="22">
        <v>0.4333333333333334</v>
      </c>
      <c r="C14" s="22">
        <v>0.26</v>
      </c>
      <c r="D14" s="22">
        <v>26</v>
      </c>
      <c r="E14" s="22">
        <v>0.6066666666666668</v>
      </c>
      <c r="F14" s="22">
        <v>26</v>
      </c>
      <c r="G14" s="22">
        <v>96</v>
      </c>
      <c r="H14" s="22">
        <v>6</v>
      </c>
    </row>
    <row r="15" spans="1:8" x14ac:dyDescent="0.2">
      <c r="A15">
        <v>902907559</v>
      </c>
      <c r="B15" s="22">
        <v>0.70666666666666667</v>
      </c>
      <c r="C15" s="22">
        <v>0.86</v>
      </c>
      <c r="D15" s="22">
        <v>86</v>
      </c>
      <c r="E15" s="22">
        <v>0.55333333333333334</v>
      </c>
      <c r="F15" s="22">
        <v>86</v>
      </c>
      <c r="G15" s="22">
        <v>30</v>
      </c>
      <c r="H15" s="22">
        <v>5</v>
      </c>
    </row>
    <row r="16" spans="1:8" x14ac:dyDescent="0.2">
      <c r="A16">
        <v>528297980</v>
      </c>
      <c r="B16" s="22">
        <v>0.65</v>
      </c>
      <c r="C16" s="22">
        <v>0.58000000000000007</v>
      </c>
      <c r="D16" s="22">
        <v>58</v>
      </c>
      <c r="E16" s="22">
        <v>0.72000000000000008</v>
      </c>
      <c r="F16" s="22">
        <v>58</v>
      </c>
      <c r="G16" s="22">
        <v>78</v>
      </c>
      <c r="H16" s="22">
        <v>8</v>
      </c>
    </row>
    <row r="17" spans="1:8" x14ac:dyDescent="0.2">
      <c r="A17">
        <v>444882790</v>
      </c>
      <c r="B17" s="22">
        <v>0.21833333333333332</v>
      </c>
      <c r="C17" s="22">
        <v>0.05</v>
      </c>
      <c r="D17" s="22">
        <v>5</v>
      </c>
      <c r="E17" s="22">
        <v>0.38666666666666666</v>
      </c>
      <c r="F17" s="22">
        <v>5</v>
      </c>
      <c r="G17" s="22">
        <v>21</v>
      </c>
      <c r="H17" s="22">
        <v>9</v>
      </c>
    </row>
    <row r="18" spans="1:8" x14ac:dyDescent="0.2">
      <c r="A18">
        <v>112085131</v>
      </c>
      <c r="B18" s="22">
        <v>0.26833333333333337</v>
      </c>
      <c r="C18" s="22">
        <v>0.13</v>
      </c>
      <c r="D18" s="22">
        <v>13</v>
      </c>
      <c r="E18" s="22">
        <v>0.40666666666666668</v>
      </c>
      <c r="F18" s="22">
        <v>13</v>
      </c>
      <c r="G18" s="22">
        <v>69</v>
      </c>
      <c r="H18" s="22">
        <v>4</v>
      </c>
    </row>
    <row r="19" spans="1:8" x14ac:dyDescent="0.2">
      <c r="A19">
        <v>588642518</v>
      </c>
      <c r="B19" s="22">
        <v>0.67166666666666675</v>
      </c>
      <c r="C19" s="22">
        <v>0.94000000000000006</v>
      </c>
      <c r="D19" s="22">
        <v>94</v>
      </c>
      <c r="E19" s="22">
        <v>0.40333333333333338</v>
      </c>
      <c r="F19" s="22">
        <v>94</v>
      </c>
      <c r="G19" s="22">
        <v>27</v>
      </c>
      <c r="H19" s="22">
        <v>0</v>
      </c>
    </row>
    <row r="20" spans="1:8" x14ac:dyDescent="0.2">
      <c r="A20">
        <v>414520736</v>
      </c>
      <c r="B20" s="22">
        <v>0.81333333333333335</v>
      </c>
      <c r="C20" s="22">
        <v>0.80999999999999994</v>
      </c>
      <c r="D20" s="22">
        <v>81</v>
      </c>
      <c r="E20" s="22">
        <v>0.81666666666666665</v>
      </c>
      <c r="F20" s="22">
        <v>81</v>
      </c>
      <c r="G20" s="22">
        <v>64</v>
      </c>
      <c r="H20" s="22">
        <v>10</v>
      </c>
    </row>
    <row r="21" spans="1:8" x14ac:dyDescent="0.2">
      <c r="A21">
        <v>356558346</v>
      </c>
      <c r="B21" s="22">
        <v>0.51333333333333331</v>
      </c>
      <c r="C21" s="22">
        <v>0.43</v>
      </c>
      <c r="D21" s="22">
        <v>43</v>
      </c>
      <c r="E21" s="22">
        <v>0.59666666666666657</v>
      </c>
      <c r="F21" s="22">
        <v>43</v>
      </c>
      <c r="G21" s="22">
        <v>46</v>
      </c>
      <c r="H21" s="22">
        <v>9</v>
      </c>
    </row>
    <row r="22" spans="1:8" x14ac:dyDescent="0.2">
      <c r="A22">
        <v>970698993</v>
      </c>
      <c r="B22" s="22">
        <v>0.79166666666666663</v>
      </c>
      <c r="C22" s="22">
        <v>0.95</v>
      </c>
      <c r="D22" s="22">
        <v>95</v>
      </c>
      <c r="E22" s="22">
        <v>0.6333333333333333</v>
      </c>
      <c r="F22" s="22">
        <v>95</v>
      </c>
      <c r="G22" s="22">
        <v>15</v>
      </c>
      <c r="H22" s="22">
        <v>8</v>
      </c>
    </row>
    <row r="23" spans="1:8" x14ac:dyDescent="0.2">
      <c r="A23">
        <v>633537205</v>
      </c>
      <c r="B23" s="22">
        <v>0.36499999999999999</v>
      </c>
      <c r="C23" s="22">
        <v>0.36</v>
      </c>
      <c r="D23" s="22">
        <v>36</v>
      </c>
      <c r="E23" s="22">
        <v>0.37</v>
      </c>
      <c r="F23" s="22">
        <v>36</v>
      </c>
      <c r="G23" s="22">
        <v>75</v>
      </c>
      <c r="H23" s="22">
        <v>0</v>
      </c>
    </row>
    <row r="24" spans="1:8" x14ac:dyDescent="0.2">
      <c r="A24">
        <v>534292868</v>
      </c>
      <c r="B24" s="22">
        <v>0.70333333333333337</v>
      </c>
      <c r="C24" s="22">
        <v>0.9</v>
      </c>
      <c r="D24" s="22">
        <v>90</v>
      </c>
      <c r="E24" s="22">
        <v>0.5066666666666666</v>
      </c>
      <c r="F24" s="22">
        <v>90</v>
      </c>
      <c r="G24" s="22">
        <v>12</v>
      </c>
      <c r="H24" s="22">
        <v>5</v>
      </c>
    </row>
    <row r="25" spans="1:8" x14ac:dyDescent="0.2">
      <c r="A25">
        <v>816787809</v>
      </c>
      <c r="B25" s="22">
        <v>0.51</v>
      </c>
      <c r="C25" s="22">
        <v>0.47000000000000003</v>
      </c>
      <c r="D25" s="22">
        <v>47</v>
      </c>
      <c r="E25" s="22">
        <v>0.55000000000000004</v>
      </c>
      <c r="F25" s="22">
        <v>47</v>
      </c>
      <c r="G25" s="22">
        <v>38</v>
      </c>
      <c r="H25" s="22">
        <v>8</v>
      </c>
    </row>
    <row r="26" spans="1:8" x14ac:dyDescent="0.2">
      <c r="A26">
        <v>220052551</v>
      </c>
      <c r="B26" s="22">
        <v>0.76</v>
      </c>
      <c r="C26" s="22">
        <v>0.74</v>
      </c>
      <c r="D26" s="22">
        <v>74</v>
      </c>
      <c r="E26" s="22">
        <v>0.77999999999999992</v>
      </c>
      <c r="F26" s="22">
        <v>74</v>
      </c>
      <c r="G26" s="22">
        <v>90</v>
      </c>
      <c r="H26" s="22">
        <v>7</v>
      </c>
    </row>
    <row r="27" spans="1:8" x14ac:dyDescent="0.2">
      <c r="A27">
        <v>858571733</v>
      </c>
      <c r="B27" s="22">
        <v>0.27666666666666667</v>
      </c>
      <c r="C27" s="22">
        <v>0.19</v>
      </c>
      <c r="D27" s="22">
        <v>19</v>
      </c>
      <c r="E27" s="22">
        <v>0.36333333333333334</v>
      </c>
      <c r="F27" s="22">
        <v>19</v>
      </c>
      <c r="G27" s="22">
        <v>30</v>
      </c>
      <c r="H27" s="22">
        <v>6</v>
      </c>
    </row>
    <row r="28" spans="1:8" x14ac:dyDescent="0.2">
      <c r="A28">
        <v>363436152</v>
      </c>
      <c r="B28" s="22">
        <v>0.36499999999999999</v>
      </c>
      <c r="C28" s="22">
        <v>0.21000000000000002</v>
      </c>
      <c r="D28" s="22">
        <v>21</v>
      </c>
      <c r="E28" s="22">
        <v>0.52</v>
      </c>
      <c r="F28" s="22">
        <v>21</v>
      </c>
      <c r="G28" s="22">
        <v>65</v>
      </c>
      <c r="H28" s="22">
        <v>7</v>
      </c>
    </row>
    <row r="29" spans="1:8" x14ac:dyDescent="0.2">
      <c r="A29">
        <v>393495083</v>
      </c>
      <c r="B29" s="22">
        <v>0.76333333333333331</v>
      </c>
      <c r="C29" s="22">
        <v>0.90999999999999992</v>
      </c>
      <c r="D29" s="22">
        <v>91</v>
      </c>
      <c r="E29" s="22">
        <v>0.6166666666666667</v>
      </c>
      <c r="F29" s="22">
        <v>91</v>
      </c>
      <c r="G29" s="22">
        <v>34</v>
      </c>
      <c r="H29" s="22">
        <v>6</v>
      </c>
    </row>
    <row r="30" spans="1:8" x14ac:dyDescent="0.2">
      <c r="A30">
        <v>769635714</v>
      </c>
      <c r="B30" s="22">
        <v>0.76833333333333342</v>
      </c>
      <c r="C30" s="22">
        <v>0.88000000000000012</v>
      </c>
      <c r="D30" s="22">
        <v>88</v>
      </c>
      <c r="E30" s="22">
        <v>0.65666666666666673</v>
      </c>
      <c r="F30" s="22">
        <v>88</v>
      </c>
      <c r="G30" s="22">
        <v>19</v>
      </c>
      <c r="H30" s="22">
        <v>9</v>
      </c>
    </row>
    <row r="31" spans="1:8" x14ac:dyDescent="0.2">
      <c r="A31">
        <v>373048949</v>
      </c>
      <c r="B31" s="22">
        <v>0.7383333333333334</v>
      </c>
      <c r="C31" s="22">
        <v>0.8</v>
      </c>
      <c r="D31" s="22">
        <v>80</v>
      </c>
      <c r="E31" s="22">
        <v>0.67666666666666664</v>
      </c>
      <c r="F31" s="22">
        <v>80</v>
      </c>
      <c r="G31" s="22">
        <v>23</v>
      </c>
      <c r="H31" s="22">
        <v>10</v>
      </c>
    </row>
    <row r="32" spans="1:8" x14ac:dyDescent="0.2">
      <c r="A32">
        <v>357061292</v>
      </c>
      <c r="B32" s="22">
        <v>0.29333333333333333</v>
      </c>
      <c r="C32" s="22">
        <v>0.1</v>
      </c>
      <c r="D32" s="22">
        <v>10</v>
      </c>
      <c r="E32" s="22">
        <v>0.48666666666666664</v>
      </c>
      <c r="F32" s="22">
        <v>10</v>
      </c>
      <c r="G32" s="22">
        <v>86</v>
      </c>
      <c r="H32" s="22">
        <v>5</v>
      </c>
    </row>
    <row r="33" spans="1:8" x14ac:dyDescent="0.2">
      <c r="A33">
        <v>837310284</v>
      </c>
      <c r="B33" s="22">
        <v>0.44333333333333336</v>
      </c>
      <c r="C33" s="22">
        <v>0.45</v>
      </c>
      <c r="D33" s="22">
        <v>45</v>
      </c>
      <c r="E33" s="22">
        <v>0.4366666666666667</v>
      </c>
      <c r="F33" s="22">
        <v>45</v>
      </c>
      <c r="G33" s="22">
        <v>46</v>
      </c>
      <c r="H33" s="22">
        <v>4</v>
      </c>
    </row>
    <row r="34" spans="1:8" x14ac:dyDescent="0.2">
      <c r="A34">
        <v>815854164</v>
      </c>
      <c r="B34" s="22">
        <v>0.68</v>
      </c>
      <c r="C34" s="22">
        <v>0.89</v>
      </c>
      <c r="D34" s="22">
        <v>89</v>
      </c>
      <c r="E34" s="22">
        <v>0.47</v>
      </c>
      <c r="F34" s="22">
        <v>89</v>
      </c>
      <c r="G34" s="22">
        <v>2</v>
      </c>
      <c r="H34" s="22">
        <v>5</v>
      </c>
    </row>
    <row r="35" spans="1:8" x14ac:dyDescent="0.2">
      <c r="A35">
        <v>315378369</v>
      </c>
      <c r="B35" s="22">
        <v>0.1816666666666667</v>
      </c>
      <c r="C35" s="22">
        <v>0.12000000000000002</v>
      </c>
      <c r="D35" s="22">
        <v>12</v>
      </c>
      <c r="E35" s="22">
        <v>0.24333333333333335</v>
      </c>
      <c r="F35" s="22">
        <v>12</v>
      </c>
      <c r="G35" s="22">
        <v>31</v>
      </c>
      <c r="H35" s="22">
        <v>3</v>
      </c>
    </row>
    <row r="36" spans="1:8" x14ac:dyDescent="0.2">
      <c r="A36">
        <v>564410540</v>
      </c>
      <c r="B36" s="22">
        <v>0.34666666666666668</v>
      </c>
      <c r="C36" s="22">
        <v>0.21000000000000002</v>
      </c>
      <c r="D36" s="22">
        <v>21</v>
      </c>
      <c r="E36" s="22">
        <v>0.48333333333333334</v>
      </c>
      <c r="F36" s="22">
        <v>21</v>
      </c>
      <c r="G36" s="22">
        <v>64</v>
      </c>
      <c r="H36" s="22">
        <v>6</v>
      </c>
    </row>
    <row r="37" spans="1:8" x14ac:dyDescent="0.2">
      <c r="A37">
        <v>126539887</v>
      </c>
      <c r="B37" s="22">
        <v>0.32</v>
      </c>
      <c r="C37" s="22">
        <v>7.0000000000000007E-2</v>
      </c>
      <c r="D37" s="22">
        <v>7</v>
      </c>
      <c r="E37" s="22">
        <v>0.57000000000000006</v>
      </c>
      <c r="F37" s="22">
        <v>7</v>
      </c>
      <c r="G37" s="22">
        <v>84</v>
      </c>
      <c r="H37" s="22">
        <v>8</v>
      </c>
    </row>
    <row r="38" spans="1:8" x14ac:dyDescent="0.2">
      <c r="A38">
        <v>563937624</v>
      </c>
      <c r="B38" s="22">
        <v>0.3116666666666667</v>
      </c>
      <c r="C38" s="22">
        <v>0.05</v>
      </c>
      <c r="D38" s="22">
        <v>5</v>
      </c>
      <c r="E38" s="22">
        <v>0.57333333333333347</v>
      </c>
      <c r="F38" s="22">
        <v>5</v>
      </c>
      <c r="G38" s="22">
        <v>97</v>
      </c>
      <c r="H38" s="22">
        <v>7</v>
      </c>
    </row>
    <row r="39" spans="1:8" x14ac:dyDescent="0.2">
      <c r="A39">
        <v>684291511</v>
      </c>
      <c r="B39" s="22">
        <v>0.53333333333333333</v>
      </c>
      <c r="C39" s="22">
        <v>0.37</v>
      </c>
      <c r="D39" s="22">
        <v>37</v>
      </c>
      <c r="E39" s="22">
        <v>0.69666666666666677</v>
      </c>
      <c r="F39" s="22">
        <v>37</v>
      </c>
      <c r="G39" s="22">
        <v>82</v>
      </c>
      <c r="H39" s="22">
        <v>9</v>
      </c>
    </row>
  </sheetData>
  <sortState ref="S5:V48">
    <sortCondition ref="S5:S4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N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0" bestFit="1" customWidth="1"/>
    <col min="2" max="3" width="4.5" bestFit="1" customWidth="1"/>
    <col min="4" max="4" width="6.5" bestFit="1" customWidth="1"/>
    <col min="5" max="5" width="5.5" bestFit="1" customWidth="1"/>
    <col min="6" max="7" width="6.5" bestFit="1" customWidth="1"/>
    <col min="8" max="10" width="5.5" bestFit="1" customWidth="1"/>
    <col min="11" max="11" width="6.5" bestFit="1" customWidth="1"/>
    <col min="12" max="13" width="4.5" bestFit="1" customWidth="1"/>
    <col min="14" max="14" width="5.5" bestFit="1" customWidth="1"/>
  </cols>
  <sheetData>
    <row r="1" spans="1:14" x14ac:dyDescent="0.2">
      <c r="A1" t="s">
        <v>60</v>
      </c>
      <c r="C1" t="s">
        <v>657</v>
      </c>
      <c r="G1" t="s">
        <v>73</v>
      </c>
      <c r="L1" t="s">
        <v>74</v>
      </c>
    </row>
    <row r="2" spans="1:14" x14ac:dyDescent="0.2">
      <c r="D2" t="s">
        <v>14</v>
      </c>
      <c r="E2" t="s">
        <v>63</v>
      </c>
      <c r="F2" t="s">
        <v>70</v>
      </c>
      <c r="H2" t="s">
        <v>16</v>
      </c>
      <c r="I2" t="s">
        <v>67</v>
      </c>
      <c r="J2" t="s">
        <v>68</v>
      </c>
      <c r="K2" t="s">
        <v>70</v>
      </c>
      <c r="M2" t="s">
        <v>13</v>
      </c>
      <c r="N2" t="s">
        <v>71</v>
      </c>
    </row>
    <row r="3" spans="1:14" x14ac:dyDescent="0.2">
      <c r="D3">
        <v>100</v>
      </c>
      <c r="E3">
        <v>50</v>
      </c>
      <c r="F3">
        <v>100</v>
      </c>
      <c r="H3">
        <v>100</v>
      </c>
      <c r="I3">
        <v>50</v>
      </c>
      <c r="J3">
        <v>10</v>
      </c>
      <c r="K3">
        <v>100</v>
      </c>
      <c r="M3">
        <v>5</v>
      </c>
      <c r="N3">
        <v>50</v>
      </c>
    </row>
    <row r="4" spans="1:14" x14ac:dyDescent="0.2">
      <c r="D4">
        <v>0.05</v>
      </c>
      <c r="E4">
        <v>0.1</v>
      </c>
      <c r="F4">
        <v>0.1</v>
      </c>
      <c r="H4">
        <v>0.05</v>
      </c>
      <c r="I4">
        <v>0.2</v>
      </c>
      <c r="J4">
        <v>0.5</v>
      </c>
      <c r="K4">
        <v>0.1</v>
      </c>
      <c r="M4">
        <v>1</v>
      </c>
      <c r="N4">
        <v>0.2</v>
      </c>
    </row>
    <row r="5" spans="1:14" x14ac:dyDescent="0.2">
      <c r="A5">
        <v>598829620</v>
      </c>
      <c r="B5" s="22">
        <v>0.31954166666666672</v>
      </c>
      <c r="C5" s="22">
        <v>0.21249999999999999</v>
      </c>
      <c r="D5" s="22">
        <v>15</v>
      </c>
      <c r="E5" s="22">
        <v>20</v>
      </c>
      <c r="F5" s="22">
        <v>15</v>
      </c>
      <c r="G5" s="22">
        <v>0.27500000000000002</v>
      </c>
      <c r="H5" s="22">
        <v>55</v>
      </c>
      <c r="I5" s="22">
        <v>20</v>
      </c>
      <c r="J5" s="22">
        <v>0</v>
      </c>
      <c r="K5" s="22">
        <v>15</v>
      </c>
      <c r="L5" s="22">
        <v>0.46666666666666667</v>
      </c>
      <c r="M5" s="22">
        <v>3</v>
      </c>
      <c r="N5" s="22">
        <v>20</v>
      </c>
    </row>
    <row r="6" spans="1:14" x14ac:dyDescent="0.2">
      <c r="A6">
        <v>684014860</v>
      </c>
      <c r="B6" s="22">
        <v>0.54155000000000009</v>
      </c>
      <c r="C6" s="22">
        <v>0.56000000000000005</v>
      </c>
      <c r="D6" s="22">
        <v>56</v>
      </c>
      <c r="E6" s="22">
        <v>28</v>
      </c>
      <c r="F6" s="22">
        <v>56</v>
      </c>
      <c r="G6" s="22">
        <v>0.42166666666666675</v>
      </c>
      <c r="H6" s="22">
        <v>9</v>
      </c>
      <c r="I6" s="22">
        <v>28</v>
      </c>
      <c r="J6" s="22">
        <v>2</v>
      </c>
      <c r="K6" s="22">
        <v>56</v>
      </c>
      <c r="L6" s="22">
        <v>0.64000000000000012</v>
      </c>
      <c r="M6" s="22">
        <v>4</v>
      </c>
      <c r="N6" s="22">
        <v>28</v>
      </c>
    </row>
    <row r="7" spans="1:14" x14ac:dyDescent="0.2">
      <c r="A7">
        <v>843228181</v>
      </c>
      <c r="B7" s="22">
        <v>0.54540833333333338</v>
      </c>
      <c r="C7" s="22">
        <v>0.5625</v>
      </c>
      <c r="D7" s="22">
        <v>61</v>
      </c>
      <c r="E7" s="22">
        <v>21</v>
      </c>
      <c r="F7" s="22">
        <v>61</v>
      </c>
      <c r="G7" s="22">
        <v>0.45833333333333331</v>
      </c>
      <c r="H7" s="22">
        <v>19</v>
      </c>
      <c r="I7" s="22">
        <v>21</v>
      </c>
      <c r="J7" s="22">
        <v>5</v>
      </c>
      <c r="K7" s="22">
        <v>61</v>
      </c>
      <c r="L7" s="22">
        <v>0.61333333333333329</v>
      </c>
      <c r="M7" s="22">
        <v>5</v>
      </c>
      <c r="N7" s="22">
        <v>21</v>
      </c>
    </row>
    <row r="8" spans="1:14" x14ac:dyDescent="0.2">
      <c r="A8">
        <v>820549378</v>
      </c>
      <c r="B8" s="22">
        <v>0.374</v>
      </c>
      <c r="C8" s="22">
        <v>0.30500000000000005</v>
      </c>
      <c r="D8" s="22">
        <v>32</v>
      </c>
      <c r="E8" s="22">
        <v>13</v>
      </c>
      <c r="F8" s="22">
        <v>32</v>
      </c>
      <c r="G8" s="22">
        <v>0.375</v>
      </c>
      <c r="H8" s="22">
        <v>79</v>
      </c>
      <c r="I8" s="22">
        <v>13</v>
      </c>
      <c r="J8" s="22">
        <v>3</v>
      </c>
      <c r="K8" s="22">
        <v>32</v>
      </c>
      <c r="L8" s="22">
        <v>0.44</v>
      </c>
      <c r="M8" s="22">
        <v>4</v>
      </c>
      <c r="N8" s="22">
        <v>13</v>
      </c>
    </row>
    <row r="9" spans="1:14" x14ac:dyDescent="0.2">
      <c r="A9">
        <v>533572169</v>
      </c>
      <c r="B9" s="22">
        <v>0.22191666666666668</v>
      </c>
      <c r="C9" s="22">
        <v>0.23500000000000001</v>
      </c>
      <c r="D9" s="22">
        <v>30</v>
      </c>
      <c r="E9" s="22">
        <v>2</v>
      </c>
      <c r="F9" s="22">
        <v>30</v>
      </c>
      <c r="G9" s="22">
        <v>0.41000000000000003</v>
      </c>
      <c r="H9" s="22">
        <v>88</v>
      </c>
      <c r="I9" s="22">
        <v>2</v>
      </c>
      <c r="J9" s="22">
        <v>9</v>
      </c>
      <c r="K9" s="22">
        <v>30</v>
      </c>
      <c r="L9" s="22">
        <v>2.6666666666666668E-2</v>
      </c>
      <c r="M9" s="22">
        <v>0</v>
      </c>
      <c r="N9" s="22">
        <v>2</v>
      </c>
    </row>
    <row r="10" spans="1:14" x14ac:dyDescent="0.2">
      <c r="A10">
        <v>975325712</v>
      </c>
      <c r="B10" s="22">
        <v>0.41788333333333338</v>
      </c>
      <c r="C10" s="22">
        <v>0.39</v>
      </c>
      <c r="D10" s="22">
        <v>40</v>
      </c>
      <c r="E10" s="22">
        <v>18</v>
      </c>
      <c r="F10" s="22">
        <v>40</v>
      </c>
      <c r="G10" s="22">
        <v>0.49166666666666664</v>
      </c>
      <c r="H10" s="22">
        <v>63</v>
      </c>
      <c r="I10" s="22">
        <v>18</v>
      </c>
      <c r="J10" s="22">
        <v>8</v>
      </c>
      <c r="K10" s="22">
        <v>40</v>
      </c>
      <c r="L10" s="22">
        <v>0.37333333333333329</v>
      </c>
      <c r="M10" s="22">
        <v>2</v>
      </c>
      <c r="N10" s="22">
        <v>18</v>
      </c>
    </row>
    <row r="11" spans="1:14" x14ac:dyDescent="0.2">
      <c r="A11">
        <v>310082419</v>
      </c>
      <c r="B11" s="22">
        <v>0.23666666666666669</v>
      </c>
      <c r="C11" s="22">
        <v>8.5000000000000006E-2</v>
      </c>
      <c r="D11" s="22">
        <v>4</v>
      </c>
      <c r="E11" s="22">
        <v>11</v>
      </c>
      <c r="F11" s="22">
        <v>4</v>
      </c>
      <c r="G11" s="22">
        <v>0.27500000000000002</v>
      </c>
      <c r="H11" s="22">
        <v>83</v>
      </c>
      <c r="I11" s="22">
        <v>11</v>
      </c>
      <c r="J11" s="22">
        <v>3</v>
      </c>
      <c r="K11" s="22">
        <v>4</v>
      </c>
      <c r="L11" s="22">
        <v>0.34666666666666668</v>
      </c>
      <c r="M11" s="22">
        <v>3</v>
      </c>
      <c r="N11" s="22">
        <v>11</v>
      </c>
    </row>
    <row r="12" spans="1:14" x14ac:dyDescent="0.2">
      <c r="A12">
        <v>242132470</v>
      </c>
      <c r="B12" s="22">
        <v>0.3593083333333334</v>
      </c>
      <c r="C12" s="22">
        <v>0.22250000000000006</v>
      </c>
      <c r="D12" s="22">
        <v>11</v>
      </c>
      <c r="E12" s="22">
        <v>28</v>
      </c>
      <c r="F12" s="22">
        <v>11</v>
      </c>
      <c r="G12" s="22">
        <v>0.48166666666666669</v>
      </c>
      <c r="H12" s="22">
        <v>55</v>
      </c>
      <c r="I12" s="22">
        <v>28</v>
      </c>
      <c r="J12" s="22">
        <v>10</v>
      </c>
      <c r="K12" s="22">
        <v>11</v>
      </c>
      <c r="L12" s="22">
        <v>0.37333333333333335</v>
      </c>
      <c r="M12" s="22">
        <v>0</v>
      </c>
      <c r="N12" s="22">
        <v>28</v>
      </c>
    </row>
    <row r="13" spans="1:14" x14ac:dyDescent="0.2">
      <c r="A13">
        <v>208248363</v>
      </c>
      <c r="B13" s="22">
        <v>0.51105833333333339</v>
      </c>
      <c r="C13" s="22">
        <v>0.4825000000000001</v>
      </c>
      <c r="D13" s="22">
        <v>51</v>
      </c>
      <c r="E13" s="22">
        <v>20</v>
      </c>
      <c r="F13" s="22">
        <v>51</v>
      </c>
      <c r="G13" s="22">
        <v>0.51666666666666672</v>
      </c>
      <c r="H13" s="22">
        <v>58</v>
      </c>
      <c r="I13" s="22">
        <v>20</v>
      </c>
      <c r="J13" s="22">
        <v>7</v>
      </c>
      <c r="K13" s="22">
        <v>51</v>
      </c>
      <c r="L13" s="22">
        <v>0.53333333333333333</v>
      </c>
      <c r="M13" s="22">
        <v>4</v>
      </c>
      <c r="N13" s="22">
        <v>20</v>
      </c>
    </row>
    <row r="14" spans="1:14" x14ac:dyDescent="0.2">
      <c r="A14">
        <v>277055951</v>
      </c>
      <c r="B14" s="22">
        <v>0.22408333333333336</v>
      </c>
      <c r="C14" s="22">
        <v>0.19500000000000001</v>
      </c>
      <c r="D14" s="22">
        <v>26</v>
      </c>
      <c r="E14" s="22">
        <v>0</v>
      </c>
      <c r="F14" s="22">
        <v>26</v>
      </c>
      <c r="G14" s="22">
        <v>0.34666666666666668</v>
      </c>
      <c r="H14" s="22">
        <v>96</v>
      </c>
      <c r="I14" s="22">
        <v>0</v>
      </c>
      <c r="J14" s="22">
        <v>6</v>
      </c>
      <c r="K14" s="22">
        <v>26</v>
      </c>
      <c r="L14" s="22">
        <v>0.13333333333333333</v>
      </c>
      <c r="M14" s="22">
        <v>2</v>
      </c>
      <c r="N14" s="22">
        <v>0</v>
      </c>
    </row>
    <row r="15" spans="1:14" x14ac:dyDescent="0.2">
      <c r="A15">
        <v>902907559</v>
      </c>
      <c r="B15" s="22">
        <v>0.51508333333333334</v>
      </c>
      <c r="C15" s="22">
        <v>0.67500000000000004</v>
      </c>
      <c r="D15" s="22">
        <v>86</v>
      </c>
      <c r="E15" s="22">
        <v>6</v>
      </c>
      <c r="F15" s="22">
        <v>86</v>
      </c>
      <c r="G15" s="22">
        <v>0.46</v>
      </c>
      <c r="H15" s="22">
        <v>30</v>
      </c>
      <c r="I15" s="22">
        <v>6</v>
      </c>
      <c r="J15" s="22">
        <v>5</v>
      </c>
      <c r="K15" s="22">
        <v>86</v>
      </c>
      <c r="L15" s="22">
        <v>0.41333333333333333</v>
      </c>
      <c r="M15" s="22">
        <v>5</v>
      </c>
      <c r="N15" s="22">
        <v>6</v>
      </c>
    </row>
    <row r="16" spans="1:14" x14ac:dyDescent="0.2">
      <c r="A16">
        <v>528297980</v>
      </c>
      <c r="B16" s="22">
        <v>0.62213333333333332</v>
      </c>
      <c r="C16" s="22">
        <v>0.59000000000000008</v>
      </c>
      <c r="D16" s="22">
        <v>58</v>
      </c>
      <c r="E16" s="22">
        <v>31</v>
      </c>
      <c r="F16" s="22">
        <v>58</v>
      </c>
      <c r="G16" s="22">
        <v>0.66333333333333344</v>
      </c>
      <c r="H16" s="22">
        <v>78</v>
      </c>
      <c r="I16" s="22">
        <v>31</v>
      </c>
      <c r="J16" s="22">
        <v>8</v>
      </c>
      <c r="K16" s="22">
        <v>58</v>
      </c>
      <c r="L16" s="22">
        <v>0.61333333333333329</v>
      </c>
      <c r="M16" s="22">
        <v>3</v>
      </c>
      <c r="N16" s="22">
        <v>31</v>
      </c>
    </row>
    <row r="17" spans="1:14" x14ac:dyDescent="0.2">
      <c r="A17">
        <v>444882790</v>
      </c>
      <c r="B17" s="22">
        <v>0.22827500000000003</v>
      </c>
      <c r="C17" s="22">
        <v>7.2500000000000009E-2</v>
      </c>
      <c r="D17" s="22">
        <v>5</v>
      </c>
      <c r="E17" s="22">
        <v>7</v>
      </c>
      <c r="F17" s="22">
        <v>5</v>
      </c>
      <c r="G17" s="22">
        <v>0.24833333333333335</v>
      </c>
      <c r="H17" s="22">
        <v>21</v>
      </c>
      <c r="I17" s="22">
        <v>7</v>
      </c>
      <c r="J17" s="22">
        <v>9</v>
      </c>
      <c r="K17" s="22">
        <v>5</v>
      </c>
      <c r="L17" s="22">
        <v>0.36000000000000004</v>
      </c>
      <c r="M17" s="22">
        <v>4</v>
      </c>
      <c r="N17" s="22">
        <v>7</v>
      </c>
    </row>
    <row r="18" spans="1:14" x14ac:dyDescent="0.2">
      <c r="A18">
        <v>112085131</v>
      </c>
      <c r="B18" s="22">
        <v>0.18187500000000001</v>
      </c>
      <c r="C18" s="22">
        <v>0.14250000000000002</v>
      </c>
      <c r="D18" s="22">
        <v>13</v>
      </c>
      <c r="E18" s="22">
        <v>9</v>
      </c>
      <c r="F18" s="22">
        <v>13</v>
      </c>
      <c r="G18" s="22">
        <v>0.28500000000000003</v>
      </c>
      <c r="H18" s="22">
        <v>69</v>
      </c>
      <c r="I18" s="22">
        <v>9</v>
      </c>
      <c r="J18" s="22">
        <v>4</v>
      </c>
      <c r="K18" s="22">
        <v>13</v>
      </c>
      <c r="L18" s="22">
        <v>0.12000000000000001</v>
      </c>
      <c r="M18" s="22">
        <v>0</v>
      </c>
      <c r="N18" s="22">
        <v>9</v>
      </c>
    </row>
    <row r="19" spans="1:14" x14ac:dyDescent="0.2">
      <c r="A19">
        <v>588642518</v>
      </c>
      <c r="B19" s="22">
        <v>0.63593333333333335</v>
      </c>
      <c r="C19" s="22">
        <v>0.875</v>
      </c>
      <c r="D19" s="22">
        <v>94</v>
      </c>
      <c r="E19" s="22">
        <v>34</v>
      </c>
      <c r="F19" s="22">
        <v>94</v>
      </c>
      <c r="G19" s="22">
        <v>0.58500000000000008</v>
      </c>
      <c r="H19" s="22">
        <v>27</v>
      </c>
      <c r="I19" s="22">
        <v>34</v>
      </c>
      <c r="J19" s="22">
        <v>0</v>
      </c>
      <c r="K19" s="22">
        <v>94</v>
      </c>
      <c r="L19" s="22">
        <v>0.45333333333333337</v>
      </c>
      <c r="M19" s="22">
        <v>0</v>
      </c>
      <c r="N19" s="22">
        <v>34</v>
      </c>
    </row>
    <row r="20" spans="1:14" x14ac:dyDescent="0.2">
      <c r="A20">
        <v>414520736</v>
      </c>
      <c r="B20" s="22">
        <v>0.46112500000000006</v>
      </c>
      <c r="C20" s="22">
        <v>0.64249999999999996</v>
      </c>
      <c r="D20" s="22">
        <v>81</v>
      </c>
      <c r="E20" s="22">
        <v>7</v>
      </c>
      <c r="F20" s="22">
        <v>81</v>
      </c>
      <c r="G20" s="22">
        <v>0.59000000000000008</v>
      </c>
      <c r="H20" s="22">
        <v>64</v>
      </c>
      <c r="I20" s="22">
        <v>7</v>
      </c>
      <c r="J20" s="22">
        <v>10</v>
      </c>
      <c r="K20" s="22">
        <v>81</v>
      </c>
      <c r="L20" s="22">
        <v>0.16000000000000003</v>
      </c>
      <c r="M20" s="22">
        <v>1</v>
      </c>
      <c r="N20" s="22">
        <v>7</v>
      </c>
    </row>
    <row r="21" spans="1:14" x14ac:dyDescent="0.2">
      <c r="A21">
        <v>356558346</v>
      </c>
      <c r="B21" s="22">
        <v>0.31329166666666669</v>
      </c>
      <c r="C21" s="22">
        <v>0.33250000000000002</v>
      </c>
      <c r="D21" s="22">
        <v>43</v>
      </c>
      <c r="E21" s="22">
        <v>2</v>
      </c>
      <c r="F21" s="22">
        <v>43</v>
      </c>
      <c r="G21" s="22">
        <v>0.38333333333333336</v>
      </c>
      <c r="H21" s="22">
        <v>46</v>
      </c>
      <c r="I21" s="22">
        <v>2</v>
      </c>
      <c r="J21" s="22">
        <v>9</v>
      </c>
      <c r="K21" s="22">
        <v>43</v>
      </c>
      <c r="L21" s="22">
        <v>0.22666666666666666</v>
      </c>
      <c r="M21" s="22">
        <v>3</v>
      </c>
      <c r="N21" s="22">
        <v>2</v>
      </c>
    </row>
    <row r="22" spans="1:14" x14ac:dyDescent="0.2">
      <c r="A22">
        <v>970698993</v>
      </c>
      <c r="B22" s="22">
        <v>0.47074166666666672</v>
      </c>
      <c r="C22" s="22">
        <v>0.73250000000000004</v>
      </c>
      <c r="D22" s="22">
        <v>95</v>
      </c>
      <c r="E22" s="22">
        <v>4</v>
      </c>
      <c r="F22" s="22">
        <v>95</v>
      </c>
      <c r="G22" s="22">
        <v>0.50166666666666671</v>
      </c>
      <c r="H22" s="22">
        <v>15</v>
      </c>
      <c r="I22" s="22">
        <v>4</v>
      </c>
      <c r="J22" s="22">
        <v>8</v>
      </c>
      <c r="K22" s="22">
        <v>95</v>
      </c>
      <c r="L22" s="22">
        <v>0.18666666666666665</v>
      </c>
      <c r="M22" s="22">
        <v>2</v>
      </c>
      <c r="N22" s="22">
        <v>4</v>
      </c>
    </row>
    <row r="23" spans="1:14" x14ac:dyDescent="0.2">
      <c r="A23">
        <v>633537205</v>
      </c>
      <c r="B23" s="22">
        <v>0.23453333333333334</v>
      </c>
      <c r="C23" s="22">
        <v>0.29500000000000004</v>
      </c>
      <c r="D23" s="22">
        <v>36</v>
      </c>
      <c r="E23" s="22">
        <v>5</v>
      </c>
      <c r="F23" s="22">
        <v>36</v>
      </c>
      <c r="G23" s="22">
        <v>0.27833333333333332</v>
      </c>
      <c r="H23" s="22">
        <v>75</v>
      </c>
      <c r="I23" s="22">
        <v>5</v>
      </c>
      <c r="J23" s="22">
        <v>0</v>
      </c>
      <c r="K23" s="22">
        <v>36</v>
      </c>
      <c r="L23" s="22">
        <v>0.13333333333333333</v>
      </c>
      <c r="M23" s="22">
        <v>1</v>
      </c>
      <c r="N23" s="22">
        <v>5</v>
      </c>
    </row>
    <row r="24" spans="1:14" x14ac:dyDescent="0.2">
      <c r="A24">
        <v>534292868</v>
      </c>
      <c r="B24" s="22">
        <v>0.4347166666666667</v>
      </c>
      <c r="C24" s="22">
        <v>0.69500000000000006</v>
      </c>
      <c r="D24" s="22">
        <v>90</v>
      </c>
      <c r="E24" s="22">
        <v>4</v>
      </c>
      <c r="F24" s="22">
        <v>90</v>
      </c>
      <c r="G24" s="22">
        <v>0.43</v>
      </c>
      <c r="H24" s="22">
        <v>12</v>
      </c>
      <c r="I24" s="22">
        <v>4</v>
      </c>
      <c r="J24" s="22">
        <v>5</v>
      </c>
      <c r="K24" s="22">
        <v>90</v>
      </c>
      <c r="L24" s="22">
        <v>0.18666666666666665</v>
      </c>
      <c r="M24" s="22">
        <v>2</v>
      </c>
      <c r="N24" s="22">
        <v>4</v>
      </c>
    </row>
    <row r="25" spans="1:14" x14ac:dyDescent="0.2">
      <c r="A25">
        <v>816787809</v>
      </c>
      <c r="B25" s="22">
        <v>0.6145250000000001</v>
      </c>
      <c r="C25" s="22">
        <v>0.51249999999999996</v>
      </c>
      <c r="D25" s="22">
        <v>47</v>
      </c>
      <c r="E25" s="22">
        <v>32</v>
      </c>
      <c r="F25" s="22">
        <v>47</v>
      </c>
      <c r="G25" s="22">
        <v>0.56666666666666665</v>
      </c>
      <c r="H25" s="22">
        <v>38</v>
      </c>
      <c r="I25" s="22">
        <v>32</v>
      </c>
      <c r="J25" s="22">
        <v>8</v>
      </c>
      <c r="K25" s="22">
        <v>47</v>
      </c>
      <c r="L25" s="22">
        <v>0.76</v>
      </c>
      <c r="M25" s="22">
        <v>5</v>
      </c>
      <c r="N25" s="22">
        <v>32</v>
      </c>
    </row>
    <row r="26" spans="1:14" x14ac:dyDescent="0.2">
      <c r="A26">
        <v>220052551</v>
      </c>
      <c r="B26" s="22">
        <v>0.47923333333333334</v>
      </c>
      <c r="C26" s="22">
        <v>0.59000000000000008</v>
      </c>
      <c r="D26" s="22">
        <v>74</v>
      </c>
      <c r="E26" s="22">
        <v>7</v>
      </c>
      <c r="F26" s="22">
        <v>74</v>
      </c>
      <c r="G26" s="22">
        <v>0.56000000000000005</v>
      </c>
      <c r="H26" s="22">
        <v>90</v>
      </c>
      <c r="I26" s="22">
        <v>7</v>
      </c>
      <c r="J26" s="22">
        <v>7</v>
      </c>
      <c r="K26" s="22">
        <v>74</v>
      </c>
      <c r="L26" s="22">
        <v>0.29333333333333333</v>
      </c>
      <c r="M26" s="22">
        <v>3</v>
      </c>
      <c r="N26" s="22">
        <v>7</v>
      </c>
    </row>
    <row r="27" spans="1:14" x14ac:dyDescent="0.2">
      <c r="A27">
        <v>858571733</v>
      </c>
      <c r="B27" s="22">
        <v>0.20715833333333336</v>
      </c>
      <c r="C27" s="22">
        <v>0.18250000000000002</v>
      </c>
      <c r="D27" s="22">
        <v>19</v>
      </c>
      <c r="E27" s="22">
        <v>8</v>
      </c>
      <c r="F27" s="22">
        <v>19</v>
      </c>
      <c r="G27" s="22">
        <v>0.26666666666666666</v>
      </c>
      <c r="H27" s="22">
        <v>30</v>
      </c>
      <c r="I27" s="22">
        <v>8</v>
      </c>
      <c r="J27" s="22">
        <v>6</v>
      </c>
      <c r="K27" s="22">
        <v>19</v>
      </c>
      <c r="L27" s="22">
        <v>0.17333333333333334</v>
      </c>
      <c r="M27" s="22">
        <v>1</v>
      </c>
      <c r="N27" s="22">
        <v>8</v>
      </c>
    </row>
    <row r="28" spans="1:14" x14ac:dyDescent="0.2">
      <c r="A28">
        <v>363436152</v>
      </c>
      <c r="B28" s="22">
        <v>0.38747500000000007</v>
      </c>
      <c r="C28" s="22">
        <v>0.27250000000000008</v>
      </c>
      <c r="D28" s="22">
        <v>21</v>
      </c>
      <c r="E28" s="22">
        <v>23</v>
      </c>
      <c r="F28" s="22">
        <v>21</v>
      </c>
      <c r="G28" s="22">
        <v>0.44833333333333336</v>
      </c>
      <c r="H28" s="22">
        <v>65</v>
      </c>
      <c r="I28" s="22">
        <v>23</v>
      </c>
      <c r="J28" s="22">
        <v>7</v>
      </c>
      <c r="K28" s="22">
        <v>21</v>
      </c>
      <c r="L28" s="22">
        <v>0.44000000000000006</v>
      </c>
      <c r="M28" s="22">
        <v>2</v>
      </c>
      <c r="N28" s="22">
        <v>23</v>
      </c>
    </row>
    <row r="29" spans="1:14" x14ac:dyDescent="0.2">
      <c r="A29">
        <v>393495083</v>
      </c>
      <c r="B29" s="22">
        <v>0.47514166666666668</v>
      </c>
      <c r="C29" s="22">
        <v>0.72750000000000004</v>
      </c>
      <c r="D29" s="22">
        <v>91</v>
      </c>
      <c r="E29" s="22">
        <v>9</v>
      </c>
      <c r="F29" s="22">
        <v>91</v>
      </c>
      <c r="G29" s="22">
        <v>0.52</v>
      </c>
      <c r="H29" s="22">
        <v>34</v>
      </c>
      <c r="I29" s="22">
        <v>9</v>
      </c>
      <c r="J29" s="22">
        <v>6</v>
      </c>
      <c r="K29" s="22">
        <v>91</v>
      </c>
      <c r="L29" s="22">
        <v>0.18666666666666665</v>
      </c>
      <c r="M29" s="22">
        <v>1</v>
      </c>
      <c r="N29" s="22">
        <v>9</v>
      </c>
    </row>
    <row r="30" spans="1:14" x14ac:dyDescent="0.2">
      <c r="A30">
        <v>769635714</v>
      </c>
      <c r="B30" s="22">
        <v>0.68815000000000015</v>
      </c>
      <c r="C30" s="22">
        <v>0.82000000000000006</v>
      </c>
      <c r="D30" s="22">
        <v>88</v>
      </c>
      <c r="E30" s="22">
        <v>32</v>
      </c>
      <c r="F30" s="22">
        <v>88</v>
      </c>
      <c r="G30" s="22">
        <v>0.68833333333333335</v>
      </c>
      <c r="H30" s="22">
        <v>19</v>
      </c>
      <c r="I30" s="22">
        <v>32</v>
      </c>
      <c r="J30" s="22">
        <v>9</v>
      </c>
      <c r="K30" s="22">
        <v>88</v>
      </c>
      <c r="L30" s="22">
        <v>0.56000000000000005</v>
      </c>
      <c r="M30" s="22">
        <v>2</v>
      </c>
      <c r="N30" s="22">
        <v>32</v>
      </c>
    </row>
    <row r="31" spans="1:14" x14ac:dyDescent="0.2">
      <c r="A31">
        <v>373048949</v>
      </c>
      <c r="B31" s="22">
        <v>0.52473333333333327</v>
      </c>
      <c r="C31" s="22">
        <v>0.67500000000000004</v>
      </c>
      <c r="D31" s="22">
        <v>80</v>
      </c>
      <c r="E31" s="22">
        <v>15</v>
      </c>
      <c r="F31" s="22">
        <v>80</v>
      </c>
      <c r="G31" s="22">
        <v>0.57166666666666666</v>
      </c>
      <c r="H31" s="22">
        <v>23</v>
      </c>
      <c r="I31" s="22">
        <v>15</v>
      </c>
      <c r="J31" s="22">
        <v>10</v>
      </c>
      <c r="K31" s="22">
        <v>80</v>
      </c>
      <c r="L31" s="22">
        <v>0.33333333333333331</v>
      </c>
      <c r="M31" s="22">
        <v>2</v>
      </c>
      <c r="N31" s="22">
        <v>15</v>
      </c>
    </row>
    <row r="32" spans="1:14" x14ac:dyDescent="0.2">
      <c r="A32">
        <v>357061292</v>
      </c>
      <c r="B32" s="22">
        <v>0.43346666666666667</v>
      </c>
      <c r="C32" s="22">
        <v>0.2</v>
      </c>
      <c r="D32" s="22">
        <v>10</v>
      </c>
      <c r="E32" s="22">
        <v>25</v>
      </c>
      <c r="F32" s="22">
        <v>10</v>
      </c>
      <c r="G32" s="22">
        <v>0.42666666666666669</v>
      </c>
      <c r="H32" s="22">
        <v>86</v>
      </c>
      <c r="I32" s="22">
        <v>25</v>
      </c>
      <c r="J32" s="22">
        <v>5</v>
      </c>
      <c r="K32" s="22">
        <v>10</v>
      </c>
      <c r="L32" s="22">
        <v>0.66666666666666663</v>
      </c>
      <c r="M32" s="22">
        <v>5</v>
      </c>
      <c r="N32" s="22">
        <v>25</v>
      </c>
    </row>
    <row r="33" spans="1:14" x14ac:dyDescent="0.2">
      <c r="A33">
        <v>837310284</v>
      </c>
      <c r="B33" s="22">
        <v>0.35907500000000003</v>
      </c>
      <c r="C33" s="22">
        <v>0.42750000000000005</v>
      </c>
      <c r="D33" s="22">
        <v>45</v>
      </c>
      <c r="E33" s="22">
        <v>18</v>
      </c>
      <c r="F33" s="22">
        <v>45</v>
      </c>
      <c r="G33" s="22">
        <v>0.41333333333333333</v>
      </c>
      <c r="H33" s="22">
        <v>46</v>
      </c>
      <c r="I33" s="22">
        <v>18</v>
      </c>
      <c r="J33" s="22">
        <v>4</v>
      </c>
      <c r="K33" s="22">
        <v>45</v>
      </c>
      <c r="L33" s="22">
        <v>0.24000000000000002</v>
      </c>
      <c r="M33" s="22">
        <v>0</v>
      </c>
      <c r="N33" s="22">
        <v>18</v>
      </c>
    </row>
    <row r="34" spans="1:14" x14ac:dyDescent="0.2">
      <c r="A34">
        <v>815854164</v>
      </c>
      <c r="B34" s="22">
        <v>0.60665833333333352</v>
      </c>
      <c r="C34" s="22">
        <v>0.82250000000000012</v>
      </c>
      <c r="D34" s="22">
        <v>89</v>
      </c>
      <c r="E34" s="22">
        <v>31</v>
      </c>
      <c r="F34" s="22">
        <v>89</v>
      </c>
      <c r="G34" s="22">
        <v>0.59000000000000008</v>
      </c>
      <c r="H34" s="22">
        <v>2</v>
      </c>
      <c r="I34" s="22">
        <v>31</v>
      </c>
      <c r="J34" s="22">
        <v>5</v>
      </c>
      <c r="K34" s="22">
        <v>89</v>
      </c>
      <c r="L34" s="22">
        <v>0.41333333333333333</v>
      </c>
      <c r="M34" s="22">
        <v>0</v>
      </c>
      <c r="N34" s="22">
        <v>31</v>
      </c>
    </row>
    <row r="35" spans="1:14" x14ac:dyDescent="0.2">
      <c r="A35">
        <v>315378369</v>
      </c>
      <c r="B35" s="22">
        <v>0.27268333333333333</v>
      </c>
      <c r="C35" s="22">
        <v>0.18000000000000002</v>
      </c>
      <c r="D35" s="22">
        <v>12</v>
      </c>
      <c r="E35" s="22">
        <v>18</v>
      </c>
      <c r="F35" s="22">
        <v>12</v>
      </c>
      <c r="G35" s="22">
        <v>0.26166666666666666</v>
      </c>
      <c r="H35" s="22">
        <v>31</v>
      </c>
      <c r="I35" s="22">
        <v>18</v>
      </c>
      <c r="J35" s="22">
        <v>3</v>
      </c>
      <c r="K35" s="22">
        <v>12</v>
      </c>
      <c r="L35" s="22">
        <v>0.37333333333333329</v>
      </c>
      <c r="M35" s="22">
        <v>2</v>
      </c>
      <c r="N35" s="22">
        <v>18</v>
      </c>
    </row>
    <row r="36" spans="1:14" x14ac:dyDescent="0.2">
      <c r="A36">
        <v>564410540</v>
      </c>
      <c r="B36" s="22">
        <v>0.49040833333333333</v>
      </c>
      <c r="C36" s="22">
        <v>0.33750000000000002</v>
      </c>
      <c r="D36" s="22">
        <v>21</v>
      </c>
      <c r="E36" s="22">
        <v>36</v>
      </c>
      <c r="F36" s="22">
        <v>21</v>
      </c>
      <c r="G36" s="22">
        <v>0.51666666666666672</v>
      </c>
      <c r="H36" s="22">
        <v>64</v>
      </c>
      <c r="I36" s="22">
        <v>36</v>
      </c>
      <c r="J36" s="22">
        <v>6</v>
      </c>
      <c r="K36" s="22">
        <v>21</v>
      </c>
      <c r="L36" s="22">
        <v>0.61333333333333329</v>
      </c>
      <c r="M36" s="22">
        <v>2</v>
      </c>
      <c r="N36" s="22">
        <v>36</v>
      </c>
    </row>
    <row r="37" spans="1:14" x14ac:dyDescent="0.2">
      <c r="A37">
        <v>126539887</v>
      </c>
      <c r="B37" s="22">
        <v>0.44310833333333333</v>
      </c>
      <c r="C37" s="22">
        <v>0.20750000000000002</v>
      </c>
      <c r="D37" s="22">
        <v>7</v>
      </c>
      <c r="E37" s="22">
        <v>31</v>
      </c>
      <c r="F37" s="22">
        <v>7</v>
      </c>
      <c r="G37" s="22">
        <v>0.5033333333333333</v>
      </c>
      <c r="H37" s="22">
        <v>84</v>
      </c>
      <c r="I37" s="22">
        <v>31</v>
      </c>
      <c r="J37" s="22">
        <v>8</v>
      </c>
      <c r="K37" s="22">
        <v>7</v>
      </c>
      <c r="L37" s="22">
        <v>0.61333333333333329</v>
      </c>
      <c r="M37" s="22">
        <v>3</v>
      </c>
      <c r="N37" s="22">
        <v>31</v>
      </c>
    </row>
    <row r="38" spans="1:14" x14ac:dyDescent="0.2">
      <c r="A38">
        <v>563937624</v>
      </c>
      <c r="B38" s="22">
        <v>0.28422500000000006</v>
      </c>
      <c r="C38" s="22">
        <v>8.7499999999999994E-2</v>
      </c>
      <c r="D38" s="22">
        <v>5</v>
      </c>
      <c r="E38" s="22">
        <v>10</v>
      </c>
      <c r="F38" s="22">
        <v>5</v>
      </c>
      <c r="G38" s="22">
        <v>0.36166666666666669</v>
      </c>
      <c r="H38" s="22">
        <v>97</v>
      </c>
      <c r="I38" s="22">
        <v>10</v>
      </c>
      <c r="J38" s="22">
        <v>7</v>
      </c>
      <c r="K38" s="22">
        <v>5</v>
      </c>
      <c r="L38" s="22">
        <v>0.4</v>
      </c>
      <c r="M38" s="22">
        <v>4</v>
      </c>
      <c r="N38" s="22">
        <v>10</v>
      </c>
    </row>
    <row r="39" spans="1:14" x14ac:dyDescent="0.2">
      <c r="A39">
        <v>684291511</v>
      </c>
      <c r="B39" s="22">
        <v>0.49017500000000003</v>
      </c>
      <c r="C39" s="22">
        <v>0.40750000000000003</v>
      </c>
      <c r="D39" s="22">
        <v>37</v>
      </c>
      <c r="E39" s="22">
        <v>26</v>
      </c>
      <c r="F39" s="22">
        <v>37</v>
      </c>
      <c r="G39" s="22">
        <v>0.58333333333333337</v>
      </c>
      <c r="H39" s="22">
        <v>82</v>
      </c>
      <c r="I39" s="22">
        <v>26</v>
      </c>
      <c r="J39" s="22">
        <v>9</v>
      </c>
      <c r="K39" s="22">
        <v>37</v>
      </c>
      <c r="L39" s="22">
        <v>0.48000000000000004</v>
      </c>
      <c r="M39" s="22">
        <v>2</v>
      </c>
      <c r="N39" s="22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39"/>
  <sheetViews>
    <sheetView workbookViewId="0">
      <selection sqref="A1:XFD1048576"/>
    </sheetView>
  </sheetViews>
  <sheetFormatPr baseColWidth="10" defaultColWidth="4.6640625" defaultRowHeight="15" x14ac:dyDescent="0.2"/>
  <cols>
    <col min="1" max="1" width="8" bestFit="1" customWidth="1"/>
    <col min="2" max="3" width="4.5" bestFit="1" customWidth="1"/>
    <col min="4" max="10" width="6.5" bestFit="1" customWidth="1"/>
    <col min="11" max="15" width="5.5" bestFit="1" customWidth="1"/>
    <col min="16" max="18" width="6.5" bestFit="1" customWidth="1"/>
    <col min="19" max="19" width="5.5" bestFit="1" customWidth="1"/>
    <col min="20" max="20" width="6.5" bestFit="1" customWidth="1"/>
    <col min="21" max="21" width="5.5" bestFit="1" customWidth="1"/>
    <col min="22" max="22" width="6.5" bestFit="1" customWidth="1"/>
    <col min="23" max="23" width="5.5" bestFit="1" customWidth="1"/>
    <col min="24" max="24" width="6.5" bestFit="1" customWidth="1"/>
    <col min="25" max="25" width="4.5" bestFit="1" customWidth="1"/>
    <col min="26" max="27" width="6.5" bestFit="1" customWidth="1"/>
    <col min="28" max="28" width="4.33203125" customWidth="1"/>
    <col min="29" max="29" width="9.33203125" bestFit="1" customWidth="1"/>
    <col min="30" max="30" width="5.5" bestFit="1" customWidth="1"/>
    <col min="31" max="31" width="4.5" bestFit="1" customWidth="1"/>
    <col min="32" max="32" width="3.6640625" bestFit="1" customWidth="1"/>
    <col min="33" max="33" width="4.5" bestFit="1" customWidth="1"/>
    <col min="34" max="36" width="4.6640625" bestFit="1" customWidth="1"/>
    <col min="37" max="37" width="4.5" bestFit="1" customWidth="1"/>
    <col min="38" max="38" width="4.6640625" bestFit="1" customWidth="1"/>
    <col min="39" max="39" width="4.5" bestFit="1" customWidth="1"/>
    <col min="40" max="40" width="4.6640625" bestFit="1" customWidth="1"/>
    <col min="41" max="41" width="4.5" bestFit="1" customWidth="1"/>
    <col min="42" max="42" width="3.6640625" bestFit="1" customWidth="1"/>
    <col min="43" max="44" width="4.5" bestFit="1" customWidth="1"/>
    <col min="45" max="45" width="4.6640625" bestFit="1" customWidth="1"/>
    <col min="46" max="46" width="3.6640625" bestFit="1" customWidth="1"/>
    <col min="47" max="47" width="4.5" bestFit="1" customWidth="1"/>
    <col min="48" max="48" width="3.33203125" bestFit="1" customWidth="1"/>
    <col min="49" max="49" width="4.5" bestFit="1" customWidth="1"/>
    <col min="50" max="50" width="4.6640625" bestFit="1" customWidth="1"/>
    <col min="51" max="52" width="3.6640625" bestFit="1" customWidth="1"/>
    <col min="53" max="54" width="4.5" bestFit="1" customWidth="1"/>
    <col min="55" max="55" width="4.33203125" bestFit="1" customWidth="1"/>
  </cols>
  <sheetData>
    <row r="1" spans="1:12" x14ac:dyDescent="0.2">
      <c r="A1" t="s">
        <v>61</v>
      </c>
      <c r="C1" t="s">
        <v>658</v>
      </c>
      <c r="E1" t="s">
        <v>75</v>
      </c>
      <c r="H1" t="s">
        <v>659</v>
      </c>
      <c r="K1" t="s">
        <v>76</v>
      </c>
    </row>
    <row r="2" spans="1:12" x14ac:dyDescent="0.2">
      <c r="D2" t="s">
        <v>63</v>
      </c>
      <c r="F2" t="s">
        <v>65</v>
      </c>
      <c r="G2" t="s">
        <v>66</v>
      </c>
      <c r="I2" t="s">
        <v>14</v>
      </c>
      <c r="J2" t="s">
        <v>66</v>
      </c>
      <c r="L2" t="s">
        <v>67</v>
      </c>
    </row>
    <row r="3" spans="1:12" x14ac:dyDescent="0.2">
      <c r="D3">
        <v>50</v>
      </c>
      <c r="F3">
        <v>100</v>
      </c>
      <c r="G3">
        <v>100</v>
      </c>
      <c r="I3">
        <v>100</v>
      </c>
      <c r="J3">
        <v>100</v>
      </c>
      <c r="L3">
        <v>50</v>
      </c>
    </row>
    <row r="4" spans="1:12" x14ac:dyDescent="0.2">
      <c r="D4">
        <v>0.1</v>
      </c>
      <c r="F4">
        <v>0.1</v>
      </c>
      <c r="G4">
        <v>0.1</v>
      </c>
      <c r="I4">
        <v>0.05</v>
      </c>
      <c r="J4">
        <v>0.1</v>
      </c>
      <c r="L4">
        <v>0.2</v>
      </c>
    </row>
    <row r="5" spans="1:12" x14ac:dyDescent="0.2">
      <c r="A5">
        <v>598829620</v>
      </c>
      <c r="B5" s="22">
        <v>0.27500000000000002</v>
      </c>
      <c r="C5" s="22">
        <v>0.4</v>
      </c>
      <c r="D5" s="22">
        <v>20</v>
      </c>
      <c r="E5" s="22">
        <v>0.15</v>
      </c>
      <c r="F5" s="22">
        <v>15</v>
      </c>
      <c r="G5" s="22">
        <v>15</v>
      </c>
      <c r="H5" s="22">
        <v>0.15</v>
      </c>
      <c r="I5" s="22">
        <v>15</v>
      </c>
      <c r="J5" s="22">
        <v>15</v>
      </c>
      <c r="K5" s="22">
        <v>0.4</v>
      </c>
      <c r="L5" s="22">
        <v>20</v>
      </c>
    </row>
    <row r="6" spans="1:12" x14ac:dyDescent="0.2">
      <c r="A6">
        <v>684014860</v>
      </c>
      <c r="B6" s="22">
        <v>0.56000000000000005</v>
      </c>
      <c r="C6" s="22">
        <v>0.56000000000000005</v>
      </c>
      <c r="D6" s="22">
        <v>28</v>
      </c>
      <c r="E6" s="22">
        <v>0.56000000000000005</v>
      </c>
      <c r="F6" s="22">
        <v>56</v>
      </c>
      <c r="G6" s="22">
        <v>56</v>
      </c>
      <c r="H6" s="22">
        <v>0.56000000000000005</v>
      </c>
      <c r="I6" s="22">
        <v>56</v>
      </c>
      <c r="J6" s="22">
        <v>56</v>
      </c>
      <c r="K6" s="22">
        <v>0.56000000000000005</v>
      </c>
      <c r="L6" s="22">
        <v>28</v>
      </c>
    </row>
    <row r="7" spans="1:12" x14ac:dyDescent="0.2">
      <c r="A7">
        <v>843228181</v>
      </c>
      <c r="B7" s="22">
        <v>0.51500000000000001</v>
      </c>
      <c r="C7" s="22">
        <v>0.42000000000000004</v>
      </c>
      <c r="D7" s="22">
        <v>21</v>
      </c>
      <c r="E7" s="22">
        <v>0.6100000000000001</v>
      </c>
      <c r="F7" s="22">
        <v>61</v>
      </c>
      <c r="G7" s="22">
        <v>61</v>
      </c>
      <c r="H7" s="22">
        <v>0.61</v>
      </c>
      <c r="I7" s="22">
        <v>61</v>
      </c>
      <c r="J7" s="22">
        <v>61</v>
      </c>
      <c r="K7" s="22">
        <v>0.42000000000000004</v>
      </c>
      <c r="L7" s="22">
        <v>21</v>
      </c>
    </row>
    <row r="8" spans="1:12" x14ac:dyDescent="0.2">
      <c r="A8">
        <v>820549378</v>
      </c>
      <c r="B8" s="22">
        <v>0.29000000000000004</v>
      </c>
      <c r="C8" s="22">
        <v>0.26</v>
      </c>
      <c r="D8" s="22">
        <v>13</v>
      </c>
      <c r="E8" s="22">
        <v>0.32</v>
      </c>
      <c r="F8" s="22">
        <v>32</v>
      </c>
      <c r="G8" s="22">
        <v>32</v>
      </c>
      <c r="H8" s="22">
        <v>0.32000000000000006</v>
      </c>
      <c r="I8" s="22">
        <v>32</v>
      </c>
      <c r="J8" s="22">
        <v>32</v>
      </c>
      <c r="K8" s="22">
        <v>0.26</v>
      </c>
      <c r="L8" s="22">
        <v>13</v>
      </c>
    </row>
    <row r="9" spans="1:12" x14ac:dyDescent="0.2">
      <c r="A9">
        <v>533572169</v>
      </c>
      <c r="B9" s="22">
        <v>0.17</v>
      </c>
      <c r="C9" s="22">
        <v>0.04</v>
      </c>
      <c r="D9" s="22">
        <v>2</v>
      </c>
      <c r="E9" s="22">
        <v>0.3</v>
      </c>
      <c r="F9" s="22">
        <v>30</v>
      </c>
      <c r="G9" s="22">
        <v>30</v>
      </c>
      <c r="H9" s="22">
        <v>0.3</v>
      </c>
      <c r="I9" s="22">
        <v>30</v>
      </c>
      <c r="J9" s="22">
        <v>30</v>
      </c>
      <c r="K9" s="22">
        <v>0.04</v>
      </c>
      <c r="L9" s="22">
        <v>2</v>
      </c>
    </row>
    <row r="10" spans="1:12" x14ac:dyDescent="0.2">
      <c r="A10">
        <v>975325712</v>
      </c>
      <c r="B10" s="22">
        <v>0.38</v>
      </c>
      <c r="C10" s="22">
        <v>0.36</v>
      </c>
      <c r="D10" s="22">
        <v>18</v>
      </c>
      <c r="E10" s="22">
        <v>0.4</v>
      </c>
      <c r="F10" s="22">
        <v>40</v>
      </c>
      <c r="G10" s="22">
        <v>40</v>
      </c>
      <c r="H10" s="22">
        <v>0.4</v>
      </c>
      <c r="I10" s="22">
        <v>40</v>
      </c>
      <c r="J10" s="22">
        <v>40</v>
      </c>
      <c r="K10" s="22">
        <v>0.36</v>
      </c>
      <c r="L10" s="22">
        <v>18</v>
      </c>
    </row>
    <row r="11" spans="1:12" x14ac:dyDescent="0.2">
      <c r="A11">
        <v>310082419</v>
      </c>
      <c r="B11" s="22">
        <v>0.13</v>
      </c>
      <c r="C11" s="22">
        <v>0.22000000000000003</v>
      </c>
      <c r="D11" s="22">
        <v>11</v>
      </c>
      <c r="E11" s="22">
        <v>0.04</v>
      </c>
      <c r="F11" s="22">
        <v>4</v>
      </c>
      <c r="G11" s="22">
        <v>4</v>
      </c>
      <c r="H11" s="22">
        <v>4.0000000000000008E-2</v>
      </c>
      <c r="I11" s="22">
        <v>4</v>
      </c>
      <c r="J11" s="22">
        <v>4</v>
      </c>
      <c r="K11" s="22">
        <v>0.22000000000000003</v>
      </c>
      <c r="L11" s="22">
        <v>11</v>
      </c>
    </row>
    <row r="12" spans="1:12" x14ac:dyDescent="0.2">
      <c r="A12">
        <v>242132470</v>
      </c>
      <c r="B12" s="22">
        <v>0.33500000000000002</v>
      </c>
      <c r="C12" s="22">
        <v>0.56000000000000005</v>
      </c>
      <c r="D12" s="22">
        <v>28</v>
      </c>
      <c r="E12" s="22">
        <v>0.11000000000000001</v>
      </c>
      <c r="F12" s="22">
        <v>11</v>
      </c>
      <c r="G12" s="22">
        <v>11</v>
      </c>
      <c r="H12" s="22">
        <v>0.11000000000000001</v>
      </c>
      <c r="I12" s="22">
        <v>11</v>
      </c>
      <c r="J12" s="22">
        <v>11</v>
      </c>
      <c r="K12" s="22">
        <v>0.56000000000000005</v>
      </c>
      <c r="L12" s="22">
        <v>28</v>
      </c>
    </row>
    <row r="13" spans="1:12" x14ac:dyDescent="0.2">
      <c r="A13">
        <v>208248363</v>
      </c>
      <c r="B13" s="22">
        <v>0.45500000000000002</v>
      </c>
      <c r="C13" s="22">
        <v>0.4</v>
      </c>
      <c r="D13" s="22">
        <v>20</v>
      </c>
      <c r="E13" s="22">
        <v>0.51</v>
      </c>
      <c r="F13" s="22">
        <v>51</v>
      </c>
      <c r="G13" s="22">
        <v>51</v>
      </c>
      <c r="H13" s="22">
        <v>0.51</v>
      </c>
      <c r="I13" s="22">
        <v>51</v>
      </c>
      <c r="J13" s="22">
        <v>51</v>
      </c>
      <c r="K13" s="22">
        <v>0.4</v>
      </c>
      <c r="L13" s="22">
        <v>20</v>
      </c>
    </row>
    <row r="14" spans="1:12" x14ac:dyDescent="0.2">
      <c r="A14">
        <v>277055951</v>
      </c>
      <c r="B14" s="22">
        <v>0.13</v>
      </c>
      <c r="C14" s="22">
        <v>0</v>
      </c>
      <c r="D14" s="22">
        <v>0</v>
      </c>
      <c r="E14" s="22">
        <v>0.26</v>
      </c>
      <c r="F14" s="22">
        <v>26</v>
      </c>
      <c r="G14" s="22">
        <v>26</v>
      </c>
      <c r="H14" s="22">
        <v>0.26</v>
      </c>
      <c r="I14" s="22">
        <v>26</v>
      </c>
      <c r="J14" s="22">
        <v>26</v>
      </c>
      <c r="K14" s="22">
        <v>0</v>
      </c>
      <c r="L14" s="22">
        <v>0</v>
      </c>
    </row>
    <row r="15" spans="1:12" x14ac:dyDescent="0.2">
      <c r="A15">
        <v>902907559</v>
      </c>
      <c r="B15" s="22">
        <v>0.49</v>
      </c>
      <c r="C15" s="22">
        <v>0.12000000000000002</v>
      </c>
      <c r="D15" s="22">
        <v>6</v>
      </c>
      <c r="E15" s="22">
        <v>0.86</v>
      </c>
      <c r="F15" s="22">
        <v>86</v>
      </c>
      <c r="G15" s="22">
        <v>86</v>
      </c>
      <c r="H15" s="22">
        <v>0.85999999999999988</v>
      </c>
      <c r="I15" s="22">
        <v>86</v>
      </c>
      <c r="J15" s="22">
        <v>86</v>
      </c>
      <c r="K15" s="22">
        <v>0.12000000000000002</v>
      </c>
      <c r="L15" s="22">
        <v>6</v>
      </c>
    </row>
    <row r="16" spans="1:12" x14ac:dyDescent="0.2">
      <c r="A16">
        <v>528297980</v>
      </c>
      <c r="B16" s="22">
        <v>0.60000000000000009</v>
      </c>
      <c r="C16" s="22">
        <v>0.62</v>
      </c>
      <c r="D16" s="22">
        <v>31</v>
      </c>
      <c r="E16" s="22">
        <v>0.58000000000000007</v>
      </c>
      <c r="F16" s="22">
        <v>58</v>
      </c>
      <c r="G16" s="22">
        <v>58</v>
      </c>
      <c r="H16" s="22">
        <v>0.58000000000000007</v>
      </c>
      <c r="I16" s="22">
        <v>58</v>
      </c>
      <c r="J16" s="22">
        <v>58</v>
      </c>
      <c r="K16" s="22">
        <v>0.62</v>
      </c>
      <c r="L16" s="22">
        <v>31</v>
      </c>
    </row>
    <row r="17" spans="1:12" x14ac:dyDescent="0.2">
      <c r="A17">
        <v>444882790</v>
      </c>
      <c r="B17" s="22">
        <v>9.5000000000000001E-2</v>
      </c>
      <c r="C17" s="22">
        <v>0.14000000000000001</v>
      </c>
      <c r="D17" s="22">
        <v>7</v>
      </c>
      <c r="E17" s="22">
        <v>0.05</v>
      </c>
      <c r="F17" s="22">
        <v>5</v>
      </c>
      <c r="G17" s="22">
        <v>5</v>
      </c>
      <c r="H17" s="22">
        <v>0.05</v>
      </c>
      <c r="I17" s="22">
        <v>5</v>
      </c>
      <c r="J17" s="22">
        <v>5</v>
      </c>
      <c r="K17" s="22">
        <v>0.14000000000000001</v>
      </c>
      <c r="L17" s="22">
        <v>7</v>
      </c>
    </row>
    <row r="18" spans="1:12" x14ac:dyDescent="0.2">
      <c r="A18">
        <v>112085131</v>
      </c>
      <c r="B18" s="22">
        <v>0.155</v>
      </c>
      <c r="C18" s="22">
        <v>0.18</v>
      </c>
      <c r="D18" s="22">
        <v>9</v>
      </c>
      <c r="E18" s="22">
        <v>0.13</v>
      </c>
      <c r="F18" s="22">
        <v>13</v>
      </c>
      <c r="G18" s="22">
        <v>13</v>
      </c>
      <c r="H18" s="22">
        <v>0.13</v>
      </c>
      <c r="I18" s="22">
        <v>13</v>
      </c>
      <c r="J18" s="22">
        <v>13</v>
      </c>
      <c r="K18" s="22">
        <v>0.18</v>
      </c>
      <c r="L18" s="22">
        <v>9</v>
      </c>
    </row>
    <row r="19" spans="1:12" x14ac:dyDescent="0.2">
      <c r="A19">
        <v>588642518</v>
      </c>
      <c r="B19" s="22">
        <v>0.81</v>
      </c>
      <c r="C19" s="22">
        <v>0.68</v>
      </c>
      <c r="D19" s="22">
        <v>34</v>
      </c>
      <c r="E19" s="22">
        <v>0.94000000000000006</v>
      </c>
      <c r="F19" s="22">
        <v>94</v>
      </c>
      <c r="G19" s="22">
        <v>94</v>
      </c>
      <c r="H19" s="22">
        <v>0.94000000000000006</v>
      </c>
      <c r="I19" s="22">
        <v>94</v>
      </c>
      <c r="J19" s="22">
        <v>94</v>
      </c>
      <c r="K19" s="22">
        <v>0.68</v>
      </c>
      <c r="L19" s="22">
        <v>34</v>
      </c>
    </row>
    <row r="20" spans="1:12" x14ac:dyDescent="0.2">
      <c r="A20">
        <v>414520736</v>
      </c>
      <c r="B20" s="22">
        <v>0.47499999999999998</v>
      </c>
      <c r="C20" s="22">
        <v>0.14000000000000001</v>
      </c>
      <c r="D20" s="22">
        <v>7</v>
      </c>
      <c r="E20" s="22">
        <v>0.80999999999999994</v>
      </c>
      <c r="F20" s="22">
        <v>81</v>
      </c>
      <c r="G20" s="22">
        <v>81</v>
      </c>
      <c r="H20" s="22">
        <v>0.80999999999999994</v>
      </c>
      <c r="I20" s="22">
        <v>81</v>
      </c>
      <c r="J20" s="22">
        <v>81</v>
      </c>
      <c r="K20" s="22">
        <v>0.14000000000000001</v>
      </c>
      <c r="L20" s="22">
        <v>7</v>
      </c>
    </row>
    <row r="21" spans="1:12" x14ac:dyDescent="0.2">
      <c r="A21">
        <v>356558346</v>
      </c>
      <c r="B21" s="22">
        <v>0.23499999999999999</v>
      </c>
      <c r="C21" s="22">
        <v>0.04</v>
      </c>
      <c r="D21" s="22">
        <v>2</v>
      </c>
      <c r="E21" s="22">
        <v>0.43</v>
      </c>
      <c r="F21" s="22">
        <v>43</v>
      </c>
      <c r="G21" s="22">
        <v>43</v>
      </c>
      <c r="H21" s="22">
        <v>0.42999999999999994</v>
      </c>
      <c r="I21" s="22">
        <v>43</v>
      </c>
      <c r="J21" s="22">
        <v>43</v>
      </c>
      <c r="K21" s="22">
        <v>0.04</v>
      </c>
      <c r="L21" s="22">
        <v>2</v>
      </c>
    </row>
    <row r="22" spans="1:12" x14ac:dyDescent="0.2">
      <c r="A22">
        <v>970698993</v>
      </c>
      <c r="B22" s="22">
        <v>0.51500000000000001</v>
      </c>
      <c r="C22" s="22">
        <v>0.08</v>
      </c>
      <c r="D22" s="22">
        <v>4</v>
      </c>
      <c r="E22" s="22">
        <v>0.95</v>
      </c>
      <c r="F22" s="22">
        <v>95</v>
      </c>
      <c r="G22" s="22">
        <v>95</v>
      </c>
      <c r="H22" s="22">
        <v>0.95</v>
      </c>
      <c r="I22" s="22">
        <v>95</v>
      </c>
      <c r="J22" s="22">
        <v>95</v>
      </c>
      <c r="K22" s="22">
        <v>0.08</v>
      </c>
      <c r="L22" s="22">
        <v>4</v>
      </c>
    </row>
    <row r="23" spans="1:12" x14ac:dyDescent="0.2">
      <c r="A23">
        <v>633537205</v>
      </c>
      <c r="B23" s="22">
        <v>0.23</v>
      </c>
      <c r="C23" s="22">
        <v>0.1</v>
      </c>
      <c r="D23" s="22">
        <v>5</v>
      </c>
      <c r="E23" s="22">
        <v>0.36</v>
      </c>
      <c r="F23" s="22">
        <v>36</v>
      </c>
      <c r="G23" s="22">
        <v>36</v>
      </c>
      <c r="H23" s="22">
        <v>0.36000000000000004</v>
      </c>
      <c r="I23" s="22">
        <v>36</v>
      </c>
      <c r="J23" s="22">
        <v>36</v>
      </c>
      <c r="K23" s="22">
        <v>0.1</v>
      </c>
      <c r="L23" s="22">
        <v>5</v>
      </c>
    </row>
    <row r="24" spans="1:12" x14ac:dyDescent="0.2">
      <c r="A24">
        <v>534292868</v>
      </c>
      <c r="B24" s="22">
        <v>0.49</v>
      </c>
      <c r="C24" s="22">
        <v>0.08</v>
      </c>
      <c r="D24" s="22">
        <v>4</v>
      </c>
      <c r="E24" s="22">
        <v>0.9</v>
      </c>
      <c r="F24" s="22">
        <v>90</v>
      </c>
      <c r="G24" s="22">
        <v>90</v>
      </c>
      <c r="H24" s="22">
        <v>0.9</v>
      </c>
      <c r="I24" s="22">
        <v>90</v>
      </c>
      <c r="J24" s="22">
        <v>90</v>
      </c>
      <c r="K24" s="22">
        <v>0.08</v>
      </c>
      <c r="L24" s="22">
        <v>4</v>
      </c>
    </row>
    <row r="25" spans="1:12" x14ac:dyDescent="0.2">
      <c r="A25">
        <v>816787809</v>
      </c>
      <c r="B25" s="22">
        <v>0.55500000000000005</v>
      </c>
      <c r="C25" s="22">
        <v>0.64</v>
      </c>
      <c r="D25" s="22">
        <v>32</v>
      </c>
      <c r="E25" s="22">
        <v>0.47000000000000003</v>
      </c>
      <c r="F25" s="22">
        <v>47</v>
      </c>
      <c r="G25" s="22">
        <v>47</v>
      </c>
      <c r="H25" s="22">
        <v>0.47000000000000003</v>
      </c>
      <c r="I25" s="22">
        <v>47</v>
      </c>
      <c r="J25" s="22">
        <v>47</v>
      </c>
      <c r="K25" s="22">
        <v>0.64</v>
      </c>
      <c r="L25" s="22">
        <v>32</v>
      </c>
    </row>
    <row r="26" spans="1:12" x14ac:dyDescent="0.2">
      <c r="A26">
        <v>220052551</v>
      </c>
      <c r="B26" s="22">
        <v>0.44000000000000006</v>
      </c>
      <c r="C26" s="22">
        <v>0.14000000000000001</v>
      </c>
      <c r="D26" s="22">
        <v>7</v>
      </c>
      <c r="E26" s="22">
        <v>0.74</v>
      </c>
      <c r="F26" s="22">
        <v>74</v>
      </c>
      <c r="G26" s="22">
        <v>74</v>
      </c>
      <c r="H26" s="22">
        <v>0.7400000000000001</v>
      </c>
      <c r="I26" s="22">
        <v>74</v>
      </c>
      <c r="J26" s="22">
        <v>74</v>
      </c>
      <c r="K26" s="22">
        <v>0.14000000000000001</v>
      </c>
      <c r="L26" s="22">
        <v>7</v>
      </c>
    </row>
    <row r="27" spans="1:12" x14ac:dyDescent="0.2">
      <c r="A27">
        <v>858571733</v>
      </c>
      <c r="B27" s="22">
        <v>0.17500000000000002</v>
      </c>
      <c r="C27" s="22">
        <v>0.16</v>
      </c>
      <c r="D27" s="22">
        <v>8</v>
      </c>
      <c r="E27" s="22">
        <v>0.19</v>
      </c>
      <c r="F27" s="22">
        <v>19</v>
      </c>
      <c r="G27" s="22">
        <v>19</v>
      </c>
      <c r="H27" s="22">
        <v>0.19</v>
      </c>
      <c r="I27" s="22">
        <v>19</v>
      </c>
      <c r="J27" s="22">
        <v>19</v>
      </c>
      <c r="K27" s="22">
        <v>0.16</v>
      </c>
      <c r="L27" s="22">
        <v>8</v>
      </c>
    </row>
    <row r="28" spans="1:12" x14ac:dyDescent="0.2">
      <c r="A28">
        <v>363436152</v>
      </c>
      <c r="B28" s="22">
        <v>0.33500000000000002</v>
      </c>
      <c r="C28" s="22">
        <v>0.46000000000000008</v>
      </c>
      <c r="D28" s="22">
        <v>23</v>
      </c>
      <c r="E28" s="22">
        <v>0.21000000000000002</v>
      </c>
      <c r="F28" s="22">
        <v>21</v>
      </c>
      <c r="G28" s="22">
        <v>21</v>
      </c>
      <c r="H28" s="22">
        <v>0.21000000000000002</v>
      </c>
      <c r="I28" s="22">
        <v>21</v>
      </c>
      <c r="J28" s="22">
        <v>21</v>
      </c>
      <c r="K28" s="22">
        <v>0.46000000000000008</v>
      </c>
      <c r="L28" s="22">
        <v>23</v>
      </c>
    </row>
    <row r="29" spans="1:12" x14ac:dyDescent="0.2">
      <c r="A29">
        <v>393495083</v>
      </c>
      <c r="B29" s="22">
        <v>0.54499999999999993</v>
      </c>
      <c r="C29" s="22">
        <v>0.18</v>
      </c>
      <c r="D29" s="22">
        <v>9</v>
      </c>
      <c r="E29" s="22">
        <v>0.90999999999999992</v>
      </c>
      <c r="F29" s="22">
        <v>91</v>
      </c>
      <c r="G29" s="22">
        <v>91</v>
      </c>
      <c r="H29" s="22">
        <v>0.90999999999999992</v>
      </c>
      <c r="I29" s="22">
        <v>91</v>
      </c>
      <c r="J29" s="22">
        <v>91</v>
      </c>
      <c r="K29" s="22">
        <v>0.18</v>
      </c>
      <c r="L29" s="22">
        <v>9</v>
      </c>
    </row>
    <row r="30" spans="1:12" x14ac:dyDescent="0.2">
      <c r="A30">
        <v>769635714</v>
      </c>
      <c r="B30" s="22">
        <v>0.76</v>
      </c>
      <c r="C30" s="22">
        <v>0.64</v>
      </c>
      <c r="D30" s="22">
        <v>32</v>
      </c>
      <c r="E30" s="22">
        <v>0.88000000000000012</v>
      </c>
      <c r="F30" s="22">
        <v>88</v>
      </c>
      <c r="G30" s="22">
        <v>88</v>
      </c>
      <c r="H30" s="22">
        <v>0.88000000000000012</v>
      </c>
      <c r="I30" s="22">
        <v>88</v>
      </c>
      <c r="J30" s="22">
        <v>88</v>
      </c>
      <c r="K30" s="22">
        <v>0.64</v>
      </c>
      <c r="L30" s="22">
        <v>32</v>
      </c>
    </row>
    <row r="31" spans="1:12" x14ac:dyDescent="0.2">
      <c r="A31">
        <v>373048949</v>
      </c>
      <c r="B31" s="22">
        <v>0.55000000000000004</v>
      </c>
      <c r="C31" s="22">
        <v>0.3</v>
      </c>
      <c r="D31" s="22">
        <v>15</v>
      </c>
      <c r="E31" s="22">
        <v>0.8</v>
      </c>
      <c r="F31" s="22">
        <v>80</v>
      </c>
      <c r="G31" s="22">
        <v>80</v>
      </c>
      <c r="H31" s="22">
        <v>0.8</v>
      </c>
      <c r="I31" s="22">
        <v>80</v>
      </c>
      <c r="J31" s="22">
        <v>80</v>
      </c>
      <c r="K31" s="22">
        <v>0.3</v>
      </c>
      <c r="L31" s="22">
        <v>15</v>
      </c>
    </row>
    <row r="32" spans="1:12" x14ac:dyDescent="0.2">
      <c r="A32">
        <v>357061292</v>
      </c>
      <c r="B32" s="22">
        <v>0.3</v>
      </c>
      <c r="C32" s="22">
        <v>0.5</v>
      </c>
      <c r="D32" s="22">
        <v>25</v>
      </c>
      <c r="E32" s="22">
        <v>0.1</v>
      </c>
      <c r="F32" s="22">
        <v>10</v>
      </c>
      <c r="G32" s="22">
        <v>10</v>
      </c>
      <c r="H32" s="22">
        <v>0.1</v>
      </c>
      <c r="I32" s="22">
        <v>10</v>
      </c>
      <c r="J32" s="22">
        <v>10</v>
      </c>
      <c r="K32" s="22">
        <v>0.5</v>
      </c>
      <c r="L32" s="22">
        <v>25</v>
      </c>
    </row>
    <row r="33" spans="1:12" x14ac:dyDescent="0.2">
      <c r="A33">
        <v>837310284</v>
      </c>
      <c r="B33" s="22">
        <v>0.40500000000000003</v>
      </c>
      <c r="C33" s="22">
        <v>0.36</v>
      </c>
      <c r="D33" s="22">
        <v>18</v>
      </c>
      <c r="E33" s="22">
        <v>0.45</v>
      </c>
      <c r="F33" s="22">
        <v>45</v>
      </c>
      <c r="G33" s="22">
        <v>45</v>
      </c>
      <c r="H33" s="22">
        <v>0.45</v>
      </c>
      <c r="I33" s="22">
        <v>45</v>
      </c>
      <c r="J33" s="22">
        <v>45</v>
      </c>
      <c r="K33" s="22">
        <v>0.36</v>
      </c>
      <c r="L33" s="22">
        <v>18</v>
      </c>
    </row>
    <row r="34" spans="1:12" x14ac:dyDescent="0.2">
      <c r="A34">
        <v>815854164</v>
      </c>
      <c r="B34" s="22">
        <v>0.755</v>
      </c>
      <c r="C34" s="22">
        <v>0.62</v>
      </c>
      <c r="D34" s="22">
        <v>31</v>
      </c>
      <c r="E34" s="22">
        <v>0.89</v>
      </c>
      <c r="F34" s="22">
        <v>89</v>
      </c>
      <c r="G34" s="22">
        <v>89</v>
      </c>
      <c r="H34" s="22">
        <v>0.89000000000000012</v>
      </c>
      <c r="I34" s="22">
        <v>89</v>
      </c>
      <c r="J34" s="22">
        <v>89</v>
      </c>
      <c r="K34" s="22">
        <v>0.62</v>
      </c>
      <c r="L34" s="22">
        <v>31</v>
      </c>
    </row>
    <row r="35" spans="1:12" x14ac:dyDescent="0.2">
      <c r="A35">
        <v>315378369</v>
      </c>
      <c r="B35" s="22">
        <v>0.24</v>
      </c>
      <c r="C35" s="22">
        <v>0.36</v>
      </c>
      <c r="D35" s="22">
        <v>18</v>
      </c>
      <c r="E35" s="22">
        <v>0.12000000000000002</v>
      </c>
      <c r="F35" s="22">
        <v>12</v>
      </c>
      <c r="G35" s="22">
        <v>12</v>
      </c>
      <c r="H35" s="22">
        <v>0.12000000000000002</v>
      </c>
      <c r="I35" s="22">
        <v>12</v>
      </c>
      <c r="J35" s="22">
        <v>12</v>
      </c>
      <c r="K35" s="22">
        <v>0.36</v>
      </c>
      <c r="L35" s="22">
        <v>18</v>
      </c>
    </row>
    <row r="36" spans="1:12" x14ac:dyDescent="0.2">
      <c r="A36">
        <v>564410540</v>
      </c>
      <c r="B36" s="22">
        <v>0.46499999999999997</v>
      </c>
      <c r="C36" s="22">
        <v>0.72</v>
      </c>
      <c r="D36" s="22">
        <v>36</v>
      </c>
      <c r="E36" s="22">
        <v>0.21000000000000002</v>
      </c>
      <c r="F36" s="22">
        <v>21</v>
      </c>
      <c r="G36" s="22">
        <v>21</v>
      </c>
      <c r="H36" s="22">
        <v>0.21000000000000002</v>
      </c>
      <c r="I36" s="22">
        <v>21</v>
      </c>
      <c r="J36" s="22">
        <v>21</v>
      </c>
      <c r="K36" s="22">
        <v>0.72</v>
      </c>
      <c r="L36" s="22">
        <v>36</v>
      </c>
    </row>
    <row r="37" spans="1:12" x14ac:dyDescent="0.2">
      <c r="A37">
        <v>126539887</v>
      </c>
      <c r="B37" s="22">
        <v>0.34499999999999997</v>
      </c>
      <c r="C37" s="22">
        <v>0.62</v>
      </c>
      <c r="D37" s="22">
        <v>31</v>
      </c>
      <c r="E37" s="22">
        <v>7.0000000000000007E-2</v>
      </c>
      <c r="F37" s="22">
        <v>7</v>
      </c>
      <c r="G37" s="22">
        <v>7</v>
      </c>
      <c r="H37" s="22">
        <v>7.0000000000000007E-2</v>
      </c>
      <c r="I37" s="22">
        <v>7</v>
      </c>
      <c r="J37" s="22">
        <v>7</v>
      </c>
      <c r="K37" s="22">
        <v>0.62</v>
      </c>
      <c r="L37" s="22">
        <v>31</v>
      </c>
    </row>
    <row r="38" spans="1:12" x14ac:dyDescent="0.2">
      <c r="A38">
        <v>563937624</v>
      </c>
      <c r="B38" s="22">
        <v>0.125</v>
      </c>
      <c r="C38" s="22">
        <v>0.2</v>
      </c>
      <c r="D38" s="22">
        <v>10</v>
      </c>
      <c r="E38" s="22">
        <v>0.05</v>
      </c>
      <c r="F38" s="22">
        <v>5</v>
      </c>
      <c r="G38" s="22">
        <v>5</v>
      </c>
      <c r="H38" s="22">
        <v>0.05</v>
      </c>
      <c r="I38" s="22">
        <v>5</v>
      </c>
      <c r="J38" s="22">
        <v>5</v>
      </c>
      <c r="K38" s="22">
        <v>0.2</v>
      </c>
      <c r="L38" s="22">
        <v>10</v>
      </c>
    </row>
    <row r="39" spans="1:12" x14ac:dyDescent="0.2">
      <c r="A39">
        <v>684291511</v>
      </c>
      <c r="B39" s="22">
        <v>0.44500000000000001</v>
      </c>
      <c r="C39" s="22">
        <v>0.52</v>
      </c>
      <c r="D39" s="22">
        <v>26</v>
      </c>
      <c r="E39" s="22">
        <v>0.37</v>
      </c>
      <c r="F39" s="22">
        <v>37</v>
      </c>
      <c r="G39" s="22">
        <v>37</v>
      </c>
      <c r="H39" s="22">
        <v>0.37000000000000005</v>
      </c>
      <c r="I39" s="22">
        <v>37</v>
      </c>
      <c r="J39" s="22">
        <v>37</v>
      </c>
      <c r="K39" s="22">
        <v>0.52</v>
      </c>
      <c r="L39" s="22">
        <v>26</v>
      </c>
    </row>
  </sheetData>
  <pageMargins left="0.7" right="0.7" top="0.75" bottom="0.75" header="0.3" footer="0.3"/>
  <pageSetup orientation="portrait" horizontalDpi="200" verticalDpi="2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Q426"/>
  <sheetViews>
    <sheetView workbookViewId="0">
      <selection activeCell="E13" sqref="E13"/>
    </sheetView>
  </sheetViews>
  <sheetFormatPr baseColWidth="10" defaultColWidth="8.83203125" defaultRowHeight="15" x14ac:dyDescent="0.2"/>
  <cols>
    <col min="1" max="1" width="10.6640625" style="6" bestFit="1" customWidth="1"/>
    <col min="2" max="2" width="5.83203125" style="6" bestFit="1" customWidth="1"/>
    <col min="3" max="3" width="8" style="6" bestFit="1" customWidth="1"/>
    <col min="4" max="4" width="7" style="6" bestFit="1" customWidth="1"/>
    <col min="5" max="5" width="66.83203125" style="6" customWidth="1"/>
    <col min="6" max="6" width="16.5" style="6" bestFit="1" customWidth="1"/>
    <col min="7" max="7" width="10.6640625" style="6" customWidth="1"/>
    <col min="8" max="8" width="9.5" style="6" customWidth="1"/>
    <col min="9" max="9" width="9.83203125" style="6" customWidth="1"/>
    <col min="10" max="10" width="21.1640625" style="6" customWidth="1"/>
    <col min="11" max="13" width="8.83203125" style="6"/>
    <col min="14" max="14" width="4.1640625" style="6" hidden="1" customWidth="1"/>
    <col min="15" max="15" width="64.1640625" style="48" hidden="1" customWidth="1"/>
    <col min="16" max="16" width="21.33203125" style="6" hidden="1" customWidth="1"/>
    <col min="17" max="17" width="33.5" style="6" bestFit="1" customWidth="1"/>
    <col min="18" max="16384" width="8.83203125" style="6"/>
  </cols>
  <sheetData>
    <row r="1" spans="1:17" ht="31" thickBot="1" x14ac:dyDescent="0.25">
      <c r="A1" s="42" t="s">
        <v>83</v>
      </c>
      <c r="B1" s="43" t="s">
        <v>84</v>
      </c>
      <c r="C1" s="43" t="s">
        <v>57</v>
      </c>
      <c r="D1" s="43" t="s">
        <v>51</v>
      </c>
      <c r="E1" s="44" t="s">
        <v>85</v>
      </c>
      <c r="F1" s="45" t="s">
        <v>2</v>
      </c>
      <c r="G1" s="29" t="s">
        <v>507</v>
      </c>
      <c r="H1" s="29" t="s">
        <v>508</v>
      </c>
      <c r="I1" s="46" t="s">
        <v>86</v>
      </c>
      <c r="J1" s="47" t="s">
        <v>86</v>
      </c>
    </row>
    <row r="2" spans="1:17" ht="20" thickBot="1" x14ac:dyDescent="0.25">
      <c r="A2" s="41" t="s">
        <v>91</v>
      </c>
      <c r="B2" s="26" t="s">
        <v>92</v>
      </c>
      <c r="C2" s="26" t="s">
        <v>53</v>
      </c>
      <c r="D2" s="26" t="s">
        <v>93</v>
      </c>
      <c r="E2" s="27" t="s">
        <v>550</v>
      </c>
      <c r="F2" s="28" t="s">
        <v>90</v>
      </c>
      <c r="G2" s="49" t="str">
        <f t="shared" ref="G2:G65" si="0">LEFT(I2,1)</f>
        <v>7</v>
      </c>
      <c r="H2" s="49" t="str">
        <f t="shared" ref="H2:H65" si="1">RIGHT(I2,1)</f>
        <v>b</v>
      </c>
      <c r="I2" s="50" t="s">
        <v>551</v>
      </c>
      <c r="J2" s="6" t="str">
        <f t="shared" ref="J2:J65" si="2">IFERROR(VLOOKUP(I2,$N$3:$O$39,2,FALSE),0)</f>
        <v>Generate effective engineering documentation, using communication tools within the profession and to society at large.</v>
      </c>
      <c r="N2" s="51"/>
      <c r="O2" s="52" t="s">
        <v>552</v>
      </c>
      <c r="P2" s="51" t="s">
        <v>553</v>
      </c>
    </row>
    <row r="3" spans="1:17" x14ac:dyDescent="0.2">
      <c r="A3" s="40" t="s">
        <v>105</v>
      </c>
      <c r="B3" s="23" t="s">
        <v>95</v>
      </c>
      <c r="C3" s="23" t="s">
        <v>53</v>
      </c>
      <c r="D3" s="23" t="s">
        <v>106</v>
      </c>
      <c r="E3" s="27" t="s">
        <v>108</v>
      </c>
      <c r="F3" s="24" t="s">
        <v>90</v>
      </c>
      <c r="G3" s="49" t="str">
        <f t="shared" si="0"/>
        <v>7</v>
      </c>
      <c r="H3" s="49" t="str">
        <f t="shared" si="1"/>
        <v>c</v>
      </c>
      <c r="I3" s="25" t="s">
        <v>554</v>
      </c>
      <c r="J3" s="6" t="str">
        <f t="shared" si="2"/>
        <v>Interpret (use logic) to critically analyze ideas, solutions, and results.</v>
      </c>
      <c r="N3" s="53" t="s">
        <v>555</v>
      </c>
      <c r="O3" s="54" t="s">
        <v>556</v>
      </c>
      <c r="P3" s="80" t="s">
        <v>557</v>
      </c>
      <c r="Q3" s="6" t="str">
        <f>P3</f>
        <v>Knowledge base for engineering</v>
      </c>
    </row>
    <row r="4" spans="1:17" x14ac:dyDescent="0.2">
      <c r="A4" s="40" t="s">
        <v>111</v>
      </c>
      <c r="B4" s="23" t="s">
        <v>92</v>
      </c>
      <c r="C4" s="23" t="s">
        <v>53</v>
      </c>
      <c r="D4" s="23" t="s">
        <v>112</v>
      </c>
      <c r="E4" s="27" t="s">
        <v>108</v>
      </c>
      <c r="F4" s="24" t="s">
        <v>90</v>
      </c>
      <c r="G4" s="49" t="str">
        <f t="shared" si="0"/>
        <v>7</v>
      </c>
      <c r="H4" s="49" t="str">
        <f t="shared" si="1"/>
        <v>b</v>
      </c>
      <c r="I4" s="25" t="s">
        <v>551</v>
      </c>
      <c r="J4" s="6" t="str">
        <f t="shared" si="2"/>
        <v>Generate effective engineering documentation, using communication tools within the profession and to society at large.</v>
      </c>
      <c r="N4" s="55" t="s">
        <v>558</v>
      </c>
      <c r="O4" s="56" t="s">
        <v>559</v>
      </c>
      <c r="P4" s="81"/>
      <c r="Q4" s="6" t="str">
        <f>Q3</f>
        <v>Knowledge base for engineering</v>
      </c>
    </row>
    <row r="5" spans="1:17" x14ac:dyDescent="0.2">
      <c r="A5" s="41" t="s">
        <v>105</v>
      </c>
      <c r="B5" s="26" t="s">
        <v>95</v>
      </c>
      <c r="C5" s="26" t="s">
        <v>53</v>
      </c>
      <c r="D5" s="26" t="s">
        <v>106</v>
      </c>
      <c r="E5" s="27" t="s">
        <v>107</v>
      </c>
      <c r="F5" s="28" t="s">
        <v>90</v>
      </c>
      <c r="G5" s="49" t="str">
        <f t="shared" si="0"/>
        <v>7</v>
      </c>
      <c r="H5" s="49" t="str">
        <f t="shared" si="1"/>
        <v>b</v>
      </c>
      <c r="I5" s="50" t="s">
        <v>551</v>
      </c>
      <c r="J5" s="6" t="str">
        <f t="shared" si="2"/>
        <v>Generate effective engineering documentation, using communication tools within the profession and to society at large.</v>
      </c>
      <c r="N5" s="55" t="s">
        <v>560</v>
      </c>
      <c r="O5" s="56" t="s">
        <v>561</v>
      </c>
      <c r="P5" s="81"/>
      <c r="Q5" s="6" t="str">
        <f t="shared" ref="Q5:Q8" si="3">Q4</f>
        <v>Knowledge base for engineering</v>
      </c>
    </row>
    <row r="6" spans="1:17" x14ac:dyDescent="0.2">
      <c r="A6" s="40" t="s">
        <v>111</v>
      </c>
      <c r="B6" s="23" t="s">
        <v>92</v>
      </c>
      <c r="C6" s="23" t="s">
        <v>53</v>
      </c>
      <c r="D6" s="23" t="s">
        <v>112</v>
      </c>
      <c r="E6" s="27" t="s">
        <v>107</v>
      </c>
      <c r="F6" s="24" t="s">
        <v>90</v>
      </c>
      <c r="G6" s="49" t="str">
        <f t="shared" si="0"/>
        <v>7</v>
      </c>
      <c r="H6" s="49" t="str">
        <f t="shared" si="1"/>
        <v>c</v>
      </c>
      <c r="I6" s="25" t="s">
        <v>554</v>
      </c>
      <c r="J6" s="6" t="str">
        <f t="shared" si="2"/>
        <v>Interpret (use logic) to critically analyze ideas, solutions, and results.</v>
      </c>
      <c r="N6" s="55" t="s">
        <v>562</v>
      </c>
      <c r="O6" s="56" t="s">
        <v>563</v>
      </c>
      <c r="P6" s="81"/>
      <c r="Q6" s="6" t="str">
        <f t="shared" si="3"/>
        <v>Knowledge base for engineering</v>
      </c>
    </row>
    <row r="7" spans="1:17" x14ac:dyDescent="0.2">
      <c r="A7" s="41" t="s">
        <v>111</v>
      </c>
      <c r="B7" s="26" t="s">
        <v>92</v>
      </c>
      <c r="C7" s="26" t="s">
        <v>53</v>
      </c>
      <c r="D7" s="26" t="s">
        <v>112</v>
      </c>
      <c r="E7" s="27" t="s">
        <v>564</v>
      </c>
      <c r="F7" s="28" t="s">
        <v>90</v>
      </c>
      <c r="G7" s="49" t="str">
        <f t="shared" si="0"/>
        <v>7</v>
      </c>
      <c r="H7" s="49" t="str">
        <f t="shared" si="1"/>
        <v>a</v>
      </c>
      <c r="I7" s="50" t="s">
        <v>565</v>
      </c>
      <c r="J7" s="6" t="str">
        <f t="shared" si="2"/>
        <v>Orally present information (of proposals, design and solutions) within the profession and to society at large.</v>
      </c>
      <c r="N7" s="55" t="s">
        <v>566</v>
      </c>
      <c r="O7" s="56" t="s">
        <v>567</v>
      </c>
      <c r="P7" s="81"/>
      <c r="Q7" s="6" t="str">
        <f t="shared" si="3"/>
        <v>Knowledge base for engineering</v>
      </c>
    </row>
    <row r="8" spans="1:17" ht="16" thickBot="1" x14ac:dyDescent="0.25">
      <c r="A8" s="40" t="s">
        <v>105</v>
      </c>
      <c r="B8" s="23" t="s">
        <v>95</v>
      </c>
      <c r="C8" s="23" t="s">
        <v>53</v>
      </c>
      <c r="D8" s="23" t="s">
        <v>106</v>
      </c>
      <c r="E8" s="27" t="s">
        <v>110</v>
      </c>
      <c r="F8" s="24" t="s">
        <v>90</v>
      </c>
      <c r="G8" s="49" t="str">
        <f t="shared" si="0"/>
        <v>7</v>
      </c>
      <c r="H8" s="49" t="str">
        <f t="shared" si="1"/>
        <v>c</v>
      </c>
      <c r="I8" s="25" t="s">
        <v>554</v>
      </c>
      <c r="J8" s="6" t="str">
        <f t="shared" si="2"/>
        <v>Interpret (use logic) to critically analyze ideas, solutions, and results.</v>
      </c>
      <c r="N8" s="57" t="s">
        <v>568</v>
      </c>
      <c r="O8" s="58" t="s">
        <v>569</v>
      </c>
      <c r="P8" s="82"/>
      <c r="Q8" s="6" t="str">
        <f t="shared" si="3"/>
        <v>Knowledge base for engineering</v>
      </c>
    </row>
    <row r="9" spans="1:17" x14ac:dyDescent="0.2">
      <c r="A9" s="40" t="s">
        <v>111</v>
      </c>
      <c r="B9" s="23" t="s">
        <v>92</v>
      </c>
      <c r="C9" s="23" t="s">
        <v>53</v>
      </c>
      <c r="D9" s="23" t="s">
        <v>112</v>
      </c>
      <c r="E9" s="27" t="s">
        <v>114</v>
      </c>
      <c r="F9" s="24" t="s">
        <v>90</v>
      </c>
      <c r="G9" s="49" t="str">
        <f t="shared" si="0"/>
        <v>7</v>
      </c>
      <c r="H9" s="49" t="str">
        <f t="shared" si="1"/>
        <v>a</v>
      </c>
      <c r="I9" s="25" t="s">
        <v>565</v>
      </c>
      <c r="J9" s="6" t="str">
        <f t="shared" si="2"/>
        <v>Orally present information (of proposals, design and solutions) within the profession and to society at large.</v>
      </c>
      <c r="N9" s="53" t="s">
        <v>570</v>
      </c>
      <c r="O9" s="54" t="s">
        <v>571</v>
      </c>
      <c r="P9" s="80" t="s">
        <v>572</v>
      </c>
      <c r="Q9" s="6" t="str">
        <f>P9</f>
        <v xml:space="preserve">Problem Analysis </v>
      </c>
    </row>
    <row r="10" spans="1:17" ht="30" x14ac:dyDescent="0.2">
      <c r="A10" s="41" t="s">
        <v>123</v>
      </c>
      <c r="B10" s="26" t="s">
        <v>95</v>
      </c>
      <c r="C10" s="26" t="s">
        <v>53</v>
      </c>
      <c r="D10" s="26" t="s">
        <v>106</v>
      </c>
      <c r="E10" s="27" t="s">
        <v>573</v>
      </c>
      <c r="F10" s="28" t="s">
        <v>90</v>
      </c>
      <c r="G10" s="49" t="str">
        <f t="shared" si="0"/>
        <v>7</v>
      </c>
      <c r="H10" s="49" t="str">
        <f t="shared" si="1"/>
        <v>a</v>
      </c>
      <c r="I10" s="25" t="s">
        <v>565</v>
      </c>
      <c r="J10" s="6" t="str">
        <f t="shared" si="2"/>
        <v>Orally present information (of proposals, design and solutions) within the profession and to society at large.</v>
      </c>
      <c r="N10" s="55" t="s">
        <v>574</v>
      </c>
      <c r="O10" s="56" t="s">
        <v>575</v>
      </c>
      <c r="P10" s="81"/>
      <c r="Q10" s="6" t="str">
        <f>Q9</f>
        <v xml:space="preserve">Problem Analysis </v>
      </c>
    </row>
    <row r="11" spans="1:17" x14ac:dyDescent="0.2">
      <c r="A11" s="41" t="s">
        <v>100</v>
      </c>
      <c r="B11" s="26" t="s">
        <v>92</v>
      </c>
      <c r="C11" s="26" t="s">
        <v>53</v>
      </c>
      <c r="D11" s="26" t="s">
        <v>98</v>
      </c>
      <c r="E11" s="27" t="s">
        <v>101</v>
      </c>
      <c r="F11" s="28" t="s">
        <v>90</v>
      </c>
      <c r="G11" s="49" t="str">
        <f t="shared" si="0"/>
        <v>7</v>
      </c>
      <c r="H11" s="49" t="str">
        <f t="shared" si="1"/>
        <v>a</v>
      </c>
      <c r="I11" s="25" t="s">
        <v>565</v>
      </c>
      <c r="J11" s="6" t="str">
        <f t="shared" si="2"/>
        <v>Orally present information (of proposals, design and solutions) within the profession and to society at large.</v>
      </c>
      <c r="N11" s="55" t="s">
        <v>576</v>
      </c>
      <c r="O11" s="56" t="s">
        <v>577</v>
      </c>
      <c r="P11" s="81"/>
      <c r="Q11" s="6" t="str">
        <f t="shared" ref="Q11:Q12" si="4">Q10</f>
        <v xml:space="preserve">Problem Analysis </v>
      </c>
    </row>
    <row r="12" spans="1:17" ht="16" thickBot="1" x14ac:dyDescent="0.25">
      <c r="A12" s="40" t="s">
        <v>132</v>
      </c>
      <c r="B12" s="23" t="s">
        <v>92</v>
      </c>
      <c r="C12" s="23" t="s">
        <v>54</v>
      </c>
      <c r="D12" s="23" t="s">
        <v>112</v>
      </c>
      <c r="E12" s="27" t="s">
        <v>133</v>
      </c>
      <c r="F12" s="24" t="s">
        <v>90</v>
      </c>
      <c r="G12" s="49" t="str">
        <f t="shared" si="0"/>
        <v>7</v>
      </c>
      <c r="H12" s="49" t="str">
        <f t="shared" si="1"/>
        <v>a</v>
      </c>
      <c r="I12" s="25" t="s">
        <v>565</v>
      </c>
      <c r="J12" s="6" t="str">
        <f t="shared" si="2"/>
        <v>Orally present information (of proposals, design and solutions) within the profession and to society at large.</v>
      </c>
      <c r="N12" s="57" t="s">
        <v>578</v>
      </c>
      <c r="O12" s="59" t="s">
        <v>579</v>
      </c>
      <c r="P12" s="82"/>
      <c r="Q12" s="6" t="str">
        <f t="shared" si="4"/>
        <v xml:space="preserve">Problem Analysis </v>
      </c>
    </row>
    <row r="13" spans="1:17" ht="30" x14ac:dyDescent="0.2">
      <c r="A13" s="41" t="s">
        <v>126</v>
      </c>
      <c r="B13" s="26" t="s">
        <v>92</v>
      </c>
      <c r="C13" s="26" t="s">
        <v>54</v>
      </c>
      <c r="D13" s="26" t="s">
        <v>112</v>
      </c>
      <c r="E13" s="27" t="s">
        <v>580</v>
      </c>
      <c r="F13" s="28" t="s">
        <v>90</v>
      </c>
      <c r="G13" s="49" t="str">
        <f t="shared" si="0"/>
        <v>7</v>
      </c>
      <c r="H13" s="49" t="str">
        <f t="shared" si="1"/>
        <v>a</v>
      </c>
      <c r="I13" s="50" t="s">
        <v>565</v>
      </c>
      <c r="J13" s="6" t="str">
        <f t="shared" si="2"/>
        <v>Orally present information (of proposals, design and solutions) within the profession and to society at large.</v>
      </c>
      <c r="N13" s="53" t="s">
        <v>581</v>
      </c>
      <c r="O13" s="54" t="s">
        <v>582</v>
      </c>
      <c r="P13" s="80" t="s">
        <v>60</v>
      </c>
      <c r="Q13" s="6" t="str">
        <f>P13</f>
        <v>Investigation</v>
      </c>
    </row>
    <row r="14" spans="1:17" ht="31" thickBot="1" x14ac:dyDescent="0.25">
      <c r="A14" s="40" t="s">
        <v>136</v>
      </c>
      <c r="B14" s="23" t="s">
        <v>92</v>
      </c>
      <c r="C14" s="23" t="s">
        <v>53</v>
      </c>
      <c r="D14" s="23" t="s">
        <v>98</v>
      </c>
      <c r="E14" s="27" t="s">
        <v>137</v>
      </c>
      <c r="F14" s="24" t="s">
        <v>90</v>
      </c>
      <c r="G14" s="49" t="str">
        <f t="shared" si="0"/>
        <v>7</v>
      </c>
      <c r="H14" s="49" t="str">
        <f t="shared" si="1"/>
        <v>b</v>
      </c>
      <c r="I14" s="25" t="s">
        <v>551</v>
      </c>
      <c r="J14" s="6" t="str">
        <f t="shared" si="2"/>
        <v>Generate effective engineering documentation, using communication tools within the profession and to society at large.</v>
      </c>
      <c r="N14" s="57" t="s">
        <v>583</v>
      </c>
      <c r="O14" s="58" t="s">
        <v>584</v>
      </c>
      <c r="P14" s="82"/>
      <c r="Q14" s="6" t="str">
        <f>P13</f>
        <v>Investigation</v>
      </c>
    </row>
    <row r="15" spans="1:17" x14ac:dyDescent="0.2">
      <c r="A15" s="40" t="s">
        <v>87</v>
      </c>
      <c r="B15" s="23" t="s">
        <v>88</v>
      </c>
      <c r="C15" s="23" t="s">
        <v>53</v>
      </c>
      <c r="D15" s="23" t="s">
        <v>89</v>
      </c>
      <c r="E15" s="27" t="s">
        <v>585</v>
      </c>
      <c r="F15" s="24" t="s">
        <v>90</v>
      </c>
      <c r="G15" s="49" t="str">
        <f t="shared" si="0"/>
        <v>7</v>
      </c>
      <c r="H15" s="49" t="str">
        <f t="shared" si="1"/>
        <v>c</v>
      </c>
      <c r="I15" s="25" t="s">
        <v>554</v>
      </c>
      <c r="J15" s="6" t="str">
        <f t="shared" si="2"/>
        <v>Interpret (use logic) to critically analyze ideas, solutions, and results.</v>
      </c>
      <c r="N15" s="53" t="s">
        <v>586</v>
      </c>
      <c r="O15" s="54" t="s">
        <v>587</v>
      </c>
      <c r="P15" s="80" t="s">
        <v>61</v>
      </c>
      <c r="Q15" s="6" t="str">
        <f>P15</f>
        <v>Design</v>
      </c>
    </row>
    <row r="16" spans="1:17" ht="30" x14ac:dyDescent="0.2">
      <c r="A16" s="40" t="s">
        <v>94</v>
      </c>
      <c r="B16" s="23" t="s">
        <v>95</v>
      </c>
      <c r="C16" s="23" t="s">
        <v>53</v>
      </c>
      <c r="D16" s="23" t="s">
        <v>96</v>
      </c>
      <c r="E16" s="27" t="s">
        <v>588</v>
      </c>
      <c r="F16" s="24" t="s">
        <v>90</v>
      </c>
      <c r="G16" s="49" t="str">
        <f t="shared" si="0"/>
        <v>7</v>
      </c>
      <c r="H16" s="49" t="str">
        <f t="shared" si="1"/>
        <v>a</v>
      </c>
      <c r="I16" s="25" t="s">
        <v>565</v>
      </c>
      <c r="J16" s="6" t="str">
        <f t="shared" si="2"/>
        <v>Orally present information (of proposals, design and solutions) within the profession and to society at large.</v>
      </c>
      <c r="N16" s="55" t="s">
        <v>589</v>
      </c>
      <c r="O16" s="56" t="s">
        <v>590</v>
      </c>
      <c r="P16" s="81"/>
      <c r="Q16" s="6" t="str">
        <f>P15</f>
        <v>Design</v>
      </c>
    </row>
    <row r="17" spans="1:17" ht="31" thickBot="1" x14ac:dyDescent="0.25">
      <c r="A17" s="41" t="s">
        <v>136</v>
      </c>
      <c r="B17" s="26" t="s">
        <v>92</v>
      </c>
      <c r="C17" s="26" t="s">
        <v>53</v>
      </c>
      <c r="D17" s="26" t="s">
        <v>98</v>
      </c>
      <c r="E17" s="27" t="s">
        <v>138</v>
      </c>
      <c r="F17" s="28" t="s">
        <v>90</v>
      </c>
      <c r="G17" s="49" t="str">
        <f t="shared" si="0"/>
        <v>7</v>
      </c>
      <c r="H17" s="49" t="str">
        <f t="shared" si="1"/>
        <v>a</v>
      </c>
      <c r="I17" s="49" t="s">
        <v>565</v>
      </c>
      <c r="J17" s="6" t="str">
        <f t="shared" si="2"/>
        <v>Orally present information (of proposals, design and solutions) within the profession and to society at large.</v>
      </c>
      <c r="N17" s="57" t="s">
        <v>591</v>
      </c>
      <c r="O17" s="58" t="s">
        <v>592</v>
      </c>
      <c r="P17" s="82"/>
      <c r="Q17" s="6" t="str">
        <f>P15</f>
        <v>Design</v>
      </c>
    </row>
    <row r="18" spans="1:17" x14ac:dyDescent="0.2">
      <c r="A18" s="40" t="s">
        <v>115</v>
      </c>
      <c r="B18" s="23" t="s">
        <v>95</v>
      </c>
      <c r="C18" s="23" t="s">
        <v>54</v>
      </c>
      <c r="D18" s="23" t="s">
        <v>106</v>
      </c>
      <c r="E18" s="27" t="s">
        <v>117</v>
      </c>
      <c r="F18" s="24" t="s">
        <v>90</v>
      </c>
      <c r="G18" s="49" t="str">
        <f t="shared" si="0"/>
        <v>7</v>
      </c>
      <c r="H18" s="49" t="str">
        <f t="shared" si="1"/>
        <v>b</v>
      </c>
      <c r="I18" s="25" t="s">
        <v>551</v>
      </c>
      <c r="J18" s="6" t="str">
        <f t="shared" si="2"/>
        <v>Generate effective engineering documentation, using communication tools within the profession and to society at large.</v>
      </c>
      <c r="N18" s="53" t="s">
        <v>593</v>
      </c>
      <c r="O18" s="60" t="s">
        <v>594</v>
      </c>
      <c r="P18" s="80" t="s">
        <v>524</v>
      </c>
      <c r="Q18" s="6" t="str">
        <f>P18</f>
        <v>Use of Engineering Tools</v>
      </c>
    </row>
    <row r="19" spans="1:17" x14ac:dyDescent="0.2">
      <c r="A19" s="40" t="s">
        <v>91</v>
      </c>
      <c r="B19" s="23" t="s">
        <v>92</v>
      </c>
      <c r="C19" s="23" t="s">
        <v>53</v>
      </c>
      <c r="D19" s="23" t="s">
        <v>93</v>
      </c>
      <c r="E19" s="27" t="s">
        <v>595</v>
      </c>
      <c r="F19" s="24" t="s">
        <v>90</v>
      </c>
      <c r="G19" s="49" t="str">
        <f t="shared" si="0"/>
        <v>7</v>
      </c>
      <c r="H19" s="49" t="str">
        <f t="shared" si="1"/>
        <v>b</v>
      </c>
      <c r="I19" s="25" t="s">
        <v>551</v>
      </c>
      <c r="J19" s="6" t="str">
        <f t="shared" si="2"/>
        <v>Generate effective engineering documentation, using communication tools within the profession and to society at large.</v>
      </c>
      <c r="N19" s="55" t="s">
        <v>596</v>
      </c>
      <c r="O19" s="56" t="s">
        <v>597</v>
      </c>
      <c r="P19" s="81"/>
      <c r="Q19" s="6" t="str">
        <f>P18</f>
        <v>Use of Engineering Tools</v>
      </c>
    </row>
    <row r="20" spans="1:17" ht="16" thickBot="1" x14ac:dyDescent="0.25">
      <c r="A20" s="40" t="s">
        <v>126</v>
      </c>
      <c r="B20" s="23" t="s">
        <v>92</v>
      </c>
      <c r="C20" s="23" t="s">
        <v>54</v>
      </c>
      <c r="D20" s="23" t="s">
        <v>112</v>
      </c>
      <c r="E20" s="27" t="s">
        <v>129</v>
      </c>
      <c r="F20" s="24" t="s">
        <v>90</v>
      </c>
      <c r="G20" s="49" t="str">
        <f t="shared" si="0"/>
        <v>7</v>
      </c>
      <c r="H20" s="49" t="str">
        <f t="shared" si="1"/>
        <v>b</v>
      </c>
      <c r="I20" s="25" t="s">
        <v>551</v>
      </c>
      <c r="J20" s="6" t="str">
        <f t="shared" si="2"/>
        <v>Generate effective engineering documentation, using communication tools within the profession and to society at large.</v>
      </c>
      <c r="N20" s="57" t="s">
        <v>598</v>
      </c>
      <c r="O20" s="61" t="s">
        <v>599</v>
      </c>
      <c r="P20" s="82"/>
      <c r="Q20" s="6" t="str">
        <f>P18</f>
        <v>Use of Engineering Tools</v>
      </c>
    </row>
    <row r="21" spans="1:17" ht="16" x14ac:dyDescent="0.2">
      <c r="A21" s="41" t="s">
        <v>102</v>
      </c>
      <c r="B21" s="26" t="s">
        <v>95</v>
      </c>
      <c r="C21" s="26" t="s">
        <v>53</v>
      </c>
      <c r="D21" s="26" t="s">
        <v>96</v>
      </c>
      <c r="E21" s="27" t="s">
        <v>103</v>
      </c>
      <c r="F21" s="28" t="s">
        <v>90</v>
      </c>
      <c r="G21" s="49" t="str">
        <f t="shared" si="0"/>
        <v>7</v>
      </c>
      <c r="H21" s="49" t="str">
        <f t="shared" si="1"/>
        <v>b</v>
      </c>
      <c r="I21" s="25" t="s">
        <v>551</v>
      </c>
      <c r="J21" s="6" t="str">
        <f t="shared" si="2"/>
        <v>Generate effective engineering documentation, using communication tools within the profession and to society at large.</v>
      </c>
      <c r="N21" s="62" t="s">
        <v>600</v>
      </c>
      <c r="O21" s="63" t="s">
        <v>601</v>
      </c>
      <c r="P21" s="77" t="s">
        <v>602</v>
      </c>
      <c r="Q21" s="6" t="str">
        <f>P21</f>
        <v>Individual and team work</v>
      </c>
    </row>
    <row r="22" spans="1:17" ht="33" thickBot="1" x14ac:dyDescent="0.25">
      <c r="A22" s="41" t="s">
        <v>124</v>
      </c>
      <c r="B22" s="26" t="s">
        <v>92</v>
      </c>
      <c r="C22" s="26" t="s">
        <v>54</v>
      </c>
      <c r="D22" s="26" t="s">
        <v>112</v>
      </c>
      <c r="E22" s="27" t="s">
        <v>125</v>
      </c>
      <c r="F22" s="28" t="s">
        <v>90</v>
      </c>
      <c r="G22" s="49" t="str">
        <f t="shared" si="0"/>
        <v>7</v>
      </c>
      <c r="H22" s="49" t="str">
        <f t="shared" si="1"/>
        <v>b</v>
      </c>
      <c r="I22" s="50" t="s">
        <v>551</v>
      </c>
      <c r="J22" s="6" t="str">
        <f t="shared" si="2"/>
        <v>Generate effective engineering documentation, using communication tools within the profession and to society at large.</v>
      </c>
      <c r="N22" s="64" t="s">
        <v>603</v>
      </c>
      <c r="O22" s="65" t="s">
        <v>604</v>
      </c>
      <c r="P22" s="79"/>
      <c r="Q22" s="6" t="str">
        <f>P21</f>
        <v>Individual and team work</v>
      </c>
    </row>
    <row r="23" spans="1:17" ht="32" x14ac:dyDescent="0.2">
      <c r="A23" s="41" t="s">
        <v>118</v>
      </c>
      <c r="B23" s="26" t="s">
        <v>92</v>
      </c>
      <c r="C23" s="26" t="s">
        <v>53</v>
      </c>
      <c r="D23" s="26" t="s">
        <v>98</v>
      </c>
      <c r="E23" s="27" t="s">
        <v>119</v>
      </c>
      <c r="F23" s="28" t="s">
        <v>90</v>
      </c>
      <c r="G23" s="49" t="str">
        <f t="shared" si="0"/>
        <v>7</v>
      </c>
      <c r="H23" s="49" t="str">
        <f t="shared" si="1"/>
        <v>b</v>
      </c>
      <c r="I23" s="50" t="s">
        <v>551</v>
      </c>
      <c r="J23" s="6" t="str">
        <f t="shared" si="2"/>
        <v>Generate effective engineering documentation, using communication tools within the profession and to society at large.</v>
      </c>
      <c r="N23" s="62" t="s">
        <v>565</v>
      </c>
      <c r="O23" s="66" t="s">
        <v>605</v>
      </c>
      <c r="P23" s="77" t="s">
        <v>606</v>
      </c>
      <c r="Q23" s="6" t="str">
        <f>P23</f>
        <v>Communication skills</v>
      </c>
    </row>
    <row r="24" spans="1:17" ht="32" x14ac:dyDescent="0.2">
      <c r="A24" s="40" t="s">
        <v>142</v>
      </c>
      <c r="B24" s="23" t="s">
        <v>92</v>
      </c>
      <c r="C24" s="23" t="s">
        <v>53</v>
      </c>
      <c r="D24" s="23" t="s">
        <v>98</v>
      </c>
      <c r="E24" s="27" t="s">
        <v>143</v>
      </c>
      <c r="F24" s="24" t="s">
        <v>90</v>
      </c>
      <c r="G24" s="49" t="str">
        <f t="shared" si="0"/>
        <v>7</v>
      </c>
      <c r="H24" s="49" t="str">
        <f t="shared" si="1"/>
        <v>b</v>
      </c>
      <c r="I24" s="25" t="s">
        <v>551</v>
      </c>
      <c r="J24" s="6" t="str">
        <f t="shared" si="2"/>
        <v>Generate effective engineering documentation, using communication tools within the profession and to society at large.</v>
      </c>
      <c r="N24" s="67" t="s">
        <v>551</v>
      </c>
      <c r="O24" s="68" t="s">
        <v>607</v>
      </c>
      <c r="P24" s="78"/>
      <c r="Q24" s="6" t="str">
        <f>P23</f>
        <v>Communication skills</v>
      </c>
    </row>
    <row r="25" spans="1:17" ht="17" thickBot="1" x14ac:dyDescent="0.25">
      <c r="A25" s="40" t="s">
        <v>147</v>
      </c>
      <c r="B25" s="23" t="s">
        <v>88</v>
      </c>
      <c r="C25" s="23" t="s">
        <v>53</v>
      </c>
      <c r="D25" s="23" t="s">
        <v>148</v>
      </c>
      <c r="E25" s="27" t="s">
        <v>143</v>
      </c>
      <c r="F25" s="24" t="s">
        <v>90</v>
      </c>
      <c r="G25" s="49" t="str">
        <f t="shared" si="0"/>
        <v>7</v>
      </c>
      <c r="H25" s="49" t="str">
        <f t="shared" si="1"/>
        <v>c</v>
      </c>
      <c r="I25" s="25" t="s">
        <v>554</v>
      </c>
      <c r="J25" s="6" t="str">
        <f t="shared" si="2"/>
        <v>Interpret (use logic) to critically analyze ideas, solutions, and results.</v>
      </c>
      <c r="N25" s="64" t="s">
        <v>554</v>
      </c>
      <c r="O25" s="69" t="s">
        <v>608</v>
      </c>
      <c r="P25" s="79"/>
      <c r="Q25" s="6" t="str">
        <f>P23</f>
        <v>Communication skills</v>
      </c>
    </row>
    <row r="26" spans="1:17" x14ac:dyDescent="0.2">
      <c r="A26" s="41" t="s">
        <v>151</v>
      </c>
      <c r="B26" s="26" t="s">
        <v>95</v>
      </c>
      <c r="C26" s="26" t="s">
        <v>53</v>
      </c>
      <c r="D26" s="26" t="s">
        <v>106</v>
      </c>
      <c r="E26" s="27" t="s">
        <v>143</v>
      </c>
      <c r="F26" s="28" t="s">
        <v>90</v>
      </c>
      <c r="G26" s="49" t="str">
        <f t="shared" si="0"/>
        <v>7</v>
      </c>
      <c r="H26" s="49" t="str">
        <f t="shared" si="1"/>
        <v>b</v>
      </c>
      <c r="I26" s="50" t="s">
        <v>551</v>
      </c>
      <c r="J26" s="6" t="str">
        <f t="shared" si="2"/>
        <v>Generate effective engineering documentation, using communication tools within the profession and to society at large.</v>
      </c>
      <c r="N26" s="62" t="s">
        <v>609</v>
      </c>
      <c r="O26" s="70" t="s">
        <v>610</v>
      </c>
      <c r="P26" s="77" t="s">
        <v>62</v>
      </c>
      <c r="Q26" s="6" t="str">
        <f>P26</f>
        <v>Professionalism</v>
      </c>
    </row>
    <row r="27" spans="1:17" ht="16" thickBot="1" x14ac:dyDescent="0.25">
      <c r="A27" s="40" t="s">
        <v>147</v>
      </c>
      <c r="B27" s="23" t="s">
        <v>88</v>
      </c>
      <c r="C27" s="23" t="s">
        <v>53</v>
      </c>
      <c r="D27" s="23" t="s">
        <v>148</v>
      </c>
      <c r="E27" s="27" t="s">
        <v>150</v>
      </c>
      <c r="F27" s="24" t="s">
        <v>90</v>
      </c>
      <c r="G27" s="49" t="str">
        <f t="shared" si="0"/>
        <v>7</v>
      </c>
      <c r="H27" s="49" t="str">
        <f t="shared" si="1"/>
        <v>b</v>
      </c>
      <c r="I27" s="25" t="s">
        <v>551</v>
      </c>
      <c r="J27" s="6" t="str">
        <f t="shared" si="2"/>
        <v>Generate effective engineering documentation, using communication tools within the profession and to society at large.</v>
      </c>
      <c r="N27" s="64" t="s">
        <v>611</v>
      </c>
      <c r="O27" s="71" t="s">
        <v>612</v>
      </c>
      <c r="P27" s="79"/>
      <c r="Q27" s="6" t="str">
        <f>P26</f>
        <v>Professionalism</v>
      </c>
    </row>
    <row r="28" spans="1:17" ht="30" x14ac:dyDescent="0.2">
      <c r="A28" s="41" t="s">
        <v>147</v>
      </c>
      <c r="B28" s="26" t="s">
        <v>88</v>
      </c>
      <c r="C28" s="26" t="s">
        <v>53</v>
      </c>
      <c r="D28" s="26" t="s">
        <v>148</v>
      </c>
      <c r="E28" s="27" t="s">
        <v>149</v>
      </c>
      <c r="F28" s="28" t="s">
        <v>90</v>
      </c>
      <c r="G28" s="49" t="str">
        <f t="shared" si="0"/>
        <v>7</v>
      </c>
      <c r="H28" s="49" t="str">
        <f t="shared" si="1"/>
        <v>b</v>
      </c>
      <c r="I28" s="25" t="s">
        <v>551</v>
      </c>
      <c r="J28" s="6" t="str">
        <f t="shared" si="2"/>
        <v>Generate effective engineering documentation, using communication tools within the profession and to society at large.</v>
      </c>
      <c r="N28" s="62" t="s">
        <v>613</v>
      </c>
      <c r="O28" s="70" t="s">
        <v>614</v>
      </c>
      <c r="P28" s="77" t="s">
        <v>615</v>
      </c>
      <c r="Q28" s="6" t="str">
        <f>P28</f>
        <v>Impact of engineering</v>
      </c>
    </row>
    <row r="29" spans="1:17" ht="30" x14ac:dyDescent="0.2">
      <c r="A29" s="41" t="s">
        <v>142</v>
      </c>
      <c r="B29" s="26" t="s">
        <v>92</v>
      </c>
      <c r="C29" s="26" t="s">
        <v>53</v>
      </c>
      <c r="D29" s="26" t="s">
        <v>98</v>
      </c>
      <c r="E29" s="27" t="s">
        <v>144</v>
      </c>
      <c r="F29" s="28" t="s">
        <v>90</v>
      </c>
      <c r="G29" s="72" t="str">
        <f t="shared" si="0"/>
        <v>7</v>
      </c>
      <c r="H29" s="72" t="str">
        <f t="shared" si="1"/>
        <v>b</v>
      </c>
      <c r="I29" s="50" t="s">
        <v>551</v>
      </c>
      <c r="J29" s="6" t="str">
        <f t="shared" si="2"/>
        <v>Generate effective engineering documentation, using communication tools within the profession and to society at large.</v>
      </c>
      <c r="N29" s="67" t="s">
        <v>616</v>
      </c>
      <c r="O29" s="73" t="s">
        <v>617</v>
      </c>
      <c r="P29" s="78"/>
      <c r="Q29" s="6" t="str">
        <f>P28</f>
        <v>Impact of engineering</v>
      </c>
    </row>
    <row r="30" spans="1:17" ht="31" thickBot="1" x14ac:dyDescent="0.25">
      <c r="A30" s="40" t="s">
        <v>151</v>
      </c>
      <c r="B30" s="23" t="s">
        <v>95</v>
      </c>
      <c r="C30" s="23" t="s">
        <v>53</v>
      </c>
      <c r="D30" s="23" t="s">
        <v>106</v>
      </c>
      <c r="E30" s="27" t="s">
        <v>144</v>
      </c>
      <c r="F30" s="24" t="s">
        <v>90</v>
      </c>
      <c r="G30" s="72" t="str">
        <f t="shared" si="0"/>
        <v>7</v>
      </c>
      <c r="H30" s="72" t="str">
        <f t="shared" si="1"/>
        <v>b</v>
      </c>
      <c r="I30" s="25" t="s">
        <v>551</v>
      </c>
      <c r="J30" s="6" t="str">
        <f t="shared" si="2"/>
        <v>Generate effective engineering documentation, using communication tools within the profession and to society at large.</v>
      </c>
      <c r="N30" s="64" t="s">
        <v>618</v>
      </c>
      <c r="O30" s="71" t="s">
        <v>619</v>
      </c>
      <c r="P30" s="79"/>
      <c r="Q30" s="6" t="str">
        <f>P28</f>
        <v>Impact of engineering</v>
      </c>
    </row>
    <row r="31" spans="1:17" ht="30" x14ac:dyDescent="0.2">
      <c r="A31" s="41" t="s">
        <v>87</v>
      </c>
      <c r="B31" s="26" t="s">
        <v>88</v>
      </c>
      <c r="C31" s="26" t="s">
        <v>53</v>
      </c>
      <c r="D31" s="26" t="s">
        <v>89</v>
      </c>
      <c r="E31" s="27" t="s">
        <v>620</v>
      </c>
      <c r="F31" s="28" t="s">
        <v>90</v>
      </c>
      <c r="G31" s="49" t="str">
        <f t="shared" si="0"/>
        <v>7</v>
      </c>
      <c r="H31" s="49" t="str">
        <f t="shared" si="1"/>
        <v>b</v>
      </c>
      <c r="I31" s="50" t="s">
        <v>551</v>
      </c>
      <c r="J31" s="6" t="str">
        <f t="shared" si="2"/>
        <v>Generate effective engineering documentation, using communication tools within the profession and to society at large.</v>
      </c>
      <c r="N31" s="62" t="s">
        <v>621</v>
      </c>
      <c r="O31" s="70" t="s">
        <v>622</v>
      </c>
      <c r="P31" s="77" t="s">
        <v>623</v>
      </c>
      <c r="Q31" s="6" t="str">
        <f>P31</f>
        <v>Ethics and equity</v>
      </c>
    </row>
    <row r="32" spans="1:17" x14ac:dyDescent="0.2">
      <c r="A32" s="41" t="s">
        <v>102</v>
      </c>
      <c r="B32" s="26" t="s">
        <v>95</v>
      </c>
      <c r="C32" s="26" t="s">
        <v>53</v>
      </c>
      <c r="D32" s="26" t="s">
        <v>96</v>
      </c>
      <c r="E32" s="27" t="s">
        <v>104</v>
      </c>
      <c r="F32" s="28" t="s">
        <v>90</v>
      </c>
      <c r="G32" s="49" t="str">
        <f t="shared" si="0"/>
        <v>7</v>
      </c>
      <c r="H32" s="49" t="str">
        <f t="shared" si="1"/>
        <v>b</v>
      </c>
      <c r="I32" s="25" t="s">
        <v>551</v>
      </c>
      <c r="J32" s="6" t="str">
        <f t="shared" si="2"/>
        <v>Generate effective engineering documentation, using communication tools within the profession and to society at large.</v>
      </c>
      <c r="N32" s="67" t="s">
        <v>624</v>
      </c>
      <c r="O32" s="74" t="s">
        <v>625</v>
      </c>
      <c r="P32" s="78"/>
      <c r="Q32" s="6" t="str">
        <f>P31</f>
        <v>Ethics and equity</v>
      </c>
    </row>
    <row r="33" spans="1:17" ht="31" thickBot="1" x14ac:dyDescent="0.25">
      <c r="A33" s="41" t="s">
        <v>120</v>
      </c>
      <c r="B33" s="26" t="s">
        <v>92</v>
      </c>
      <c r="C33" s="26" t="s">
        <v>54</v>
      </c>
      <c r="D33" s="26" t="s">
        <v>112</v>
      </c>
      <c r="E33" s="27" t="s">
        <v>121</v>
      </c>
      <c r="F33" s="28" t="s">
        <v>90</v>
      </c>
      <c r="G33" s="49" t="str">
        <f t="shared" si="0"/>
        <v>7</v>
      </c>
      <c r="H33" s="49" t="str">
        <f t="shared" si="1"/>
        <v>b</v>
      </c>
      <c r="I33" s="50" t="s">
        <v>551</v>
      </c>
      <c r="J33" s="6" t="str">
        <f t="shared" si="2"/>
        <v>Generate effective engineering documentation, using communication tools within the profession and to society at large.</v>
      </c>
      <c r="N33" s="64" t="s">
        <v>626</v>
      </c>
      <c r="O33" s="71"/>
      <c r="P33" s="79"/>
      <c r="Q33" s="6" t="str">
        <f>P31</f>
        <v>Ethics and equity</v>
      </c>
    </row>
    <row r="34" spans="1:17" ht="30" x14ac:dyDescent="0.2">
      <c r="A34" s="41" t="s">
        <v>97</v>
      </c>
      <c r="B34" s="26" t="s">
        <v>92</v>
      </c>
      <c r="C34" s="26" t="s">
        <v>53</v>
      </c>
      <c r="D34" s="26" t="s">
        <v>98</v>
      </c>
      <c r="E34" s="27" t="s">
        <v>99</v>
      </c>
      <c r="F34" s="28" t="s">
        <v>90</v>
      </c>
      <c r="G34" s="49" t="str">
        <f t="shared" si="0"/>
        <v>7</v>
      </c>
      <c r="H34" s="49" t="str">
        <f t="shared" si="1"/>
        <v>b</v>
      </c>
      <c r="I34" s="25" t="s">
        <v>551</v>
      </c>
      <c r="J34" s="6" t="str">
        <f t="shared" si="2"/>
        <v>Generate effective engineering documentation, using communication tools within the profession and to society at large.</v>
      </c>
      <c r="N34" s="62" t="s">
        <v>627</v>
      </c>
      <c r="O34" s="70" t="s">
        <v>628</v>
      </c>
      <c r="P34" s="77" t="s">
        <v>629</v>
      </c>
      <c r="Q34" s="6" t="str">
        <f>P34</f>
        <v>Economics and project management</v>
      </c>
    </row>
    <row r="35" spans="1:17" ht="30" x14ac:dyDescent="0.2">
      <c r="A35" s="41" t="s">
        <v>97</v>
      </c>
      <c r="B35" s="26" t="s">
        <v>88</v>
      </c>
      <c r="C35" s="26" t="s">
        <v>54</v>
      </c>
      <c r="D35" s="26"/>
      <c r="E35" s="27" t="s">
        <v>99</v>
      </c>
      <c r="F35" s="28" t="s">
        <v>90</v>
      </c>
      <c r="G35" s="49" t="str">
        <f t="shared" si="0"/>
        <v>7</v>
      </c>
      <c r="H35" s="49" t="str">
        <f t="shared" si="1"/>
        <v>b</v>
      </c>
      <c r="I35" s="50" t="s">
        <v>551</v>
      </c>
      <c r="J35" s="6" t="str">
        <f t="shared" si="2"/>
        <v>Generate effective engineering documentation, using communication tools within the profession and to society at large.</v>
      </c>
      <c r="N35" s="67" t="s">
        <v>630</v>
      </c>
      <c r="O35" s="73" t="s">
        <v>631</v>
      </c>
      <c r="P35" s="78"/>
      <c r="Q35" s="6" t="str">
        <f>P34</f>
        <v>Economics and project management</v>
      </c>
    </row>
    <row r="36" spans="1:17" ht="31" thickBot="1" x14ac:dyDescent="0.25">
      <c r="A36" s="41" t="s">
        <v>139</v>
      </c>
      <c r="B36" s="26" t="s">
        <v>92</v>
      </c>
      <c r="C36" s="26" t="s">
        <v>54</v>
      </c>
      <c r="D36" s="26" t="s">
        <v>112</v>
      </c>
      <c r="E36" s="27" t="s">
        <v>141</v>
      </c>
      <c r="F36" s="28" t="s">
        <v>90</v>
      </c>
      <c r="G36" s="49" t="str">
        <f t="shared" si="0"/>
        <v>7</v>
      </c>
      <c r="H36" s="49" t="str">
        <f t="shared" si="1"/>
        <v>a</v>
      </c>
      <c r="I36" s="50" t="s">
        <v>565</v>
      </c>
      <c r="J36" s="6" t="str">
        <f t="shared" si="2"/>
        <v>Orally present information (of proposals, design and solutions) within the profession and to society at large.</v>
      </c>
      <c r="N36" s="64" t="s">
        <v>632</v>
      </c>
      <c r="O36" s="71" t="s">
        <v>633</v>
      </c>
      <c r="P36" s="79"/>
      <c r="Q36" s="6" t="str">
        <f>P34</f>
        <v>Economics and project management</v>
      </c>
    </row>
    <row r="37" spans="1:17" ht="30" x14ac:dyDescent="0.2">
      <c r="A37" s="41" t="s">
        <v>111</v>
      </c>
      <c r="B37" s="26" t="s">
        <v>92</v>
      </c>
      <c r="C37" s="26" t="s">
        <v>53</v>
      </c>
      <c r="D37" s="26" t="s">
        <v>112</v>
      </c>
      <c r="E37" s="27" t="s">
        <v>113</v>
      </c>
      <c r="F37" s="28" t="s">
        <v>90</v>
      </c>
      <c r="G37" s="49" t="str">
        <f t="shared" si="0"/>
        <v>7</v>
      </c>
      <c r="H37" s="49" t="str">
        <f t="shared" si="1"/>
        <v>b</v>
      </c>
      <c r="I37" s="50" t="s">
        <v>551</v>
      </c>
      <c r="J37" s="6" t="str">
        <f t="shared" si="2"/>
        <v>Generate effective engineering documentation, using communication tools within the profession and to society at large.</v>
      </c>
      <c r="N37" s="62" t="s">
        <v>634</v>
      </c>
      <c r="O37" s="70" t="s">
        <v>635</v>
      </c>
      <c r="P37" s="77" t="s">
        <v>636</v>
      </c>
      <c r="Q37" s="6" t="str">
        <f>P37</f>
        <v>Life-long learning</v>
      </c>
    </row>
    <row r="38" spans="1:17" x14ac:dyDescent="0.2">
      <c r="A38" s="41" t="s">
        <v>105</v>
      </c>
      <c r="B38" s="26" t="s">
        <v>95</v>
      </c>
      <c r="C38" s="26" t="s">
        <v>53</v>
      </c>
      <c r="D38" s="26" t="s">
        <v>106</v>
      </c>
      <c r="E38" s="27" t="s">
        <v>109</v>
      </c>
      <c r="F38" s="28" t="s">
        <v>90</v>
      </c>
      <c r="G38" s="49" t="str">
        <f t="shared" si="0"/>
        <v>7</v>
      </c>
      <c r="H38" s="49" t="str">
        <f t="shared" si="1"/>
        <v>b</v>
      </c>
      <c r="I38" s="50" t="s">
        <v>551</v>
      </c>
      <c r="J38" s="6" t="str">
        <f t="shared" si="2"/>
        <v>Generate effective engineering documentation, using communication tools within the profession and to society at large.</v>
      </c>
      <c r="N38" s="67" t="s">
        <v>637</v>
      </c>
      <c r="O38" s="75" t="s">
        <v>638</v>
      </c>
      <c r="P38" s="78"/>
      <c r="Q38" s="6" t="str">
        <f>P37</f>
        <v>Life-long learning</v>
      </c>
    </row>
    <row r="39" spans="1:17" ht="16" thickBot="1" x14ac:dyDescent="0.25">
      <c r="A39" s="40" t="s">
        <v>100</v>
      </c>
      <c r="B39" s="23" t="s">
        <v>92</v>
      </c>
      <c r="C39" s="23" t="s">
        <v>53</v>
      </c>
      <c r="D39" s="23" t="s">
        <v>98</v>
      </c>
      <c r="E39" s="27" t="s">
        <v>639</v>
      </c>
      <c r="F39" s="24" t="s">
        <v>90</v>
      </c>
      <c r="G39" s="49" t="str">
        <f t="shared" si="0"/>
        <v>7</v>
      </c>
      <c r="H39" s="49" t="str">
        <f t="shared" si="1"/>
        <v>b</v>
      </c>
      <c r="I39" s="25" t="s">
        <v>551</v>
      </c>
      <c r="J39" s="6" t="str">
        <f t="shared" si="2"/>
        <v>Generate effective engineering documentation, using communication tools within the profession and to society at large.</v>
      </c>
      <c r="N39" s="64" t="s">
        <v>640</v>
      </c>
      <c r="O39" s="76" t="s">
        <v>641</v>
      </c>
      <c r="P39" s="79"/>
      <c r="Q39" s="6" t="str">
        <f>P37</f>
        <v>Life-long learning</v>
      </c>
    </row>
    <row r="40" spans="1:17" ht="30" x14ac:dyDescent="0.2">
      <c r="A40" s="41" t="s">
        <v>132</v>
      </c>
      <c r="B40" s="26" t="s">
        <v>92</v>
      </c>
      <c r="C40" s="26" t="s">
        <v>54</v>
      </c>
      <c r="D40" s="26" t="s">
        <v>112</v>
      </c>
      <c r="E40" s="27" t="s">
        <v>134</v>
      </c>
      <c r="F40" s="28" t="s">
        <v>90</v>
      </c>
      <c r="G40" s="49" t="str">
        <f t="shared" si="0"/>
        <v>7</v>
      </c>
      <c r="H40" s="49" t="str">
        <f t="shared" si="1"/>
        <v>c</v>
      </c>
      <c r="I40" s="50" t="s">
        <v>554</v>
      </c>
      <c r="J40" s="6" t="str">
        <f t="shared" si="2"/>
        <v>Interpret (use logic) to critically analyze ideas, solutions, and results.</v>
      </c>
    </row>
    <row r="41" spans="1:17" ht="30" x14ac:dyDescent="0.2">
      <c r="A41" s="40" t="s">
        <v>147</v>
      </c>
      <c r="B41" s="23" t="s">
        <v>88</v>
      </c>
      <c r="C41" s="23" t="s">
        <v>53</v>
      </c>
      <c r="D41" s="23" t="s">
        <v>148</v>
      </c>
      <c r="E41" s="27" t="s">
        <v>146</v>
      </c>
      <c r="F41" s="24" t="s">
        <v>90</v>
      </c>
      <c r="G41" s="49" t="str">
        <f t="shared" si="0"/>
        <v>7</v>
      </c>
      <c r="H41" s="49" t="str">
        <f t="shared" si="1"/>
        <v>a</v>
      </c>
      <c r="I41" s="25" t="s">
        <v>565</v>
      </c>
      <c r="J41" s="6" t="str">
        <f t="shared" si="2"/>
        <v>Orally present information (of proposals, design and solutions) within the profession and to society at large.</v>
      </c>
    </row>
    <row r="42" spans="1:17" ht="30" x14ac:dyDescent="0.2">
      <c r="A42" s="40" t="s">
        <v>151</v>
      </c>
      <c r="B42" s="23" t="s">
        <v>95</v>
      </c>
      <c r="C42" s="23" t="s">
        <v>53</v>
      </c>
      <c r="D42" s="23" t="s">
        <v>106</v>
      </c>
      <c r="E42" s="27" t="s">
        <v>146</v>
      </c>
      <c r="F42" s="24" t="s">
        <v>90</v>
      </c>
      <c r="G42" s="49" t="str">
        <f t="shared" si="0"/>
        <v>7</v>
      </c>
      <c r="H42" s="49" t="str">
        <f t="shared" si="1"/>
        <v>b</v>
      </c>
      <c r="I42" s="25" t="s">
        <v>551</v>
      </c>
      <c r="J42" s="6" t="str">
        <f t="shared" si="2"/>
        <v>Generate effective engineering documentation, using communication tools within the profession and to society at large.</v>
      </c>
    </row>
    <row r="43" spans="1:17" ht="30" x14ac:dyDescent="0.2">
      <c r="A43" s="41" t="s">
        <v>142</v>
      </c>
      <c r="B43" s="26" t="s">
        <v>92</v>
      </c>
      <c r="C43" s="26" t="s">
        <v>53</v>
      </c>
      <c r="D43" s="26" t="s">
        <v>98</v>
      </c>
      <c r="E43" s="27" t="s">
        <v>146</v>
      </c>
      <c r="F43" s="28" t="s">
        <v>90</v>
      </c>
      <c r="G43" s="49" t="str">
        <f t="shared" si="0"/>
        <v>7</v>
      </c>
      <c r="H43" s="49" t="str">
        <f t="shared" si="1"/>
        <v>b</v>
      </c>
      <c r="I43" s="50" t="s">
        <v>551</v>
      </c>
      <c r="J43" s="6" t="str">
        <f t="shared" si="2"/>
        <v>Generate effective engineering documentation, using communication tools within the profession and to society at large.</v>
      </c>
    </row>
    <row r="44" spans="1:17" x14ac:dyDescent="0.2">
      <c r="A44" s="40" t="s">
        <v>142</v>
      </c>
      <c r="B44" s="23" t="s">
        <v>92</v>
      </c>
      <c r="C44" s="23" t="s">
        <v>53</v>
      </c>
      <c r="D44" s="23" t="s">
        <v>98</v>
      </c>
      <c r="E44" s="27" t="s">
        <v>145</v>
      </c>
      <c r="F44" s="24" t="s">
        <v>90</v>
      </c>
      <c r="G44" s="49" t="str">
        <f t="shared" si="0"/>
        <v>7</v>
      </c>
      <c r="H44" s="49" t="str">
        <f t="shared" si="1"/>
        <v>c</v>
      </c>
      <c r="I44" s="25" t="s">
        <v>554</v>
      </c>
      <c r="J44" s="6" t="str">
        <f t="shared" si="2"/>
        <v>Interpret (use logic) to critically analyze ideas, solutions, and results.</v>
      </c>
    </row>
    <row r="45" spans="1:17" x14ac:dyDescent="0.2">
      <c r="A45" s="41" t="s">
        <v>147</v>
      </c>
      <c r="B45" s="26" t="s">
        <v>88</v>
      </c>
      <c r="C45" s="26" t="s">
        <v>53</v>
      </c>
      <c r="D45" s="26" t="s">
        <v>148</v>
      </c>
      <c r="E45" s="27" t="s">
        <v>145</v>
      </c>
      <c r="F45" s="28" t="s">
        <v>90</v>
      </c>
      <c r="G45" s="49" t="str">
        <f t="shared" si="0"/>
        <v>7</v>
      </c>
      <c r="H45" s="49" t="str">
        <f t="shared" si="1"/>
        <v>c</v>
      </c>
      <c r="I45" s="50" t="s">
        <v>554</v>
      </c>
      <c r="J45" s="6" t="str">
        <f t="shared" si="2"/>
        <v>Interpret (use logic) to critically analyze ideas, solutions, and results.</v>
      </c>
    </row>
    <row r="46" spans="1:17" x14ac:dyDescent="0.2">
      <c r="A46" s="41" t="s">
        <v>151</v>
      </c>
      <c r="B46" s="26" t="s">
        <v>95</v>
      </c>
      <c r="C46" s="26" t="s">
        <v>53</v>
      </c>
      <c r="D46" s="26" t="s">
        <v>106</v>
      </c>
      <c r="E46" s="27" t="s">
        <v>145</v>
      </c>
      <c r="F46" s="28" t="s">
        <v>90</v>
      </c>
      <c r="G46" s="49" t="str">
        <f t="shared" si="0"/>
        <v>7</v>
      </c>
      <c r="H46" s="49" t="str">
        <f t="shared" si="1"/>
        <v>c</v>
      </c>
      <c r="I46" s="50" t="s">
        <v>554</v>
      </c>
      <c r="J46" s="6" t="str">
        <f t="shared" si="2"/>
        <v>Interpret (use logic) to critically analyze ideas, solutions, and results.</v>
      </c>
    </row>
    <row r="47" spans="1:17" x14ac:dyDescent="0.2">
      <c r="A47" s="41" t="s">
        <v>115</v>
      </c>
      <c r="B47" s="26" t="s">
        <v>95</v>
      </c>
      <c r="C47" s="26" t="s">
        <v>54</v>
      </c>
      <c r="D47" s="26" t="s">
        <v>106</v>
      </c>
      <c r="E47" s="27" t="s">
        <v>116</v>
      </c>
      <c r="F47" s="28" t="s">
        <v>90</v>
      </c>
      <c r="G47" s="49" t="str">
        <f t="shared" si="0"/>
        <v>7</v>
      </c>
      <c r="H47" s="49" t="str">
        <f t="shared" si="1"/>
        <v>a</v>
      </c>
      <c r="I47" s="50" t="s">
        <v>565</v>
      </c>
      <c r="J47" s="6" t="str">
        <f t="shared" si="2"/>
        <v>Orally present information (of proposals, design and solutions) within the profession and to society at large.</v>
      </c>
    </row>
    <row r="48" spans="1:17" x14ac:dyDescent="0.2">
      <c r="A48" s="40" t="s">
        <v>87</v>
      </c>
      <c r="B48" s="23" t="s">
        <v>88</v>
      </c>
      <c r="C48" s="23" t="s">
        <v>53</v>
      </c>
      <c r="D48" s="23" t="s">
        <v>89</v>
      </c>
      <c r="E48" s="27" t="s">
        <v>642</v>
      </c>
      <c r="F48" s="24" t="s">
        <v>90</v>
      </c>
      <c r="G48" s="49" t="str">
        <f t="shared" si="0"/>
        <v>7</v>
      </c>
      <c r="H48" s="49" t="str">
        <f t="shared" si="1"/>
        <v>a</v>
      </c>
      <c r="I48" s="25" t="s">
        <v>565</v>
      </c>
      <c r="J48" s="6" t="str">
        <f t="shared" si="2"/>
        <v>Orally present information (of proposals, design and solutions) within the profession and to society at large.</v>
      </c>
    </row>
    <row r="49" spans="1:10" x14ac:dyDescent="0.2">
      <c r="A49" s="40" t="s">
        <v>102</v>
      </c>
      <c r="B49" s="23" t="s">
        <v>95</v>
      </c>
      <c r="C49" s="23" t="s">
        <v>53</v>
      </c>
      <c r="D49" s="23" t="s">
        <v>96</v>
      </c>
      <c r="E49" s="27" t="s">
        <v>643</v>
      </c>
      <c r="F49" s="24" t="s">
        <v>90</v>
      </c>
      <c r="G49" s="49" t="str">
        <f t="shared" si="0"/>
        <v>7</v>
      </c>
      <c r="H49" s="49" t="str">
        <f t="shared" si="1"/>
        <v>a</v>
      </c>
      <c r="I49" s="25" t="s">
        <v>565</v>
      </c>
      <c r="J49" s="6" t="str">
        <f t="shared" si="2"/>
        <v>Orally present information (of proposals, design and solutions) within the profession and to society at large.</v>
      </c>
    </row>
    <row r="50" spans="1:10" x14ac:dyDescent="0.2">
      <c r="A50" s="40" t="s">
        <v>120</v>
      </c>
      <c r="B50" s="23" t="s">
        <v>92</v>
      </c>
      <c r="C50" s="23" t="s">
        <v>54</v>
      </c>
      <c r="D50" s="23" t="s">
        <v>112</v>
      </c>
      <c r="E50" s="27" t="s">
        <v>122</v>
      </c>
      <c r="F50" s="24" t="s">
        <v>90</v>
      </c>
      <c r="G50" s="49" t="str">
        <f t="shared" si="0"/>
        <v>7</v>
      </c>
      <c r="H50" s="49" t="str">
        <f t="shared" si="1"/>
        <v>a</v>
      </c>
      <c r="I50" s="25" t="s">
        <v>565</v>
      </c>
      <c r="J50" s="6" t="str">
        <f t="shared" si="2"/>
        <v>Orally present information (of proposals, design and solutions) within the profession and to society at large.</v>
      </c>
    </row>
    <row r="51" spans="1:10" x14ac:dyDescent="0.2">
      <c r="A51" s="40" t="s">
        <v>126</v>
      </c>
      <c r="B51" s="23" t="s">
        <v>92</v>
      </c>
      <c r="C51" s="23" t="s">
        <v>54</v>
      </c>
      <c r="D51" s="23" t="s">
        <v>112</v>
      </c>
      <c r="E51" s="27" t="s">
        <v>127</v>
      </c>
      <c r="F51" s="24" t="s">
        <v>90</v>
      </c>
      <c r="G51" s="49" t="str">
        <f t="shared" si="0"/>
        <v>7</v>
      </c>
      <c r="H51" s="49" t="str">
        <f t="shared" si="1"/>
        <v>a</v>
      </c>
      <c r="I51" s="25" t="s">
        <v>565</v>
      </c>
      <c r="J51" s="6" t="str">
        <f t="shared" si="2"/>
        <v>Orally present information (of proposals, design and solutions) within the profession and to society at large.</v>
      </c>
    </row>
    <row r="52" spans="1:10" ht="30" x14ac:dyDescent="0.2">
      <c r="A52" s="40" t="s">
        <v>132</v>
      </c>
      <c r="B52" s="23" t="s">
        <v>92</v>
      </c>
      <c r="C52" s="23" t="s">
        <v>54</v>
      </c>
      <c r="D52" s="23" t="s">
        <v>112</v>
      </c>
      <c r="E52" s="27" t="s">
        <v>135</v>
      </c>
      <c r="F52" s="24" t="s">
        <v>90</v>
      </c>
      <c r="G52" s="49" t="str">
        <f t="shared" si="0"/>
        <v>7</v>
      </c>
      <c r="H52" s="49" t="str">
        <f t="shared" si="1"/>
        <v>c</v>
      </c>
      <c r="I52" s="25" t="s">
        <v>554</v>
      </c>
      <c r="J52" s="6" t="str">
        <f t="shared" si="2"/>
        <v>Interpret (use logic) to critically analyze ideas, solutions, and results.</v>
      </c>
    </row>
    <row r="53" spans="1:10" x14ac:dyDescent="0.2">
      <c r="A53" s="40" t="s">
        <v>97</v>
      </c>
      <c r="B53" s="23" t="s">
        <v>92</v>
      </c>
      <c r="C53" s="23" t="s">
        <v>53</v>
      </c>
      <c r="D53" s="23" t="s">
        <v>98</v>
      </c>
      <c r="E53" s="27" t="s">
        <v>644</v>
      </c>
      <c r="F53" s="24" t="s">
        <v>90</v>
      </c>
      <c r="G53" s="49" t="str">
        <f t="shared" si="0"/>
        <v>7</v>
      </c>
      <c r="H53" s="49" t="str">
        <f t="shared" si="1"/>
        <v>b</v>
      </c>
      <c r="I53" s="25" t="s">
        <v>551</v>
      </c>
      <c r="J53" s="6" t="str">
        <f t="shared" si="2"/>
        <v>Generate effective engineering documentation, using communication tools within the profession and to society at large.</v>
      </c>
    </row>
    <row r="54" spans="1:10" x14ac:dyDescent="0.2">
      <c r="A54" s="40" t="s">
        <v>97</v>
      </c>
      <c r="B54" s="23" t="s">
        <v>88</v>
      </c>
      <c r="C54" s="23" t="s">
        <v>54</v>
      </c>
      <c r="D54" s="23"/>
      <c r="E54" s="27" t="s">
        <v>644</v>
      </c>
      <c r="F54" s="24" t="s">
        <v>90</v>
      </c>
      <c r="G54" s="49" t="str">
        <f t="shared" si="0"/>
        <v>7</v>
      </c>
      <c r="H54" s="49" t="str">
        <f t="shared" si="1"/>
        <v>b</v>
      </c>
      <c r="I54" s="25" t="s">
        <v>551</v>
      </c>
      <c r="J54" s="6" t="str">
        <f t="shared" si="2"/>
        <v>Generate effective engineering documentation, using communication tools within the profession and to society at large.</v>
      </c>
    </row>
    <row r="55" spans="1:10" x14ac:dyDescent="0.2">
      <c r="A55" s="40" t="s">
        <v>139</v>
      </c>
      <c r="B55" s="23" t="s">
        <v>92</v>
      </c>
      <c r="C55" s="23" t="s">
        <v>54</v>
      </c>
      <c r="D55" s="23" t="s">
        <v>112</v>
      </c>
      <c r="E55" s="27" t="s">
        <v>140</v>
      </c>
      <c r="F55" s="24" t="s">
        <v>90</v>
      </c>
      <c r="G55" s="49" t="str">
        <f t="shared" si="0"/>
        <v>7</v>
      </c>
      <c r="H55" s="49" t="str">
        <f t="shared" si="1"/>
        <v>c</v>
      </c>
      <c r="I55" s="25" t="s">
        <v>554</v>
      </c>
      <c r="J55" s="6" t="str">
        <f t="shared" si="2"/>
        <v>Interpret (use logic) to critically analyze ideas, solutions, and results.</v>
      </c>
    </row>
    <row r="56" spans="1:10" x14ac:dyDescent="0.2">
      <c r="A56" s="41" t="s">
        <v>115</v>
      </c>
      <c r="B56" s="26" t="s">
        <v>95</v>
      </c>
      <c r="C56" s="26" t="s">
        <v>54</v>
      </c>
      <c r="D56" s="26" t="s">
        <v>106</v>
      </c>
      <c r="E56" s="27" t="s">
        <v>645</v>
      </c>
      <c r="F56" s="28" t="s">
        <v>90</v>
      </c>
      <c r="G56" s="49" t="str">
        <f t="shared" si="0"/>
        <v>7</v>
      </c>
      <c r="H56" s="49" t="str">
        <f t="shared" si="1"/>
        <v>c</v>
      </c>
      <c r="I56" s="25" t="s">
        <v>554</v>
      </c>
      <c r="J56" s="6" t="str">
        <f t="shared" si="2"/>
        <v>Interpret (use logic) to critically analyze ideas, solutions, and results.</v>
      </c>
    </row>
    <row r="57" spans="1:10" x14ac:dyDescent="0.2">
      <c r="A57" s="40" t="s">
        <v>126</v>
      </c>
      <c r="B57" s="23" t="s">
        <v>92</v>
      </c>
      <c r="C57" s="23" t="s">
        <v>54</v>
      </c>
      <c r="D57" s="23" t="s">
        <v>112</v>
      </c>
      <c r="E57" s="27" t="s">
        <v>131</v>
      </c>
      <c r="F57" s="24" t="s">
        <v>90</v>
      </c>
      <c r="G57" s="49" t="str">
        <f t="shared" si="0"/>
        <v>7</v>
      </c>
      <c r="H57" s="49" t="str">
        <f t="shared" si="1"/>
        <v>a</v>
      </c>
      <c r="I57" s="25" t="s">
        <v>565</v>
      </c>
      <c r="J57" s="6" t="str">
        <f t="shared" si="2"/>
        <v>Orally present information (of proposals, design and solutions) within the profession and to society at large.</v>
      </c>
    </row>
    <row r="58" spans="1:10" ht="30" x14ac:dyDescent="0.2">
      <c r="A58" s="41" t="s">
        <v>94</v>
      </c>
      <c r="B58" s="26" t="s">
        <v>95</v>
      </c>
      <c r="C58" s="26" t="s">
        <v>53</v>
      </c>
      <c r="D58" s="26" t="s">
        <v>96</v>
      </c>
      <c r="E58" s="27" t="s">
        <v>646</v>
      </c>
      <c r="F58" s="28" t="s">
        <v>90</v>
      </c>
      <c r="G58" s="49" t="str">
        <f t="shared" si="0"/>
        <v>7</v>
      </c>
      <c r="H58" s="49" t="str">
        <f t="shared" si="1"/>
        <v>b</v>
      </c>
      <c r="I58" s="25" t="s">
        <v>551</v>
      </c>
      <c r="J58" s="6" t="str">
        <f t="shared" si="2"/>
        <v>Generate effective engineering documentation, using communication tools within the profession and to society at large.</v>
      </c>
    </row>
    <row r="59" spans="1:10" x14ac:dyDescent="0.2">
      <c r="A59" s="41" t="s">
        <v>126</v>
      </c>
      <c r="B59" s="26" t="s">
        <v>92</v>
      </c>
      <c r="C59" s="26" t="s">
        <v>54</v>
      </c>
      <c r="D59" s="26" t="s">
        <v>112</v>
      </c>
      <c r="E59" s="27" t="s">
        <v>128</v>
      </c>
      <c r="F59" s="28" t="s">
        <v>90</v>
      </c>
      <c r="G59" s="49" t="str">
        <f t="shared" si="0"/>
        <v>7</v>
      </c>
      <c r="H59" s="49" t="str">
        <f t="shared" si="1"/>
        <v>b</v>
      </c>
      <c r="I59" s="25" t="s">
        <v>551</v>
      </c>
      <c r="J59" s="6" t="str">
        <f t="shared" si="2"/>
        <v>Generate effective engineering documentation, using communication tools within the profession and to society at large.</v>
      </c>
    </row>
    <row r="60" spans="1:10" x14ac:dyDescent="0.2">
      <c r="A60" s="41" t="s">
        <v>126</v>
      </c>
      <c r="B60" s="26" t="s">
        <v>92</v>
      </c>
      <c r="C60" s="26" t="s">
        <v>54</v>
      </c>
      <c r="D60" s="26" t="s">
        <v>112</v>
      </c>
      <c r="E60" s="27" t="s">
        <v>130</v>
      </c>
      <c r="F60" s="28" t="s">
        <v>90</v>
      </c>
      <c r="G60" s="49" t="str">
        <f t="shared" si="0"/>
        <v>7</v>
      </c>
      <c r="H60" s="49" t="str">
        <f t="shared" si="1"/>
        <v>b</v>
      </c>
      <c r="I60" s="25" t="s">
        <v>551</v>
      </c>
      <c r="J60" s="6" t="str">
        <f t="shared" si="2"/>
        <v>Generate effective engineering documentation, using communication tools within the profession and to society at large.</v>
      </c>
    </row>
    <row r="61" spans="1:10" ht="30" x14ac:dyDescent="0.2">
      <c r="A61" s="40" t="s">
        <v>155</v>
      </c>
      <c r="B61" s="23" t="s">
        <v>92</v>
      </c>
      <c r="C61" s="23" t="s">
        <v>53</v>
      </c>
      <c r="D61" s="23" t="s">
        <v>93</v>
      </c>
      <c r="E61" s="27" t="s">
        <v>157</v>
      </c>
      <c r="F61" s="24" t="s">
        <v>61</v>
      </c>
      <c r="G61" s="49" t="str">
        <f t="shared" si="0"/>
        <v>4</v>
      </c>
      <c r="H61" s="49" t="str">
        <f t="shared" si="1"/>
        <v>c</v>
      </c>
      <c r="I61" s="25" t="s">
        <v>591</v>
      </c>
      <c r="J61" s="6" t="str">
        <f t="shared" si="2"/>
        <v>Design and implement software and mathematical models for solving an open ended business/ organization problems.</v>
      </c>
    </row>
    <row r="62" spans="1:10" x14ac:dyDescent="0.2">
      <c r="A62" s="41" t="s">
        <v>155</v>
      </c>
      <c r="B62" s="26" t="s">
        <v>92</v>
      </c>
      <c r="C62" s="26" t="s">
        <v>53</v>
      </c>
      <c r="D62" s="26" t="s">
        <v>93</v>
      </c>
      <c r="E62" s="27" t="s">
        <v>156</v>
      </c>
      <c r="F62" s="28" t="s">
        <v>61</v>
      </c>
      <c r="G62" s="49" t="str">
        <f t="shared" si="0"/>
        <v>4</v>
      </c>
      <c r="H62" s="49" t="str">
        <f t="shared" si="1"/>
        <v>c</v>
      </c>
      <c r="I62" s="25" t="s">
        <v>591</v>
      </c>
      <c r="J62" s="6" t="str">
        <f t="shared" si="2"/>
        <v>Design and implement software and mathematical models for solving an open ended business/ organization problems.</v>
      </c>
    </row>
    <row r="63" spans="1:10" ht="30" x14ac:dyDescent="0.2">
      <c r="A63" s="40" t="s">
        <v>136</v>
      </c>
      <c r="B63" s="23" t="s">
        <v>92</v>
      </c>
      <c r="C63" s="23" t="s">
        <v>53</v>
      </c>
      <c r="D63" s="23" t="s">
        <v>98</v>
      </c>
      <c r="E63" s="27" t="s">
        <v>179</v>
      </c>
      <c r="F63" s="24" t="s">
        <v>61</v>
      </c>
      <c r="G63" s="49" t="str">
        <f t="shared" si="0"/>
        <v>4</v>
      </c>
      <c r="H63" s="49" t="str">
        <f t="shared" si="1"/>
        <v>a</v>
      </c>
      <c r="I63" s="25" t="s">
        <v>586</v>
      </c>
      <c r="J63" s="6" t="str">
        <f t="shared" si="2"/>
        <v>Follow a structured design methodology.</v>
      </c>
    </row>
    <row r="64" spans="1:10" ht="30" x14ac:dyDescent="0.2">
      <c r="A64" s="40" t="s">
        <v>180</v>
      </c>
      <c r="B64" s="23" t="s">
        <v>88</v>
      </c>
      <c r="C64" s="23" t="s">
        <v>54</v>
      </c>
      <c r="D64" s="23" t="s">
        <v>148</v>
      </c>
      <c r="E64" s="27" t="s">
        <v>76</v>
      </c>
      <c r="F64" s="24" t="s">
        <v>61</v>
      </c>
      <c r="G64" s="49" t="str">
        <f t="shared" si="0"/>
        <v>4</v>
      </c>
      <c r="H64" s="49" t="str">
        <f t="shared" si="1"/>
        <v>c</v>
      </c>
      <c r="I64" s="25" t="s">
        <v>591</v>
      </c>
      <c r="J64" s="6" t="str">
        <f t="shared" si="2"/>
        <v>Design and implement software and mathematical models for solving an open ended business/ organization problems.</v>
      </c>
    </row>
    <row r="65" spans="1:10" x14ac:dyDescent="0.2">
      <c r="A65" s="41" t="s">
        <v>87</v>
      </c>
      <c r="B65" s="26" t="s">
        <v>88</v>
      </c>
      <c r="C65" s="26" t="s">
        <v>53</v>
      </c>
      <c r="D65" s="26" t="s">
        <v>89</v>
      </c>
      <c r="E65" s="27" t="s">
        <v>152</v>
      </c>
      <c r="F65" s="28" t="s">
        <v>61</v>
      </c>
      <c r="G65" s="49" t="str">
        <f t="shared" si="0"/>
        <v>4</v>
      </c>
      <c r="H65" s="49" t="str">
        <f t="shared" si="1"/>
        <v>c</v>
      </c>
      <c r="I65" s="25" t="s">
        <v>591</v>
      </c>
      <c r="J65" s="6" t="str">
        <f t="shared" si="2"/>
        <v>Design and implement software and mathematical models for solving an open ended business/ organization problems.</v>
      </c>
    </row>
    <row r="66" spans="1:10" x14ac:dyDescent="0.2">
      <c r="A66" s="41" t="s">
        <v>160</v>
      </c>
      <c r="B66" s="26" t="s">
        <v>88</v>
      </c>
      <c r="C66" s="26" t="s">
        <v>53</v>
      </c>
      <c r="D66" s="26" t="s">
        <v>148</v>
      </c>
      <c r="E66" s="27" t="s">
        <v>161</v>
      </c>
      <c r="F66" s="28" t="s">
        <v>61</v>
      </c>
      <c r="G66" s="49" t="str">
        <f t="shared" ref="G66:G129" si="5">LEFT(I66,1)</f>
        <v>4</v>
      </c>
      <c r="H66" s="49" t="str">
        <f t="shared" ref="H66:H129" si="6">RIGHT(I66,1)</f>
        <v>c</v>
      </c>
      <c r="I66" s="25" t="s">
        <v>591</v>
      </c>
      <c r="J66" s="6" t="str">
        <f t="shared" ref="J66:J129" si="7">IFERROR(VLOOKUP(I66,$N$3:$O$39,2,FALSE),0)</f>
        <v>Design and implement software and mathematical models for solving an open ended business/ organization problems.</v>
      </c>
    </row>
    <row r="67" spans="1:10" x14ac:dyDescent="0.2">
      <c r="A67" s="41" t="s">
        <v>182</v>
      </c>
      <c r="B67" s="26" t="s">
        <v>92</v>
      </c>
      <c r="C67" s="26" t="s">
        <v>54</v>
      </c>
      <c r="D67" s="26" t="s">
        <v>112</v>
      </c>
      <c r="E67" s="27" t="s">
        <v>75</v>
      </c>
      <c r="F67" s="28" t="s">
        <v>61</v>
      </c>
      <c r="G67" s="49" t="str">
        <f t="shared" si="5"/>
        <v>4</v>
      </c>
      <c r="H67" s="49" t="str">
        <f t="shared" si="6"/>
        <v>b</v>
      </c>
      <c r="I67" s="50" t="s">
        <v>589</v>
      </c>
      <c r="J67" s="6" t="str">
        <f t="shared" si="7"/>
        <v>Evaluate/ test design.</v>
      </c>
    </row>
    <row r="68" spans="1:10" x14ac:dyDescent="0.2">
      <c r="A68" s="41" t="s">
        <v>164</v>
      </c>
      <c r="B68" s="26" t="s">
        <v>88</v>
      </c>
      <c r="C68" s="26" t="s">
        <v>53</v>
      </c>
      <c r="D68" s="26" t="s">
        <v>148</v>
      </c>
      <c r="E68" s="27" t="s">
        <v>166</v>
      </c>
      <c r="F68" s="28" t="s">
        <v>61</v>
      </c>
      <c r="G68" s="49" t="str">
        <f t="shared" si="5"/>
        <v>4</v>
      </c>
      <c r="H68" s="49" t="str">
        <f t="shared" si="6"/>
        <v>c</v>
      </c>
      <c r="I68" s="25" t="s">
        <v>591</v>
      </c>
      <c r="J68" s="6" t="str">
        <f t="shared" si="7"/>
        <v>Design and implement software and mathematical models for solving an open ended business/ organization problems.</v>
      </c>
    </row>
    <row r="69" spans="1:10" x14ac:dyDescent="0.2">
      <c r="A69" s="40" t="s">
        <v>126</v>
      </c>
      <c r="B69" s="23" t="s">
        <v>92</v>
      </c>
      <c r="C69" s="23" t="s">
        <v>54</v>
      </c>
      <c r="D69" s="23" t="s">
        <v>112</v>
      </c>
      <c r="E69" s="27" t="s">
        <v>178</v>
      </c>
      <c r="F69" s="24" t="s">
        <v>61</v>
      </c>
      <c r="G69" s="49" t="str">
        <f t="shared" si="5"/>
        <v>4</v>
      </c>
      <c r="H69" s="49" t="str">
        <f t="shared" si="6"/>
        <v>c</v>
      </c>
      <c r="I69" s="25" t="s">
        <v>591</v>
      </c>
      <c r="J69" s="6" t="str">
        <f t="shared" si="7"/>
        <v>Design and implement software and mathematical models for solving an open ended business/ organization problems.</v>
      </c>
    </row>
    <row r="70" spans="1:10" x14ac:dyDescent="0.2">
      <c r="A70" s="40" t="s">
        <v>142</v>
      </c>
      <c r="B70" s="23" t="s">
        <v>92</v>
      </c>
      <c r="C70" s="23" t="s">
        <v>53</v>
      </c>
      <c r="D70" s="23" t="s">
        <v>98</v>
      </c>
      <c r="E70" s="27" t="s">
        <v>183</v>
      </c>
      <c r="F70" s="24" t="s">
        <v>61</v>
      </c>
      <c r="G70" s="49" t="str">
        <f t="shared" si="5"/>
        <v>4</v>
      </c>
      <c r="H70" s="49" t="str">
        <f t="shared" si="6"/>
        <v>c</v>
      </c>
      <c r="I70" s="25" t="s">
        <v>591</v>
      </c>
      <c r="J70" s="6" t="str">
        <f t="shared" si="7"/>
        <v>Design and implement software and mathematical models for solving an open ended business/ organization problems.</v>
      </c>
    </row>
    <row r="71" spans="1:10" x14ac:dyDescent="0.2">
      <c r="A71" s="41" t="s">
        <v>147</v>
      </c>
      <c r="B71" s="26" t="s">
        <v>88</v>
      </c>
      <c r="C71" s="26" t="s">
        <v>53</v>
      </c>
      <c r="D71" s="26" t="s">
        <v>148</v>
      </c>
      <c r="E71" s="27" t="s">
        <v>183</v>
      </c>
      <c r="F71" s="28" t="s">
        <v>61</v>
      </c>
      <c r="G71" s="49" t="str">
        <f t="shared" si="5"/>
        <v>4</v>
      </c>
      <c r="H71" s="49" t="str">
        <f t="shared" si="6"/>
        <v>c</v>
      </c>
      <c r="I71" s="25" t="s">
        <v>591</v>
      </c>
      <c r="J71" s="6" t="str">
        <f t="shared" si="7"/>
        <v>Design and implement software and mathematical models for solving an open ended business/ organization problems.</v>
      </c>
    </row>
    <row r="72" spans="1:10" x14ac:dyDescent="0.2">
      <c r="A72" s="41" t="s">
        <v>151</v>
      </c>
      <c r="B72" s="26" t="s">
        <v>95</v>
      </c>
      <c r="C72" s="26" t="s">
        <v>53</v>
      </c>
      <c r="D72" s="26" t="s">
        <v>106</v>
      </c>
      <c r="E72" s="27" t="s">
        <v>183</v>
      </c>
      <c r="F72" s="28" t="s">
        <v>61</v>
      </c>
      <c r="G72" s="49" t="str">
        <f t="shared" si="5"/>
        <v>4</v>
      </c>
      <c r="H72" s="49" t="str">
        <f t="shared" si="6"/>
        <v>c</v>
      </c>
      <c r="I72" s="25" t="s">
        <v>591</v>
      </c>
      <c r="J72" s="6" t="str">
        <f t="shared" si="7"/>
        <v>Design and implement software and mathematical models for solving an open ended business/ organization problems.</v>
      </c>
    </row>
    <row r="73" spans="1:10" x14ac:dyDescent="0.2">
      <c r="A73" s="40" t="s">
        <v>102</v>
      </c>
      <c r="B73" s="23" t="s">
        <v>95</v>
      </c>
      <c r="C73" s="23" t="s">
        <v>53</v>
      </c>
      <c r="D73" s="23" t="s">
        <v>96</v>
      </c>
      <c r="E73" s="27" t="s">
        <v>167</v>
      </c>
      <c r="F73" s="24" t="s">
        <v>61</v>
      </c>
      <c r="G73" s="49" t="str">
        <f t="shared" si="5"/>
        <v>4</v>
      </c>
      <c r="H73" s="49" t="str">
        <f t="shared" si="6"/>
        <v>c</v>
      </c>
      <c r="I73" s="25" t="s">
        <v>591</v>
      </c>
      <c r="J73" s="6" t="str">
        <f t="shared" si="7"/>
        <v>Design and implement software and mathematical models for solving an open ended business/ organization problems.</v>
      </c>
    </row>
    <row r="74" spans="1:10" x14ac:dyDescent="0.2">
      <c r="A74" s="40" t="s">
        <v>100</v>
      </c>
      <c r="B74" s="23" t="s">
        <v>92</v>
      </c>
      <c r="C74" s="23" t="s">
        <v>53</v>
      </c>
      <c r="D74" s="23" t="s">
        <v>98</v>
      </c>
      <c r="E74" s="27" t="s">
        <v>162</v>
      </c>
      <c r="F74" s="24" t="s">
        <v>61</v>
      </c>
      <c r="G74" s="49" t="str">
        <f t="shared" si="5"/>
        <v>4</v>
      </c>
      <c r="H74" s="49" t="str">
        <f t="shared" si="6"/>
        <v>c</v>
      </c>
      <c r="I74" s="25" t="s">
        <v>591</v>
      </c>
      <c r="J74" s="6" t="str">
        <f t="shared" si="7"/>
        <v>Design and implement software and mathematical models for solving an open ended business/ organization problems.</v>
      </c>
    </row>
    <row r="75" spans="1:10" ht="30" x14ac:dyDescent="0.2">
      <c r="A75" s="41" t="s">
        <v>91</v>
      </c>
      <c r="B75" s="26" t="s">
        <v>92</v>
      </c>
      <c r="C75" s="26" t="s">
        <v>53</v>
      </c>
      <c r="D75" s="26" t="s">
        <v>93</v>
      </c>
      <c r="E75" s="27" t="s">
        <v>154</v>
      </c>
      <c r="F75" s="28" t="s">
        <v>61</v>
      </c>
      <c r="G75" s="49" t="str">
        <f t="shared" si="5"/>
        <v>4</v>
      </c>
      <c r="H75" s="49" t="str">
        <f t="shared" si="6"/>
        <v>c</v>
      </c>
      <c r="I75" s="50" t="s">
        <v>591</v>
      </c>
      <c r="J75" s="6" t="str">
        <f t="shared" si="7"/>
        <v>Design and implement software and mathematical models for solving an open ended business/ organization problems.</v>
      </c>
    </row>
    <row r="76" spans="1:10" x14ac:dyDescent="0.2">
      <c r="A76" s="40" t="s">
        <v>139</v>
      </c>
      <c r="B76" s="23" t="s">
        <v>92</v>
      </c>
      <c r="C76" s="23" t="s">
        <v>54</v>
      </c>
      <c r="D76" s="23" t="s">
        <v>112</v>
      </c>
      <c r="E76" s="27" t="s">
        <v>181</v>
      </c>
      <c r="F76" s="24" t="s">
        <v>61</v>
      </c>
      <c r="G76" s="49" t="str">
        <f t="shared" si="5"/>
        <v>4</v>
      </c>
      <c r="H76" s="49" t="str">
        <f t="shared" si="6"/>
        <v>a</v>
      </c>
      <c r="I76" s="25" t="s">
        <v>586</v>
      </c>
      <c r="J76" s="6" t="str">
        <f t="shared" si="7"/>
        <v>Follow a structured design methodology.</v>
      </c>
    </row>
    <row r="77" spans="1:10" ht="30" x14ac:dyDescent="0.2">
      <c r="A77" s="40" t="s">
        <v>118</v>
      </c>
      <c r="B77" s="23" t="s">
        <v>92</v>
      </c>
      <c r="C77" s="23" t="s">
        <v>53</v>
      </c>
      <c r="D77" s="23" t="s">
        <v>98</v>
      </c>
      <c r="E77" s="27" t="s">
        <v>173</v>
      </c>
      <c r="F77" s="24" t="s">
        <v>61</v>
      </c>
      <c r="G77" s="49" t="str">
        <f t="shared" si="5"/>
        <v>4</v>
      </c>
      <c r="H77" s="49" t="str">
        <f t="shared" si="6"/>
        <v>c</v>
      </c>
      <c r="I77" s="25" t="s">
        <v>591</v>
      </c>
      <c r="J77" s="6" t="str">
        <f t="shared" si="7"/>
        <v>Design and implement software and mathematical models for solving an open ended business/ organization problems.</v>
      </c>
    </row>
    <row r="78" spans="1:10" x14ac:dyDescent="0.2">
      <c r="A78" s="40" t="s">
        <v>158</v>
      </c>
      <c r="B78" s="23" t="s">
        <v>88</v>
      </c>
      <c r="C78" s="23" t="s">
        <v>53</v>
      </c>
      <c r="D78" s="23" t="s">
        <v>148</v>
      </c>
      <c r="E78" s="27" t="s">
        <v>159</v>
      </c>
      <c r="F78" s="24" t="s">
        <v>61</v>
      </c>
      <c r="G78" s="49" t="str">
        <f t="shared" si="5"/>
        <v>4</v>
      </c>
      <c r="H78" s="49" t="str">
        <f t="shared" si="6"/>
        <v>c</v>
      </c>
      <c r="I78" s="25" t="s">
        <v>591</v>
      </c>
      <c r="J78" s="6" t="str">
        <f t="shared" si="7"/>
        <v>Design and implement software and mathematical models for solving an open ended business/ organization problems.</v>
      </c>
    </row>
    <row r="79" spans="1:10" ht="30" x14ac:dyDescent="0.2">
      <c r="A79" s="41" t="s">
        <v>120</v>
      </c>
      <c r="B79" s="26" t="s">
        <v>92</v>
      </c>
      <c r="C79" s="26" t="s">
        <v>54</v>
      </c>
      <c r="D79" s="26" t="s">
        <v>112</v>
      </c>
      <c r="E79" s="27" t="s">
        <v>174</v>
      </c>
      <c r="F79" s="28" t="s">
        <v>61</v>
      </c>
      <c r="G79" s="49" t="str">
        <f t="shared" si="5"/>
        <v>4</v>
      </c>
      <c r="H79" s="49" t="str">
        <f t="shared" si="6"/>
        <v>c</v>
      </c>
      <c r="I79" s="50" t="s">
        <v>591</v>
      </c>
      <c r="J79" s="6" t="str">
        <f t="shared" si="7"/>
        <v>Design and implement software and mathematical models for solving an open ended business/ organization problems.</v>
      </c>
    </row>
    <row r="80" spans="1:10" ht="30" x14ac:dyDescent="0.2">
      <c r="A80" s="40" t="s">
        <v>124</v>
      </c>
      <c r="B80" s="23" t="s">
        <v>92</v>
      </c>
      <c r="C80" s="23" t="s">
        <v>54</v>
      </c>
      <c r="D80" s="23" t="s">
        <v>112</v>
      </c>
      <c r="E80" s="27" t="s">
        <v>175</v>
      </c>
      <c r="F80" s="24" t="s">
        <v>61</v>
      </c>
      <c r="G80" s="49" t="str">
        <f t="shared" si="5"/>
        <v>4</v>
      </c>
      <c r="H80" s="49" t="str">
        <f t="shared" si="6"/>
        <v>c</v>
      </c>
      <c r="I80" s="25" t="s">
        <v>591</v>
      </c>
      <c r="J80" s="6" t="str">
        <f t="shared" si="7"/>
        <v>Design and implement software and mathematical models for solving an open ended business/ organization problems.</v>
      </c>
    </row>
    <row r="81" spans="1:10" x14ac:dyDescent="0.2">
      <c r="A81" s="41" t="s">
        <v>105</v>
      </c>
      <c r="B81" s="26" t="s">
        <v>95</v>
      </c>
      <c r="C81" s="26" t="s">
        <v>53</v>
      </c>
      <c r="D81" s="26" t="s">
        <v>106</v>
      </c>
      <c r="E81" s="27" t="s">
        <v>170</v>
      </c>
      <c r="F81" s="28" t="s">
        <v>61</v>
      </c>
      <c r="G81" s="49" t="str">
        <f t="shared" si="5"/>
        <v>4</v>
      </c>
      <c r="H81" s="49" t="str">
        <f t="shared" si="6"/>
        <v>b</v>
      </c>
      <c r="I81" s="50" t="s">
        <v>589</v>
      </c>
      <c r="J81" s="6" t="str">
        <f t="shared" si="7"/>
        <v>Evaluate/ test design.</v>
      </c>
    </row>
    <row r="82" spans="1:10" x14ac:dyDescent="0.2">
      <c r="A82" s="40" t="s">
        <v>164</v>
      </c>
      <c r="B82" s="23" t="s">
        <v>88</v>
      </c>
      <c r="C82" s="23" t="s">
        <v>53</v>
      </c>
      <c r="D82" s="23" t="s">
        <v>148</v>
      </c>
      <c r="E82" s="27" t="s">
        <v>165</v>
      </c>
      <c r="F82" s="24" t="s">
        <v>61</v>
      </c>
      <c r="G82" s="49" t="str">
        <f t="shared" si="5"/>
        <v>4</v>
      </c>
      <c r="H82" s="49" t="str">
        <f t="shared" si="6"/>
        <v>a</v>
      </c>
      <c r="I82" s="25" t="s">
        <v>586</v>
      </c>
      <c r="J82" s="6" t="str">
        <f t="shared" si="7"/>
        <v>Follow a structured design methodology.</v>
      </c>
    </row>
    <row r="83" spans="1:10" x14ac:dyDescent="0.2">
      <c r="A83" s="41" t="s">
        <v>105</v>
      </c>
      <c r="B83" s="26" t="s">
        <v>95</v>
      </c>
      <c r="C83" s="26" t="s">
        <v>53</v>
      </c>
      <c r="D83" s="26" t="s">
        <v>106</v>
      </c>
      <c r="E83" s="27" t="s">
        <v>168</v>
      </c>
      <c r="F83" s="28" t="s">
        <v>61</v>
      </c>
      <c r="G83" s="49" t="str">
        <f t="shared" si="5"/>
        <v>4</v>
      </c>
      <c r="H83" s="49" t="str">
        <f t="shared" si="6"/>
        <v>a</v>
      </c>
      <c r="I83" s="50" t="s">
        <v>586</v>
      </c>
      <c r="J83" s="6" t="str">
        <f t="shared" si="7"/>
        <v>Follow a structured design methodology.</v>
      </c>
    </row>
    <row r="84" spans="1:10" x14ac:dyDescent="0.2">
      <c r="A84" s="41" t="s">
        <v>111</v>
      </c>
      <c r="B84" s="26" t="s">
        <v>92</v>
      </c>
      <c r="C84" s="26" t="s">
        <v>53</v>
      </c>
      <c r="D84" s="26" t="s">
        <v>112</v>
      </c>
      <c r="E84" s="27" t="s">
        <v>171</v>
      </c>
      <c r="F84" s="28" t="s">
        <v>61</v>
      </c>
      <c r="G84" s="49" t="str">
        <f t="shared" si="5"/>
        <v>4</v>
      </c>
      <c r="H84" s="49" t="str">
        <f t="shared" si="6"/>
        <v>c</v>
      </c>
      <c r="I84" s="25" t="s">
        <v>591</v>
      </c>
      <c r="J84" s="6" t="str">
        <f t="shared" si="7"/>
        <v>Design and implement software and mathematical models for solving an open ended business/ organization problems.</v>
      </c>
    </row>
    <row r="85" spans="1:10" x14ac:dyDescent="0.2">
      <c r="A85" s="40" t="s">
        <v>105</v>
      </c>
      <c r="B85" s="23" t="s">
        <v>95</v>
      </c>
      <c r="C85" s="23" t="s">
        <v>53</v>
      </c>
      <c r="D85" s="23" t="s">
        <v>106</v>
      </c>
      <c r="E85" s="27" t="s">
        <v>169</v>
      </c>
      <c r="F85" s="24" t="s">
        <v>61</v>
      </c>
      <c r="G85" s="49" t="str">
        <f t="shared" si="5"/>
        <v>4</v>
      </c>
      <c r="H85" s="49" t="str">
        <f t="shared" si="6"/>
        <v>a</v>
      </c>
      <c r="I85" s="25" t="s">
        <v>586</v>
      </c>
      <c r="J85" s="6" t="str">
        <f t="shared" si="7"/>
        <v>Follow a structured design methodology.</v>
      </c>
    </row>
    <row r="86" spans="1:10" x14ac:dyDescent="0.2">
      <c r="A86" s="41" t="s">
        <v>126</v>
      </c>
      <c r="B86" s="26" t="s">
        <v>92</v>
      </c>
      <c r="C86" s="26" t="s">
        <v>54</v>
      </c>
      <c r="D86" s="26" t="s">
        <v>112</v>
      </c>
      <c r="E86" s="27" t="s">
        <v>177</v>
      </c>
      <c r="F86" s="28" t="s">
        <v>61</v>
      </c>
      <c r="G86" s="49" t="str">
        <f t="shared" si="5"/>
        <v>4</v>
      </c>
      <c r="H86" s="49" t="str">
        <f t="shared" si="6"/>
        <v>a</v>
      </c>
      <c r="I86" s="50" t="s">
        <v>586</v>
      </c>
      <c r="J86" s="6" t="str">
        <f t="shared" si="7"/>
        <v>Follow a structured design methodology.</v>
      </c>
    </row>
    <row r="87" spans="1:10" x14ac:dyDescent="0.2">
      <c r="A87" s="40" t="s">
        <v>126</v>
      </c>
      <c r="B87" s="23" t="s">
        <v>92</v>
      </c>
      <c r="C87" s="23" t="s">
        <v>54</v>
      </c>
      <c r="D87" s="23" t="s">
        <v>112</v>
      </c>
      <c r="E87" s="27" t="s">
        <v>176</v>
      </c>
      <c r="F87" s="24" t="s">
        <v>61</v>
      </c>
      <c r="G87" s="49" t="str">
        <f t="shared" si="5"/>
        <v>4</v>
      </c>
      <c r="H87" s="49" t="str">
        <f t="shared" si="6"/>
        <v>a</v>
      </c>
      <c r="I87" s="25" t="s">
        <v>586</v>
      </c>
      <c r="J87" s="6" t="str">
        <f t="shared" si="7"/>
        <v>Follow a structured design methodology.</v>
      </c>
    </row>
    <row r="88" spans="1:10" x14ac:dyDescent="0.2">
      <c r="A88" s="40" t="s">
        <v>87</v>
      </c>
      <c r="B88" s="23" t="s">
        <v>88</v>
      </c>
      <c r="C88" s="23" t="s">
        <v>53</v>
      </c>
      <c r="D88" s="23" t="s">
        <v>89</v>
      </c>
      <c r="E88" s="27" t="s">
        <v>153</v>
      </c>
      <c r="F88" s="24" t="s">
        <v>61</v>
      </c>
      <c r="G88" s="49" t="str">
        <f t="shared" si="5"/>
        <v>4</v>
      </c>
      <c r="H88" s="49" t="str">
        <f t="shared" si="6"/>
        <v>a</v>
      </c>
      <c r="I88" s="25" t="s">
        <v>586</v>
      </c>
      <c r="J88" s="6" t="str">
        <f t="shared" si="7"/>
        <v>Follow a structured design methodology.</v>
      </c>
    </row>
    <row r="89" spans="1:10" x14ac:dyDescent="0.2">
      <c r="A89" s="41" t="s">
        <v>100</v>
      </c>
      <c r="B89" s="26" t="s">
        <v>92</v>
      </c>
      <c r="C89" s="26" t="s">
        <v>53</v>
      </c>
      <c r="D89" s="26" t="s">
        <v>98</v>
      </c>
      <c r="E89" s="27" t="s">
        <v>163</v>
      </c>
      <c r="F89" s="28" t="s">
        <v>61</v>
      </c>
      <c r="G89" s="49" t="str">
        <f t="shared" si="5"/>
        <v>4</v>
      </c>
      <c r="H89" s="49" t="str">
        <f t="shared" si="6"/>
        <v>c</v>
      </c>
      <c r="I89" s="25" t="s">
        <v>591</v>
      </c>
      <c r="J89" s="6" t="str">
        <f t="shared" si="7"/>
        <v>Design and implement software and mathematical models for solving an open ended business/ organization problems.</v>
      </c>
    </row>
    <row r="90" spans="1:10" x14ac:dyDescent="0.2">
      <c r="A90" s="40" t="s">
        <v>111</v>
      </c>
      <c r="B90" s="23" t="s">
        <v>92</v>
      </c>
      <c r="C90" s="23" t="s">
        <v>53</v>
      </c>
      <c r="D90" s="23" t="s">
        <v>112</v>
      </c>
      <c r="E90" s="27" t="s">
        <v>172</v>
      </c>
      <c r="F90" s="24" t="s">
        <v>61</v>
      </c>
      <c r="G90" s="49" t="str">
        <f t="shared" si="5"/>
        <v>4</v>
      </c>
      <c r="H90" s="49" t="str">
        <f t="shared" si="6"/>
        <v>b</v>
      </c>
      <c r="I90" s="25" t="s">
        <v>589</v>
      </c>
      <c r="J90" s="6" t="str">
        <f t="shared" si="7"/>
        <v>Evaluate/ test design.</v>
      </c>
    </row>
    <row r="91" spans="1:10" x14ac:dyDescent="0.2">
      <c r="A91" s="41" t="s">
        <v>105</v>
      </c>
      <c r="B91" s="26" t="s">
        <v>95</v>
      </c>
      <c r="C91" s="26" t="s">
        <v>53</v>
      </c>
      <c r="D91" s="26" t="s">
        <v>106</v>
      </c>
      <c r="E91" s="27" t="s">
        <v>190</v>
      </c>
      <c r="F91" s="28" t="s">
        <v>185</v>
      </c>
      <c r="G91" s="49" t="str">
        <f t="shared" si="5"/>
        <v>1</v>
      </c>
      <c r="H91" s="49" t="str">
        <f t="shared" si="6"/>
        <v>c</v>
      </c>
      <c r="I91" s="25" t="s">
        <v>632</v>
      </c>
      <c r="J91" s="6" t="str">
        <f t="shared" si="7"/>
        <v>Apply project management knowledge, tools and techniques in engineering projects with attention to risk.</v>
      </c>
    </row>
    <row r="92" spans="1:10" x14ac:dyDescent="0.2">
      <c r="A92" s="40" t="s">
        <v>111</v>
      </c>
      <c r="B92" s="23" t="s">
        <v>92</v>
      </c>
      <c r="C92" s="23" t="s">
        <v>53</v>
      </c>
      <c r="D92" s="23" t="s">
        <v>112</v>
      </c>
      <c r="E92" s="27" t="s">
        <v>190</v>
      </c>
      <c r="F92" s="24" t="s">
        <v>185</v>
      </c>
      <c r="G92" s="49" t="str">
        <f t="shared" si="5"/>
        <v>1</v>
      </c>
      <c r="H92" s="49" t="str">
        <f t="shared" si="6"/>
        <v>c</v>
      </c>
      <c r="I92" s="25" t="s">
        <v>632</v>
      </c>
      <c r="J92" s="6" t="str">
        <f t="shared" si="7"/>
        <v>Apply project management knowledge, tools and techniques in engineering projects with attention to risk.</v>
      </c>
    </row>
    <row r="93" spans="1:10" x14ac:dyDescent="0.2">
      <c r="A93" s="40" t="s">
        <v>105</v>
      </c>
      <c r="B93" s="23" t="s">
        <v>95</v>
      </c>
      <c r="C93" s="23" t="s">
        <v>53</v>
      </c>
      <c r="D93" s="23" t="s">
        <v>106</v>
      </c>
      <c r="E93" s="27" t="s">
        <v>191</v>
      </c>
      <c r="F93" s="24" t="s">
        <v>185</v>
      </c>
      <c r="G93" s="49" t="str">
        <f t="shared" si="5"/>
        <v>1</v>
      </c>
      <c r="H93" s="49" t="str">
        <f t="shared" si="6"/>
        <v>c</v>
      </c>
      <c r="I93" s="25" t="s">
        <v>632</v>
      </c>
      <c r="J93" s="6" t="str">
        <f t="shared" si="7"/>
        <v>Apply project management knowledge, tools and techniques in engineering projects with attention to risk.</v>
      </c>
    </row>
    <row r="94" spans="1:10" x14ac:dyDescent="0.2">
      <c r="A94" s="41" t="s">
        <v>111</v>
      </c>
      <c r="B94" s="26" t="s">
        <v>92</v>
      </c>
      <c r="C94" s="26" t="s">
        <v>53</v>
      </c>
      <c r="D94" s="26" t="s">
        <v>112</v>
      </c>
      <c r="E94" s="27" t="s">
        <v>192</v>
      </c>
      <c r="F94" s="28" t="s">
        <v>185</v>
      </c>
      <c r="G94" s="49" t="str">
        <f t="shared" si="5"/>
        <v>1</v>
      </c>
      <c r="H94" s="49" t="str">
        <f t="shared" si="6"/>
        <v>c</v>
      </c>
      <c r="I94" s="25" t="s">
        <v>632</v>
      </c>
      <c r="J94" s="6" t="str">
        <f t="shared" si="7"/>
        <v>Apply project management knowledge, tools and techniques in engineering projects with attention to risk.</v>
      </c>
    </row>
    <row r="95" spans="1:10" x14ac:dyDescent="0.2">
      <c r="A95" s="41" t="s">
        <v>186</v>
      </c>
      <c r="B95" s="26" t="s">
        <v>95</v>
      </c>
      <c r="C95" s="26" t="s">
        <v>54</v>
      </c>
      <c r="D95" s="26"/>
      <c r="E95" s="27" t="s">
        <v>80</v>
      </c>
      <c r="F95" s="28" t="s">
        <v>185</v>
      </c>
      <c r="G95" s="49" t="str">
        <f t="shared" si="5"/>
        <v>1</v>
      </c>
      <c r="H95" s="49" t="str">
        <f t="shared" si="6"/>
        <v>b</v>
      </c>
      <c r="I95" s="25" t="s">
        <v>630</v>
      </c>
      <c r="J95" s="6" t="str">
        <f t="shared" si="7"/>
        <v>Assess risk and uncertainties associated with engineering economic decisions.</v>
      </c>
    </row>
    <row r="96" spans="1:10" x14ac:dyDescent="0.2">
      <c r="A96" s="40" t="s">
        <v>105</v>
      </c>
      <c r="B96" s="23" t="s">
        <v>95</v>
      </c>
      <c r="C96" s="23" t="s">
        <v>53</v>
      </c>
      <c r="D96" s="23" t="s">
        <v>106</v>
      </c>
      <c r="E96" s="27" t="s">
        <v>189</v>
      </c>
      <c r="F96" s="24" t="s">
        <v>185</v>
      </c>
      <c r="G96" s="49" t="str">
        <f t="shared" si="5"/>
        <v>1</v>
      </c>
      <c r="H96" s="49" t="str">
        <f t="shared" si="6"/>
        <v>a</v>
      </c>
      <c r="I96" s="25" t="s">
        <v>627</v>
      </c>
      <c r="J96" s="6" t="str">
        <f t="shared" si="7"/>
        <v>Develop a fundamental understanding of economics and project management concepts.</v>
      </c>
    </row>
    <row r="97" spans="1:10" x14ac:dyDescent="0.2">
      <c r="A97" s="41" t="s">
        <v>111</v>
      </c>
      <c r="B97" s="26" t="s">
        <v>92</v>
      </c>
      <c r="C97" s="26" t="s">
        <v>53</v>
      </c>
      <c r="D97" s="26" t="s">
        <v>112</v>
      </c>
      <c r="E97" s="27" t="s">
        <v>189</v>
      </c>
      <c r="F97" s="28" t="s">
        <v>185</v>
      </c>
      <c r="G97" s="49" t="str">
        <f t="shared" si="5"/>
        <v>1</v>
      </c>
      <c r="H97" s="49" t="str">
        <f t="shared" si="6"/>
        <v>a</v>
      </c>
      <c r="I97" s="25" t="s">
        <v>627</v>
      </c>
      <c r="J97" s="6" t="str">
        <f t="shared" si="7"/>
        <v>Develop a fundamental understanding of economics and project management concepts.</v>
      </c>
    </row>
    <row r="98" spans="1:10" x14ac:dyDescent="0.2">
      <c r="A98" s="41" t="s">
        <v>187</v>
      </c>
      <c r="B98" s="26" t="s">
        <v>95</v>
      </c>
      <c r="C98" s="26" t="s">
        <v>53</v>
      </c>
      <c r="D98" s="26" t="s">
        <v>96</v>
      </c>
      <c r="E98" s="27" t="s">
        <v>188</v>
      </c>
      <c r="F98" s="28" t="s">
        <v>185</v>
      </c>
      <c r="G98" s="49" t="str">
        <f t="shared" si="5"/>
        <v>1</v>
      </c>
      <c r="H98" s="49" t="str">
        <f t="shared" si="6"/>
        <v>a</v>
      </c>
      <c r="I98" s="25" t="s">
        <v>627</v>
      </c>
      <c r="J98" s="6" t="str">
        <f t="shared" si="7"/>
        <v>Develop a fundamental understanding of economics and project management concepts.</v>
      </c>
    </row>
    <row r="99" spans="1:10" ht="30" x14ac:dyDescent="0.2">
      <c r="A99" s="41" t="s">
        <v>139</v>
      </c>
      <c r="B99" s="26" t="s">
        <v>92</v>
      </c>
      <c r="C99" s="26" t="s">
        <v>54</v>
      </c>
      <c r="D99" s="26" t="s">
        <v>112</v>
      </c>
      <c r="E99" s="27" t="s">
        <v>193</v>
      </c>
      <c r="F99" s="28" t="s">
        <v>185</v>
      </c>
      <c r="G99" s="49" t="str">
        <f t="shared" si="5"/>
        <v>1</v>
      </c>
      <c r="H99" s="49" t="str">
        <f t="shared" si="6"/>
        <v>c</v>
      </c>
      <c r="I99" s="50" t="s">
        <v>632</v>
      </c>
      <c r="J99" s="6" t="str">
        <f t="shared" si="7"/>
        <v>Apply project management knowledge, tools and techniques in engineering projects with attention to risk.</v>
      </c>
    </row>
    <row r="100" spans="1:10" x14ac:dyDescent="0.2">
      <c r="A100" s="41" t="s">
        <v>87</v>
      </c>
      <c r="B100" s="26" t="s">
        <v>88</v>
      </c>
      <c r="C100" s="26" t="s">
        <v>53</v>
      </c>
      <c r="D100" s="26" t="s">
        <v>89</v>
      </c>
      <c r="E100" s="27" t="s">
        <v>184</v>
      </c>
      <c r="F100" s="28" t="s">
        <v>185</v>
      </c>
      <c r="G100" s="49" t="str">
        <f t="shared" si="5"/>
        <v>1</v>
      </c>
      <c r="H100" s="49" t="str">
        <f t="shared" si="6"/>
        <v>a</v>
      </c>
      <c r="I100" s="25" t="s">
        <v>627</v>
      </c>
      <c r="J100" s="6" t="str">
        <f t="shared" si="7"/>
        <v>Develop a fundamental understanding of economics and project management concepts.</v>
      </c>
    </row>
    <row r="101" spans="1:10" x14ac:dyDescent="0.2">
      <c r="A101" s="41" t="s">
        <v>142</v>
      </c>
      <c r="B101" s="26" t="s">
        <v>92</v>
      </c>
      <c r="C101" s="26" t="s">
        <v>53</v>
      </c>
      <c r="D101" s="26" t="s">
        <v>98</v>
      </c>
      <c r="E101" s="27" t="s">
        <v>231</v>
      </c>
      <c r="F101" s="28" t="s">
        <v>196</v>
      </c>
      <c r="G101" s="49" t="str">
        <f t="shared" si="5"/>
        <v>5</v>
      </c>
      <c r="H101" s="49" t="str">
        <f t="shared" si="6"/>
        <v>b</v>
      </c>
      <c r="I101" s="25" t="s">
        <v>596</v>
      </c>
      <c r="J101" s="6" t="str">
        <f t="shared" si="7"/>
        <v>Use and develop mathematical and other engineering tools for decision support.</v>
      </c>
    </row>
    <row r="102" spans="1:10" x14ac:dyDescent="0.2">
      <c r="A102" s="40" t="s">
        <v>147</v>
      </c>
      <c r="B102" s="23" t="s">
        <v>88</v>
      </c>
      <c r="C102" s="23" t="s">
        <v>53</v>
      </c>
      <c r="D102" s="23" t="s">
        <v>148</v>
      </c>
      <c r="E102" s="27" t="s">
        <v>231</v>
      </c>
      <c r="F102" s="24" t="s">
        <v>196</v>
      </c>
      <c r="G102" s="49" t="str">
        <f t="shared" si="5"/>
        <v>5</v>
      </c>
      <c r="H102" s="49" t="str">
        <f t="shared" si="6"/>
        <v>b</v>
      </c>
      <c r="I102" s="25" t="s">
        <v>596</v>
      </c>
      <c r="J102" s="6" t="str">
        <f t="shared" si="7"/>
        <v>Use and develop mathematical and other engineering tools for decision support.</v>
      </c>
    </row>
    <row r="103" spans="1:10" x14ac:dyDescent="0.2">
      <c r="A103" s="40" t="s">
        <v>151</v>
      </c>
      <c r="B103" s="23" t="s">
        <v>95</v>
      </c>
      <c r="C103" s="23" t="s">
        <v>53</v>
      </c>
      <c r="D103" s="23" t="s">
        <v>106</v>
      </c>
      <c r="E103" s="27" t="s">
        <v>231</v>
      </c>
      <c r="F103" s="24" t="s">
        <v>196</v>
      </c>
      <c r="G103" s="49" t="str">
        <f t="shared" si="5"/>
        <v>5</v>
      </c>
      <c r="H103" s="49" t="str">
        <f t="shared" si="6"/>
        <v>b</v>
      </c>
      <c r="I103" s="25" t="s">
        <v>596</v>
      </c>
      <c r="J103" s="6" t="str">
        <f t="shared" si="7"/>
        <v>Use and develop mathematical and other engineering tools for decision support.</v>
      </c>
    </row>
    <row r="104" spans="1:10" ht="30" x14ac:dyDescent="0.2">
      <c r="A104" s="40" t="s">
        <v>87</v>
      </c>
      <c r="B104" s="23" t="s">
        <v>88</v>
      </c>
      <c r="C104" s="23" t="s">
        <v>53</v>
      </c>
      <c r="D104" s="23" t="s">
        <v>89</v>
      </c>
      <c r="E104" s="27" t="s">
        <v>204</v>
      </c>
      <c r="F104" s="24" t="s">
        <v>196</v>
      </c>
      <c r="G104" s="49" t="str">
        <f t="shared" si="5"/>
        <v>5</v>
      </c>
      <c r="H104" s="49" t="str">
        <f t="shared" si="6"/>
        <v>a</v>
      </c>
      <c r="I104" s="25" t="s">
        <v>593</v>
      </c>
      <c r="J104" s="6" t="str">
        <f t="shared" si="7"/>
        <v>Use programming languages and software tools to build information systems.</v>
      </c>
    </row>
    <row r="105" spans="1:10" x14ac:dyDescent="0.2">
      <c r="A105" s="40" t="s">
        <v>102</v>
      </c>
      <c r="B105" s="23" t="s">
        <v>95</v>
      </c>
      <c r="C105" s="23" t="s">
        <v>53</v>
      </c>
      <c r="D105" s="23" t="s">
        <v>96</v>
      </c>
      <c r="E105" s="27" t="s">
        <v>78</v>
      </c>
      <c r="F105" s="24" t="s">
        <v>196</v>
      </c>
      <c r="G105" s="49" t="str">
        <f t="shared" si="5"/>
        <v>5</v>
      </c>
      <c r="H105" s="49" t="str">
        <f t="shared" si="6"/>
        <v>a</v>
      </c>
      <c r="I105" s="25" t="s">
        <v>593</v>
      </c>
      <c r="J105" s="6" t="str">
        <f t="shared" si="7"/>
        <v>Use programming languages and software tools to build information systems.</v>
      </c>
    </row>
    <row r="106" spans="1:10" x14ac:dyDescent="0.2">
      <c r="A106" s="40" t="s">
        <v>228</v>
      </c>
      <c r="B106" s="23" t="s">
        <v>95</v>
      </c>
      <c r="C106" s="23" t="s">
        <v>54</v>
      </c>
      <c r="D106" s="23" t="s">
        <v>106</v>
      </c>
      <c r="E106" s="27" t="s">
        <v>230</v>
      </c>
      <c r="F106" s="24" t="s">
        <v>196</v>
      </c>
      <c r="G106" s="49" t="str">
        <f t="shared" si="5"/>
        <v>5</v>
      </c>
      <c r="H106" s="49" t="str">
        <f t="shared" si="6"/>
        <v>b</v>
      </c>
      <c r="I106" s="25" t="s">
        <v>596</v>
      </c>
      <c r="J106" s="6" t="str">
        <f t="shared" si="7"/>
        <v>Use and develop mathematical and other engineering tools for decision support.</v>
      </c>
    </row>
    <row r="107" spans="1:10" x14ac:dyDescent="0.2">
      <c r="A107" s="41" t="s">
        <v>228</v>
      </c>
      <c r="B107" s="26" t="s">
        <v>95</v>
      </c>
      <c r="C107" s="26" t="s">
        <v>54</v>
      </c>
      <c r="D107" s="26" t="s">
        <v>106</v>
      </c>
      <c r="E107" s="27" t="s">
        <v>229</v>
      </c>
      <c r="F107" s="28" t="s">
        <v>196</v>
      </c>
      <c r="G107" s="49" t="str">
        <f t="shared" si="5"/>
        <v>5</v>
      </c>
      <c r="H107" s="49" t="str">
        <f t="shared" si="6"/>
        <v>b</v>
      </c>
      <c r="I107" s="25" t="s">
        <v>596</v>
      </c>
      <c r="J107" s="6" t="str">
        <f t="shared" si="7"/>
        <v>Use and develop mathematical and other engineering tools for decision support.</v>
      </c>
    </row>
    <row r="108" spans="1:10" x14ac:dyDescent="0.2">
      <c r="A108" s="40" t="s">
        <v>194</v>
      </c>
      <c r="B108" s="23" t="s">
        <v>95</v>
      </c>
      <c r="C108" s="23" t="s">
        <v>53</v>
      </c>
      <c r="D108" s="23"/>
      <c r="E108" s="27" t="s">
        <v>195</v>
      </c>
      <c r="F108" s="24" t="s">
        <v>196</v>
      </c>
      <c r="G108" s="49" t="str">
        <f t="shared" si="5"/>
        <v>5</v>
      </c>
      <c r="H108" s="49" t="str">
        <f t="shared" si="6"/>
        <v>b</v>
      </c>
      <c r="I108" s="25" t="s">
        <v>596</v>
      </c>
      <c r="J108" s="6" t="str">
        <f t="shared" si="7"/>
        <v>Use and develop mathematical and other engineering tools for decision support.</v>
      </c>
    </row>
    <row r="109" spans="1:10" x14ac:dyDescent="0.2">
      <c r="A109" s="40" t="s">
        <v>164</v>
      </c>
      <c r="B109" s="23" t="s">
        <v>88</v>
      </c>
      <c r="C109" s="23" t="s">
        <v>53</v>
      </c>
      <c r="D109" s="23" t="s">
        <v>148</v>
      </c>
      <c r="E109" s="27" t="s">
        <v>217</v>
      </c>
      <c r="F109" s="24" t="s">
        <v>196</v>
      </c>
      <c r="G109" s="49" t="str">
        <f t="shared" si="5"/>
        <v>5</v>
      </c>
      <c r="H109" s="49" t="str">
        <f t="shared" si="6"/>
        <v>a</v>
      </c>
      <c r="I109" s="25" t="s">
        <v>593</v>
      </c>
      <c r="J109" s="6" t="str">
        <f t="shared" si="7"/>
        <v>Use programming languages and software tools to build information systems.</v>
      </c>
    </row>
    <row r="110" spans="1:10" x14ac:dyDescent="0.2">
      <c r="A110" s="41" t="s">
        <v>164</v>
      </c>
      <c r="B110" s="26" t="s">
        <v>88</v>
      </c>
      <c r="C110" s="26" t="s">
        <v>53</v>
      </c>
      <c r="D110" s="26" t="s">
        <v>148</v>
      </c>
      <c r="E110" s="27" t="s">
        <v>218</v>
      </c>
      <c r="F110" s="28" t="s">
        <v>196</v>
      </c>
      <c r="G110" s="49" t="str">
        <f t="shared" si="5"/>
        <v>5</v>
      </c>
      <c r="H110" s="49" t="str">
        <f t="shared" si="6"/>
        <v>a</v>
      </c>
      <c r="I110" s="25" t="s">
        <v>593</v>
      </c>
      <c r="J110" s="6" t="str">
        <f t="shared" si="7"/>
        <v>Use programming languages and software tools to build information systems.</v>
      </c>
    </row>
    <row r="111" spans="1:10" x14ac:dyDescent="0.2">
      <c r="A111" s="40" t="s">
        <v>164</v>
      </c>
      <c r="B111" s="23" t="s">
        <v>88</v>
      </c>
      <c r="C111" s="23" t="s">
        <v>53</v>
      </c>
      <c r="D111" s="23" t="s">
        <v>148</v>
      </c>
      <c r="E111" s="27" t="s">
        <v>219</v>
      </c>
      <c r="F111" s="24" t="s">
        <v>196</v>
      </c>
      <c r="G111" s="49" t="str">
        <f t="shared" si="5"/>
        <v>5</v>
      </c>
      <c r="H111" s="49" t="str">
        <f t="shared" si="6"/>
        <v>c</v>
      </c>
      <c r="I111" s="25" t="s">
        <v>598</v>
      </c>
      <c r="J111" s="6" t="str">
        <f t="shared" si="7"/>
        <v>Choose an appropriate engineering tool, considering its limitation.</v>
      </c>
    </row>
    <row r="112" spans="1:10" x14ac:dyDescent="0.2">
      <c r="A112" s="40" t="s">
        <v>126</v>
      </c>
      <c r="B112" s="23" t="s">
        <v>92</v>
      </c>
      <c r="C112" s="23" t="s">
        <v>54</v>
      </c>
      <c r="D112" s="23" t="s">
        <v>112</v>
      </c>
      <c r="E112" s="27" t="s">
        <v>225</v>
      </c>
      <c r="F112" s="24" t="s">
        <v>196</v>
      </c>
      <c r="G112" s="49" t="str">
        <f t="shared" si="5"/>
        <v>5</v>
      </c>
      <c r="H112" s="49" t="str">
        <f t="shared" si="6"/>
        <v>a</v>
      </c>
      <c r="I112" s="25" t="s">
        <v>593</v>
      </c>
      <c r="J112" s="6" t="str">
        <f t="shared" si="7"/>
        <v>Use programming languages and software tools to build information systems.</v>
      </c>
    </row>
    <row r="113" spans="1:10" x14ac:dyDescent="0.2">
      <c r="A113" s="40" t="s">
        <v>186</v>
      </c>
      <c r="B113" s="23" t="s">
        <v>95</v>
      </c>
      <c r="C113" s="23" t="s">
        <v>54</v>
      </c>
      <c r="D113" s="23"/>
      <c r="E113" s="27" t="s">
        <v>208</v>
      </c>
      <c r="F113" s="24" t="s">
        <v>196</v>
      </c>
      <c r="G113" s="49" t="str">
        <f t="shared" si="5"/>
        <v>5</v>
      </c>
      <c r="H113" s="49" t="str">
        <f t="shared" si="6"/>
        <v>b</v>
      </c>
      <c r="I113" s="25" t="s">
        <v>596</v>
      </c>
      <c r="J113" s="6" t="str">
        <f t="shared" si="7"/>
        <v>Use and develop mathematical and other engineering tools for decision support.</v>
      </c>
    </row>
    <row r="114" spans="1:10" ht="30" x14ac:dyDescent="0.2">
      <c r="A114" s="40" t="s">
        <v>160</v>
      </c>
      <c r="B114" s="23" t="s">
        <v>88</v>
      </c>
      <c r="C114" s="23" t="s">
        <v>53</v>
      </c>
      <c r="D114" s="23" t="s">
        <v>148</v>
      </c>
      <c r="E114" s="27" t="s">
        <v>213</v>
      </c>
      <c r="F114" s="24" t="s">
        <v>196</v>
      </c>
      <c r="G114" s="49" t="str">
        <f t="shared" si="5"/>
        <v>5</v>
      </c>
      <c r="H114" s="49" t="str">
        <f t="shared" si="6"/>
        <v>b</v>
      </c>
      <c r="I114" s="25" t="s">
        <v>596</v>
      </c>
      <c r="J114" s="6" t="str">
        <f t="shared" si="7"/>
        <v>Use and develop mathematical and other engineering tools for decision support.</v>
      </c>
    </row>
    <row r="115" spans="1:10" ht="30" x14ac:dyDescent="0.2">
      <c r="A115" s="41" t="s">
        <v>118</v>
      </c>
      <c r="B115" s="26" t="s">
        <v>92</v>
      </c>
      <c r="C115" s="26" t="s">
        <v>53</v>
      </c>
      <c r="D115" s="26" t="s">
        <v>98</v>
      </c>
      <c r="E115" s="27" t="s">
        <v>222</v>
      </c>
      <c r="F115" s="28" t="s">
        <v>196</v>
      </c>
      <c r="G115" s="49" t="str">
        <f t="shared" si="5"/>
        <v>5</v>
      </c>
      <c r="H115" s="49" t="str">
        <f t="shared" si="6"/>
        <v>b</v>
      </c>
      <c r="I115" s="50" t="s">
        <v>596</v>
      </c>
      <c r="J115" s="6" t="str">
        <f t="shared" si="7"/>
        <v>Use and develop mathematical and other engineering tools for decision support.</v>
      </c>
    </row>
    <row r="116" spans="1:10" x14ac:dyDescent="0.2">
      <c r="A116" s="40" t="s">
        <v>118</v>
      </c>
      <c r="B116" s="23" t="s">
        <v>92</v>
      </c>
      <c r="C116" s="23" t="s">
        <v>53</v>
      </c>
      <c r="D116" s="23" t="s">
        <v>98</v>
      </c>
      <c r="E116" s="27" t="s">
        <v>223</v>
      </c>
      <c r="F116" s="24" t="s">
        <v>196</v>
      </c>
      <c r="G116" s="49" t="str">
        <f t="shared" si="5"/>
        <v>5</v>
      </c>
      <c r="H116" s="49" t="str">
        <f t="shared" si="6"/>
        <v>b</v>
      </c>
      <c r="I116" s="25" t="s">
        <v>596</v>
      </c>
      <c r="J116" s="6" t="str">
        <f t="shared" si="7"/>
        <v>Use and develop mathematical and other engineering tools for decision support.</v>
      </c>
    </row>
    <row r="117" spans="1:10" x14ac:dyDescent="0.2">
      <c r="A117" s="41" t="s">
        <v>197</v>
      </c>
      <c r="B117" s="26" t="s">
        <v>88</v>
      </c>
      <c r="C117" s="26" t="s">
        <v>53</v>
      </c>
      <c r="D117" s="26" t="s">
        <v>56</v>
      </c>
      <c r="E117" s="27" t="s">
        <v>198</v>
      </c>
      <c r="F117" s="28" t="s">
        <v>196</v>
      </c>
      <c r="G117" s="49" t="str">
        <f t="shared" si="5"/>
        <v>5</v>
      </c>
      <c r="H117" s="49" t="str">
        <f t="shared" si="6"/>
        <v>b</v>
      </c>
      <c r="I117" s="50" t="s">
        <v>596</v>
      </c>
      <c r="J117" s="6" t="str">
        <f t="shared" si="7"/>
        <v>Use and develop mathematical and other engineering tools for decision support.</v>
      </c>
    </row>
    <row r="118" spans="1:10" ht="30" x14ac:dyDescent="0.2">
      <c r="A118" s="41" t="s">
        <v>124</v>
      </c>
      <c r="B118" s="26" t="s">
        <v>92</v>
      </c>
      <c r="C118" s="26" t="s">
        <v>54</v>
      </c>
      <c r="D118" s="26" t="s">
        <v>112</v>
      </c>
      <c r="E118" s="27" t="s">
        <v>77</v>
      </c>
      <c r="F118" s="28" t="s">
        <v>196</v>
      </c>
      <c r="G118" s="49" t="str">
        <f t="shared" si="5"/>
        <v>5</v>
      </c>
      <c r="H118" s="49" t="str">
        <f t="shared" si="6"/>
        <v>b</v>
      </c>
      <c r="I118" s="25" t="s">
        <v>596</v>
      </c>
      <c r="J118" s="6" t="str">
        <f t="shared" si="7"/>
        <v>Use and develop mathematical and other engineering tools for decision support.</v>
      </c>
    </row>
    <row r="119" spans="1:10" x14ac:dyDescent="0.2">
      <c r="A119" s="41" t="s">
        <v>126</v>
      </c>
      <c r="B119" s="26" t="s">
        <v>92</v>
      </c>
      <c r="C119" s="26" t="s">
        <v>54</v>
      </c>
      <c r="D119" s="26" t="s">
        <v>112</v>
      </c>
      <c r="E119" s="27" t="s">
        <v>226</v>
      </c>
      <c r="F119" s="28" t="s">
        <v>196</v>
      </c>
      <c r="G119" s="49" t="str">
        <f t="shared" si="5"/>
        <v>5</v>
      </c>
      <c r="H119" s="49" t="str">
        <f t="shared" si="6"/>
        <v>c</v>
      </c>
      <c r="I119" s="50" t="s">
        <v>598</v>
      </c>
      <c r="J119" s="6" t="str">
        <f t="shared" si="7"/>
        <v>Choose an appropriate engineering tool, considering its limitation.</v>
      </c>
    </row>
    <row r="120" spans="1:10" x14ac:dyDescent="0.2">
      <c r="A120" s="41" t="s">
        <v>87</v>
      </c>
      <c r="B120" s="26" t="s">
        <v>88</v>
      </c>
      <c r="C120" s="26" t="s">
        <v>53</v>
      </c>
      <c r="D120" s="26" t="s">
        <v>89</v>
      </c>
      <c r="E120" s="27" t="s">
        <v>205</v>
      </c>
      <c r="F120" s="28" t="s">
        <v>196</v>
      </c>
      <c r="G120" s="49" t="str">
        <f t="shared" si="5"/>
        <v>5</v>
      </c>
      <c r="H120" s="49" t="str">
        <f t="shared" si="6"/>
        <v>b</v>
      </c>
      <c r="I120" s="50" t="s">
        <v>596</v>
      </c>
      <c r="J120" s="6" t="str">
        <f t="shared" si="7"/>
        <v>Use and develop mathematical and other engineering tools for decision support.</v>
      </c>
    </row>
    <row r="121" spans="1:10" x14ac:dyDescent="0.2">
      <c r="A121" s="41" t="s">
        <v>126</v>
      </c>
      <c r="B121" s="26" t="s">
        <v>92</v>
      </c>
      <c r="C121" s="26" t="s">
        <v>54</v>
      </c>
      <c r="D121" s="26" t="s">
        <v>112</v>
      </c>
      <c r="E121" s="27" t="s">
        <v>224</v>
      </c>
      <c r="F121" s="28" t="s">
        <v>196</v>
      </c>
      <c r="G121" s="49" t="str">
        <f t="shared" si="5"/>
        <v>5</v>
      </c>
      <c r="H121" s="49" t="str">
        <f t="shared" si="6"/>
        <v>c</v>
      </c>
      <c r="I121" s="50" t="s">
        <v>598</v>
      </c>
      <c r="J121" s="6" t="str">
        <f t="shared" si="7"/>
        <v>Choose an appropriate engineering tool, considering its limitation.</v>
      </c>
    </row>
    <row r="122" spans="1:10" ht="30" x14ac:dyDescent="0.2">
      <c r="A122" s="40" t="s">
        <v>200</v>
      </c>
      <c r="B122" s="23" t="s">
        <v>88</v>
      </c>
      <c r="C122" s="23" t="s">
        <v>53</v>
      </c>
      <c r="D122" s="23" t="s">
        <v>56</v>
      </c>
      <c r="E122" s="27" t="s">
        <v>201</v>
      </c>
      <c r="F122" s="24" t="s">
        <v>196</v>
      </c>
      <c r="G122" s="49" t="str">
        <f t="shared" si="5"/>
        <v>5</v>
      </c>
      <c r="H122" s="49" t="str">
        <f t="shared" si="6"/>
        <v>a</v>
      </c>
      <c r="I122" s="25" t="s">
        <v>593</v>
      </c>
      <c r="J122" s="6" t="str">
        <f t="shared" si="7"/>
        <v>Use programming languages and software tools to build information systems.</v>
      </c>
    </row>
    <row r="123" spans="1:10" x14ac:dyDescent="0.2">
      <c r="A123" s="41" t="s">
        <v>105</v>
      </c>
      <c r="B123" s="26" t="s">
        <v>95</v>
      </c>
      <c r="C123" s="26" t="s">
        <v>53</v>
      </c>
      <c r="D123" s="26" t="s">
        <v>106</v>
      </c>
      <c r="E123" s="27" t="s">
        <v>221</v>
      </c>
      <c r="F123" s="28" t="s">
        <v>196</v>
      </c>
      <c r="G123" s="49" t="str">
        <f t="shared" si="5"/>
        <v>5</v>
      </c>
      <c r="H123" s="49" t="str">
        <f t="shared" si="6"/>
        <v>c</v>
      </c>
      <c r="I123" s="50" t="s">
        <v>598</v>
      </c>
      <c r="J123" s="6" t="str">
        <f t="shared" si="7"/>
        <v>Choose an appropriate engineering tool, considering its limitation.</v>
      </c>
    </row>
    <row r="124" spans="1:10" x14ac:dyDescent="0.2">
      <c r="A124" s="40" t="s">
        <v>111</v>
      </c>
      <c r="B124" s="23" t="s">
        <v>92</v>
      </c>
      <c r="C124" s="23" t="s">
        <v>53</v>
      </c>
      <c r="D124" s="23" t="s">
        <v>112</v>
      </c>
      <c r="E124" s="27" t="s">
        <v>221</v>
      </c>
      <c r="F124" s="24" t="s">
        <v>196</v>
      </c>
      <c r="G124" s="49" t="str">
        <f t="shared" si="5"/>
        <v>5</v>
      </c>
      <c r="H124" s="49" t="str">
        <f t="shared" si="6"/>
        <v>c</v>
      </c>
      <c r="I124" s="25" t="s">
        <v>598</v>
      </c>
      <c r="J124" s="6" t="str">
        <f t="shared" si="7"/>
        <v>Choose an appropriate engineering tool, considering its limitation.</v>
      </c>
    </row>
    <row r="125" spans="1:10" ht="30" x14ac:dyDescent="0.2">
      <c r="A125" s="40" t="s">
        <v>200</v>
      </c>
      <c r="B125" s="23" t="s">
        <v>88</v>
      </c>
      <c r="C125" s="23" t="s">
        <v>53</v>
      </c>
      <c r="D125" s="23" t="s">
        <v>56</v>
      </c>
      <c r="E125" s="27" t="s">
        <v>203</v>
      </c>
      <c r="F125" s="24" t="s">
        <v>196</v>
      </c>
      <c r="G125" s="49" t="str">
        <f t="shared" si="5"/>
        <v>5</v>
      </c>
      <c r="H125" s="49" t="str">
        <f t="shared" si="6"/>
        <v>c</v>
      </c>
      <c r="I125" s="25" t="s">
        <v>598</v>
      </c>
      <c r="J125" s="6" t="str">
        <f t="shared" si="7"/>
        <v>Choose an appropriate engineering tool, considering its limitation.</v>
      </c>
    </row>
    <row r="126" spans="1:10" x14ac:dyDescent="0.2">
      <c r="A126" s="40" t="s">
        <v>100</v>
      </c>
      <c r="B126" s="23" t="s">
        <v>92</v>
      </c>
      <c r="C126" s="23" t="s">
        <v>53</v>
      </c>
      <c r="D126" s="23" t="s">
        <v>98</v>
      </c>
      <c r="E126" s="27" t="s">
        <v>216</v>
      </c>
      <c r="F126" s="24" t="s">
        <v>196</v>
      </c>
      <c r="G126" s="49" t="str">
        <f t="shared" si="5"/>
        <v>5</v>
      </c>
      <c r="H126" s="49" t="str">
        <f t="shared" si="6"/>
        <v>b</v>
      </c>
      <c r="I126" s="25" t="s">
        <v>596</v>
      </c>
      <c r="J126" s="6" t="str">
        <f t="shared" si="7"/>
        <v>Use and develop mathematical and other engineering tools for decision support.</v>
      </c>
    </row>
    <row r="127" spans="1:10" x14ac:dyDescent="0.2">
      <c r="A127" s="40" t="s">
        <v>197</v>
      </c>
      <c r="B127" s="23" t="s">
        <v>88</v>
      </c>
      <c r="C127" s="23" t="s">
        <v>53</v>
      </c>
      <c r="D127" s="23" t="s">
        <v>56</v>
      </c>
      <c r="E127" s="27" t="s">
        <v>199</v>
      </c>
      <c r="F127" s="24" t="s">
        <v>196</v>
      </c>
      <c r="G127" s="49" t="str">
        <f t="shared" si="5"/>
        <v>5</v>
      </c>
      <c r="H127" s="49" t="str">
        <f t="shared" si="6"/>
        <v>b</v>
      </c>
      <c r="I127" s="25" t="s">
        <v>596</v>
      </c>
      <c r="J127" s="6" t="str">
        <f t="shared" si="7"/>
        <v>Use and develop mathematical and other engineering tools for decision support.</v>
      </c>
    </row>
    <row r="128" spans="1:10" x14ac:dyDescent="0.2">
      <c r="A128" s="40" t="s">
        <v>209</v>
      </c>
      <c r="B128" s="23" t="s">
        <v>95</v>
      </c>
      <c r="C128" s="23" t="s">
        <v>53</v>
      </c>
      <c r="D128" s="23" t="s">
        <v>96</v>
      </c>
      <c r="E128" s="27" t="s">
        <v>210</v>
      </c>
      <c r="F128" s="24" t="s">
        <v>196</v>
      </c>
      <c r="G128" s="49" t="str">
        <f t="shared" si="5"/>
        <v>5</v>
      </c>
      <c r="H128" s="49" t="str">
        <f t="shared" si="6"/>
        <v>b</v>
      </c>
      <c r="I128" s="25" t="s">
        <v>596</v>
      </c>
      <c r="J128" s="6" t="str">
        <f t="shared" si="7"/>
        <v>Use and develop mathematical and other engineering tools for decision support.</v>
      </c>
    </row>
    <row r="129" spans="1:10" x14ac:dyDescent="0.2">
      <c r="A129" s="41" t="s">
        <v>100</v>
      </c>
      <c r="B129" s="26" t="s">
        <v>92</v>
      </c>
      <c r="C129" s="26" t="s">
        <v>53</v>
      </c>
      <c r="D129" s="26" t="s">
        <v>98</v>
      </c>
      <c r="E129" s="27" t="s">
        <v>215</v>
      </c>
      <c r="F129" s="28" t="s">
        <v>196</v>
      </c>
      <c r="G129" s="49" t="str">
        <f t="shared" si="5"/>
        <v>5</v>
      </c>
      <c r="H129" s="49" t="str">
        <f t="shared" si="6"/>
        <v>b</v>
      </c>
      <c r="I129" s="50" t="s">
        <v>596</v>
      </c>
      <c r="J129" s="6" t="str">
        <f t="shared" si="7"/>
        <v>Use and develop mathematical and other engineering tools for decision support.</v>
      </c>
    </row>
    <row r="130" spans="1:10" x14ac:dyDescent="0.2">
      <c r="A130" s="41" t="s">
        <v>136</v>
      </c>
      <c r="B130" s="26" t="s">
        <v>92</v>
      </c>
      <c r="C130" s="26" t="s">
        <v>53</v>
      </c>
      <c r="D130" s="26" t="s">
        <v>98</v>
      </c>
      <c r="E130" s="27" t="s">
        <v>227</v>
      </c>
      <c r="F130" s="28" t="s">
        <v>196</v>
      </c>
      <c r="G130" s="49" t="str">
        <f t="shared" ref="G130:G193" si="8">LEFT(I130,1)</f>
        <v>5</v>
      </c>
      <c r="H130" s="49" t="str">
        <f t="shared" ref="H130:H193" si="9">RIGHT(I130,1)</f>
        <v>a</v>
      </c>
      <c r="I130" s="50" t="s">
        <v>593</v>
      </c>
      <c r="J130" s="6" t="str">
        <f t="shared" ref="J130:J193" si="10">IFERROR(VLOOKUP(I130,$N$3:$O$39,2,FALSE),0)</f>
        <v>Use programming languages and software tools to build information systems.</v>
      </c>
    </row>
    <row r="131" spans="1:10" x14ac:dyDescent="0.2">
      <c r="A131" s="41" t="s">
        <v>160</v>
      </c>
      <c r="B131" s="26" t="s">
        <v>88</v>
      </c>
      <c r="C131" s="26" t="s">
        <v>53</v>
      </c>
      <c r="D131" s="26" t="s">
        <v>148</v>
      </c>
      <c r="E131" s="27" t="s">
        <v>212</v>
      </c>
      <c r="F131" s="28" t="s">
        <v>196</v>
      </c>
      <c r="G131" s="49" t="str">
        <f t="shared" si="8"/>
        <v>5</v>
      </c>
      <c r="H131" s="49" t="str">
        <f t="shared" si="9"/>
        <v>b</v>
      </c>
      <c r="I131" s="50" t="s">
        <v>596</v>
      </c>
      <c r="J131" s="6" t="str">
        <f t="shared" si="10"/>
        <v>Use and develop mathematical and other engineering tools for decision support.</v>
      </c>
    </row>
    <row r="132" spans="1:10" ht="30" x14ac:dyDescent="0.2">
      <c r="A132" s="40" t="s">
        <v>160</v>
      </c>
      <c r="B132" s="23" t="s">
        <v>88</v>
      </c>
      <c r="C132" s="23" t="s">
        <v>53</v>
      </c>
      <c r="D132" s="23" t="s">
        <v>148</v>
      </c>
      <c r="E132" s="27" t="s">
        <v>211</v>
      </c>
      <c r="F132" s="24" t="s">
        <v>196</v>
      </c>
      <c r="G132" s="49" t="str">
        <f t="shared" si="8"/>
        <v>5</v>
      </c>
      <c r="H132" s="49" t="str">
        <f t="shared" si="9"/>
        <v>b</v>
      </c>
      <c r="I132" s="25" t="s">
        <v>596</v>
      </c>
      <c r="J132" s="6" t="str">
        <f t="shared" si="10"/>
        <v>Use and develop mathematical and other engineering tools for decision support.</v>
      </c>
    </row>
    <row r="133" spans="1:10" x14ac:dyDescent="0.2">
      <c r="A133" s="40" t="s">
        <v>100</v>
      </c>
      <c r="B133" s="23" t="s">
        <v>92</v>
      </c>
      <c r="C133" s="23" t="s">
        <v>53</v>
      </c>
      <c r="D133" s="23" t="s">
        <v>98</v>
      </c>
      <c r="E133" s="27" t="s">
        <v>214</v>
      </c>
      <c r="F133" s="24" t="s">
        <v>196</v>
      </c>
      <c r="G133" s="49" t="str">
        <f t="shared" si="8"/>
        <v>5</v>
      </c>
      <c r="H133" s="49" t="str">
        <f t="shared" si="9"/>
        <v>b</v>
      </c>
      <c r="I133" s="25" t="s">
        <v>596</v>
      </c>
      <c r="J133" s="6" t="str">
        <f t="shared" si="10"/>
        <v>Use and develop mathematical and other engineering tools for decision support.</v>
      </c>
    </row>
    <row r="134" spans="1:10" x14ac:dyDescent="0.2">
      <c r="A134" s="41" t="s">
        <v>91</v>
      </c>
      <c r="B134" s="26" t="s">
        <v>92</v>
      </c>
      <c r="C134" s="26" t="s">
        <v>53</v>
      </c>
      <c r="D134" s="26" t="s">
        <v>93</v>
      </c>
      <c r="E134" s="27" t="s">
        <v>207</v>
      </c>
      <c r="F134" s="28" t="s">
        <v>196</v>
      </c>
      <c r="G134" s="49" t="str">
        <f t="shared" si="8"/>
        <v>5</v>
      </c>
      <c r="H134" s="49" t="str">
        <f t="shared" si="9"/>
        <v>a</v>
      </c>
      <c r="I134" s="50" t="s">
        <v>593</v>
      </c>
      <c r="J134" s="6" t="str">
        <f t="shared" si="10"/>
        <v>Use programming languages and software tools to build information systems.</v>
      </c>
    </row>
    <row r="135" spans="1:10" x14ac:dyDescent="0.2">
      <c r="A135" s="41" t="s">
        <v>102</v>
      </c>
      <c r="B135" s="26" t="s">
        <v>95</v>
      </c>
      <c r="C135" s="26" t="s">
        <v>53</v>
      </c>
      <c r="D135" s="26" t="s">
        <v>96</v>
      </c>
      <c r="E135" s="27" t="s">
        <v>220</v>
      </c>
      <c r="F135" s="28" t="s">
        <v>196</v>
      </c>
      <c r="G135" s="49" t="str">
        <f t="shared" si="8"/>
        <v>5</v>
      </c>
      <c r="H135" s="49" t="str">
        <f t="shared" si="9"/>
        <v>a</v>
      </c>
      <c r="I135" s="50" t="s">
        <v>593</v>
      </c>
      <c r="J135" s="6" t="str">
        <f t="shared" si="10"/>
        <v>Use programming languages and software tools to build information systems.</v>
      </c>
    </row>
    <row r="136" spans="1:10" x14ac:dyDescent="0.2">
      <c r="A136" s="40" t="s">
        <v>91</v>
      </c>
      <c r="B136" s="23" t="s">
        <v>92</v>
      </c>
      <c r="C136" s="23" t="s">
        <v>53</v>
      </c>
      <c r="D136" s="23" t="s">
        <v>93</v>
      </c>
      <c r="E136" s="27" t="s">
        <v>206</v>
      </c>
      <c r="F136" s="24" t="s">
        <v>196</v>
      </c>
      <c r="G136" s="49" t="str">
        <f t="shared" si="8"/>
        <v>5</v>
      </c>
      <c r="H136" s="49" t="str">
        <f t="shared" si="9"/>
        <v>a</v>
      </c>
      <c r="I136" s="25" t="s">
        <v>593</v>
      </c>
      <c r="J136" s="6" t="str">
        <f t="shared" si="10"/>
        <v>Use programming languages and software tools to build information systems.</v>
      </c>
    </row>
    <row r="137" spans="1:10" x14ac:dyDescent="0.2">
      <c r="A137" s="41" t="s">
        <v>200</v>
      </c>
      <c r="B137" s="26" t="s">
        <v>88</v>
      </c>
      <c r="C137" s="26" t="s">
        <v>53</v>
      </c>
      <c r="D137" s="26" t="s">
        <v>56</v>
      </c>
      <c r="E137" s="27" t="s">
        <v>202</v>
      </c>
      <c r="F137" s="28" t="s">
        <v>196</v>
      </c>
      <c r="G137" s="49" t="str">
        <f t="shared" si="8"/>
        <v>5</v>
      </c>
      <c r="H137" s="49" t="str">
        <f t="shared" si="9"/>
        <v>c</v>
      </c>
      <c r="I137" s="50" t="s">
        <v>598</v>
      </c>
      <c r="J137" s="6" t="str">
        <f t="shared" si="10"/>
        <v>Choose an appropriate engineering tool, considering its limitation.</v>
      </c>
    </row>
    <row r="138" spans="1:10" x14ac:dyDescent="0.2">
      <c r="A138" s="40" t="s">
        <v>105</v>
      </c>
      <c r="B138" s="23" t="s">
        <v>95</v>
      </c>
      <c r="C138" s="23" t="s">
        <v>53</v>
      </c>
      <c r="D138" s="23" t="s">
        <v>106</v>
      </c>
      <c r="E138" s="27" t="s">
        <v>234</v>
      </c>
      <c r="F138" s="24" t="s">
        <v>233</v>
      </c>
      <c r="G138" s="49" t="str">
        <f t="shared" si="8"/>
        <v>1</v>
      </c>
      <c r="H138" s="49" t="str">
        <f t="shared" si="9"/>
        <v>a</v>
      </c>
      <c r="I138" s="25" t="s">
        <v>621</v>
      </c>
      <c r="J138" s="6" t="str">
        <f t="shared" si="10"/>
        <v>Identify ethical considerations on engineering projects.</v>
      </c>
    </row>
    <row r="139" spans="1:10" x14ac:dyDescent="0.2">
      <c r="A139" s="41" t="s">
        <v>111</v>
      </c>
      <c r="B139" s="26" t="s">
        <v>92</v>
      </c>
      <c r="C139" s="26" t="s">
        <v>53</v>
      </c>
      <c r="D139" s="26" t="s">
        <v>112</v>
      </c>
      <c r="E139" s="27" t="s">
        <v>234</v>
      </c>
      <c r="F139" s="28" t="s">
        <v>233</v>
      </c>
      <c r="G139" s="49" t="str">
        <f t="shared" si="8"/>
        <v>1</v>
      </c>
      <c r="H139" s="49" t="str">
        <f t="shared" si="9"/>
        <v>c</v>
      </c>
      <c r="I139" s="50" t="s">
        <v>626</v>
      </c>
      <c r="J139" s="6">
        <f t="shared" si="10"/>
        <v>0</v>
      </c>
    </row>
    <row r="140" spans="1:10" x14ac:dyDescent="0.2">
      <c r="A140" s="40" t="s">
        <v>87</v>
      </c>
      <c r="B140" s="23" t="s">
        <v>88</v>
      </c>
      <c r="C140" s="23" t="s">
        <v>53</v>
      </c>
      <c r="D140" s="23" t="s">
        <v>89</v>
      </c>
      <c r="E140" s="27" t="s">
        <v>232</v>
      </c>
      <c r="F140" s="24" t="s">
        <v>233</v>
      </c>
      <c r="G140" s="49" t="str">
        <f t="shared" si="8"/>
        <v>1</v>
      </c>
      <c r="H140" s="49" t="str">
        <f t="shared" si="9"/>
        <v>b</v>
      </c>
      <c r="I140" s="25" t="s">
        <v>624</v>
      </c>
      <c r="J140" s="6" t="str">
        <f t="shared" si="10"/>
        <v>Identify factors that contribute to an equitable environment.</v>
      </c>
    </row>
    <row r="141" spans="1:10" ht="30" x14ac:dyDescent="0.2">
      <c r="A141" s="41" t="s">
        <v>132</v>
      </c>
      <c r="B141" s="26" t="s">
        <v>92</v>
      </c>
      <c r="C141" s="26" t="s">
        <v>54</v>
      </c>
      <c r="D141" s="26" t="s">
        <v>112</v>
      </c>
      <c r="E141" s="27" t="s">
        <v>241</v>
      </c>
      <c r="F141" s="28" t="s">
        <v>236</v>
      </c>
      <c r="G141" s="49" t="str">
        <f t="shared" si="8"/>
        <v>9</v>
      </c>
      <c r="H141" s="49" t="str">
        <f t="shared" si="9"/>
        <v>a</v>
      </c>
      <c r="I141" s="50" t="s">
        <v>613</v>
      </c>
      <c r="J141" s="6" t="str">
        <f t="shared" si="10"/>
        <v>Identify the relevance of different types of impacts (environmental, social, economical, safety and cultural) on engineering and IT activities.</v>
      </c>
    </row>
    <row r="142" spans="1:10" x14ac:dyDescent="0.2">
      <c r="A142" s="41" t="s">
        <v>105</v>
      </c>
      <c r="B142" s="26" t="s">
        <v>95</v>
      </c>
      <c r="C142" s="26" t="s">
        <v>53</v>
      </c>
      <c r="D142" s="26" t="s">
        <v>106</v>
      </c>
      <c r="E142" s="27" t="s">
        <v>238</v>
      </c>
      <c r="F142" s="28" t="s">
        <v>236</v>
      </c>
      <c r="G142" s="49" t="str">
        <f t="shared" si="8"/>
        <v>9</v>
      </c>
      <c r="H142" s="49" t="str">
        <f t="shared" si="9"/>
        <v>a</v>
      </c>
      <c r="I142" s="50" t="s">
        <v>613</v>
      </c>
      <c r="J142" s="6" t="str">
        <f t="shared" si="10"/>
        <v>Identify the relevance of different types of impacts (environmental, social, economical, safety and cultural) on engineering and IT activities.</v>
      </c>
    </row>
    <row r="143" spans="1:10" x14ac:dyDescent="0.2">
      <c r="A143" s="40" t="s">
        <v>111</v>
      </c>
      <c r="B143" s="23" t="s">
        <v>92</v>
      </c>
      <c r="C143" s="23" t="s">
        <v>53</v>
      </c>
      <c r="D143" s="23" t="s">
        <v>112</v>
      </c>
      <c r="E143" s="27" t="s">
        <v>238</v>
      </c>
      <c r="F143" s="24" t="s">
        <v>236</v>
      </c>
      <c r="G143" s="49" t="str">
        <f t="shared" si="8"/>
        <v>9</v>
      </c>
      <c r="H143" s="49" t="str">
        <f t="shared" si="9"/>
        <v>a</v>
      </c>
      <c r="I143" s="50" t="s">
        <v>613</v>
      </c>
      <c r="J143" s="6" t="str">
        <f t="shared" si="10"/>
        <v>Identify the relevance of different types of impacts (environmental, social, economical, safety and cultural) on engineering and IT activities.</v>
      </c>
    </row>
    <row r="144" spans="1:10" x14ac:dyDescent="0.2">
      <c r="A144" s="40" t="s">
        <v>105</v>
      </c>
      <c r="B144" s="23" t="s">
        <v>95</v>
      </c>
      <c r="C144" s="23" t="s">
        <v>53</v>
      </c>
      <c r="D144" s="23" t="s">
        <v>106</v>
      </c>
      <c r="E144" s="27" t="s">
        <v>237</v>
      </c>
      <c r="F144" s="24" t="s">
        <v>236</v>
      </c>
      <c r="G144" s="49" t="str">
        <f t="shared" si="8"/>
        <v>9</v>
      </c>
      <c r="H144" s="49" t="str">
        <f t="shared" si="9"/>
        <v>a</v>
      </c>
      <c r="I144" s="50" t="s">
        <v>613</v>
      </c>
      <c r="J144" s="6" t="str">
        <f t="shared" si="10"/>
        <v>Identify the relevance of different types of impacts (environmental, social, economical, safety and cultural) on engineering and IT activities.</v>
      </c>
    </row>
    <row r="145" spans="1:10" x14ac:dyDescent="0.2">
      <c r="A145" s="41" t="s">
        <v>111</v>
      </c>
      <c r="B145" s="26" t="s">
        <v>92</v>
      </c>
      <c r="C145" s="26" t="s">
        <v>53</v>
      </c>
      <c r="D145" s="26" t="s">
        <v>112</v>
      </c>
      <c r="E145" s="27" t="s">
        <v>237</v>
      </c>
      <c r="F145" s="28" t="s">
        <v>236</v>
      </c>
      <c r="G145" s="49" t="str">
        <f t="shared" si="8"/>
        <v>9</v>
      </c>
      <c r="H145" s="49" t="str">
        <f t="shared" si="9"/>
        <v>a</v>
      </c>
      <c r="I145" s="50" t="s">
        <v>613</v>
      </c>
      <c r="J145" s="6" t="str">
        <f t="shared" si="10"/>
        <v>Identify the relevance of different types of impacts (environmental, social, economical, safety and cultural) on engineering and IT activities.</v>
      </c>
    </row>
    <row r="146" spans="1:10" ht="30" x14ac:dyDescent="0.2">
      <c r="A146" s="41" t="s">
        <v>105</v>
      </c>
      <c r="B146" s="26" t="s">
        <v>95</v>
      </c>
      <c r="C146" s="26" t="s">
        <v>53</v>
      </c>
      <c r="D146" s="26" t="s">
        <v>106</v>
      </c>
      <c r="E146" s="27" t="s">
        <v>235</v>
      </c>
      <c r="F146" s="28" t="s">
        <v>236</v>
      </c>
      <c r="G146" s="49" t="str">
        <f t="shared" si="8"/>
        <v>9</v>
      </c>
      <c r="H146" s="49" t="str">
        <f t="shared" si="9"/>
        <v>a</v>
      </c>
      <c r="I146" s="50" t="s">
        <v>613</v>
      </c>
      <c r="J146" s="6" t="str">
        <f t="shared" si="10"/>
        <v>Identify the relevance of different types of impacts (environmental, social, economical, safety and cultural) on engineering and IT activities.</v>
      </c>
    </row>
    <row r="147" spans="1:10" ht="30" x14ac:dyDescent="0.2">
      <c r="A147" s="40" t="s">
        <v>111</v>
      </c>
      <c r="B147" s="23" t="s">
        <v>92</v>
      </c>
      <c r="C147" s="23" t="s">
        <v>53</v>
      </c>
      <c r="D147" s="23" t="s">
        <v>112</v>
      </c>
      <c r="E147" s="27" t="s">
        <v>235</v>
      </c>
      <c r="F147" s="24" t="s">
        <v>236</v>
      </c>
      <c r="G147" s="49" t="str">
        <f t="shared" si="8"/>
        <v>9</v>
      </c>
      <c r="H147" s="49" t="str">
        <f t="shared" si="9"/>
        <v>a</v>
      </c>
      <c r="I147" s="50" t="s">
        <v>613</v>
      </c>
      <c r="J147" s="6" t="str">
        <f t="shared" si="10"/>
        <v>Identify the relevance of different types of impacts (environmental, social, economical, safety and cultural) on engineering and IT activities.</v>
      </c>
    </row>
    <row r="148" spans="1:10" ht="30" x14ac:dyDescent="0.2">
      <c r="A148" s="40" t="s">
        <v>132</v>
      </c>
      <c r="B148" s="23" t="s">
        <v>92</v>
      </c>
      <c r="C148" s="23" t="s">
        <v>54</v>
      </c>
      <c r="D148" s="23" t="s">
        <v>112</v>
      </c>
      <c r="E148" s="27" t="s">
        <v>242</v>
      </c>
      <c r="F148" s="24" t="s">
        <v>236</v>
      </c>
      <c r="G148" s="49" t="str">
        <f t="shared" si="8"/>
        <v>9</v>
      </c>
      <c r="H148" s="49" t="str">
        <f t="shared" si="9"/>
        <v>a</v>
      </c>
      <c r="I148" s="50" t="s">
        <v>613</v>
      </c>
      <c r="J148" s="6" t="str">
        <f t="shared" si="10"/>
        <v>Identify the relevance of different types of impacts (environmental, social, economical, safety and cultural) on engineering and IT activities.</v>
      </c>
    </row>
    <row r="149" spans="1:10" x14ac:dyDescent="0.2">
      <c r="A149" s="41" t="s">
        <v>239</v>
      </c>
      <c r="B149" s="26" t="s">
        <v>88</v>
      </c>
      <c r="C149" s="26" t="s">
        <v>54</v>
      </c>
      <c r="D149" s="26" t="s">
        <v>148</v>
      </c>
      <c r="E149" s="27" t="s">
        <v>240</v>
      </c>
      <c r="F149" s="28" t="s">
        <v>236</v>
      </c>
      <c r="G149" s="49" t="str">
        <f t="shared" si="8"/>
        <v>9</v>
      </c>
      <c r="H149" s="49" t="str">
        <f t="shared" si="9"/>
        <v>a</v>
      </c>
      <c r="I149" s="50" t="s">
        <v>613</v>
      </c>
      <c r="J149" s="6" t="str">
        <f t="shared" si="10"/>
        <v>Identify the relevance of different types of impacts (environmental, social, economical, safety and cultural) on engineering and IT activities.</v>
      </c>
    </row>
    <row r="150" spans="1:10" x14ac:dyDescent="0.2">
      <c r="A150" s="41" t="s">
        <v>132</v>
      </c>
      <c r="B150" s="26" t="s">
        <v>92</v>
      </c>
      <c r="C150" s="26" t="s">
        <v>54</v>
      </c>
      <c r="D150" s="26" t="s">
        <v>112</v>
      </c>
      <c r="E150" s="27" t="s">
        <v>265</v>
      </c>
      <c r="F150" s="28" t="s">
        <v>60</v>
      </c>
      <c r="G150" s="49" t="str">
        <f t="shared" si="8"/>
        <v>3</v>
      </c>
      <c r="H150" s="49" t="str">
        <f t="shared" si="9"/>
        <v>b</v>
      </c>
      <c r="I150" s="25" t="s">
        <v>583</v>
      </c>
      <c r="J150" s="6" t="str">
        <f t="shared" si="10"/>
        <v>Gather, process and analyze real world data, using appropriate methods.</v>
      </c>
    </row>
    <row r="151" spans="1:10" x14ac:dyDescent="0.2">
      <c r="A151" s="41" t="s">
        <v>87</v>
      </c>
      <c r="B151" s="26" t="s">
        <v>88</v>
      </c>
      <c r="C151" s="26" t="s">
        <v>53</v>
      </c>
      <c r="D151" s="26" t="s">
        <v>89</v>
      </c>
      <c r="E151" s="27" t="s">
        <v>246</v>
      </c>
      <c r="F151" s="28" t="s">
        <v>60</v>
      </c>
      <c r="G151" s="49" t="str">
        <f t="shared" si="8"/>
        <v>3</v>
      </c>
      <c r="H151" s="49" t="str">
        <f t="shared" si="9"/>
        <v>b</v>
      </c>
      <c r="I151" s="25" t="s">
        <v>583</v>
      </c>
      <c r="J151" s="6" t="str">
        <f t="shared" si="10"/>
        <v>Gather, process and analyze real world data, using appropriate methods.</v>
      </c>
    </row>
    <row r="152" spans="1:10" x14ac:dyDescent="0.2">
      <c r="A152" s="40" t="s">
        <v>209</v>
      </c>
      <c r="B152" s="23" t="s">
        <v>95</v>
      </c>
      <c r="C152" s="23" t="s">
        <v>53</v>
      </c>
      <c r="D152" s="23" t="s">
        <v>96</v>
      </c>
      <c r="E152" s="27" t="s">
        <v>255</v>
      </c>
      <c r="F152" s="24" t="s">
        <v>60</v>
      </c>
      <c r="G152" s="49" t="str">
        <f t="shared" si="8"/>
        <v>3</v>
      </c>
      <c r="H152" s="49" t="str">
        <f t="shared" si="9"/>
        <v>b</v>
      </c>
      <c r="I152" s="25" t="s">
        <v>583</v>
      </c>
      <c r="J152" s="6" t="str">
        <f t="shared" si="10"/>
        <v>Gather, process and analyze real world data, using appropriate methods.</v>
      </c>
    </row>
    <row r="153" spans="1:10" ht="30" x14ac:dyDescent="0.2">
      <c r="A153" s="41" t="s">
        <v>97</v>
      </c>
      <c r="B153" s="26" t="s">
        <v>92</v>
      </c>
      <c r="C153" s="26" t="s">
        <v>53</v>
      </c>
      <c r="D153" s="26" t="s">
        <v>98</v>
      </c>
      <c r="E153" s="27" t="s">
        <v>252</v>
      </c>
      <c r="F153" s="28" t="s">
        <v>60</v>
      </c>
      <c r="G153" s="49" t="str">
        <f t="shared" si="8"/>
        <v>3</v>
      </c>
      <c r="H153" s="49" t="str">
        <f t="shared" si="9"/>
        <v>a</v>
      </c>
      <c r="I153" s="25" t="s">
        <v>581</v>
      </c>
      <c r="J153" s="6" t="str">
        <f t="shared" si="10"/>
        <v>Identify critical issues or attributes, sensetive to system assumptions and uncertainties for further analysis or improvement.</v>
      </c>
    </row>
    <row r="154" spans="1:10" ht="30" x14ac:dyDescent="0.2">
      <c r="A154" s="41" t="s">
        <v>97</v>
      </c>
      <c r="B154" s="26" t="s">
        <v>88</v>
      </c>
      <c r="C154" s="26" t="s">
        <v>54</v>
      </c>
      <c r="D154" s="26"/>
      <c r="E154" s="27" t="s">
        <v>252</v>
      </c>
      <c r="F154" s="28" t="s">
        <v>60</v>
      </c>
      <c r="G154" s="49" t="str">
        <f t="shared" si="8"/>
        <v>3</v>
      </c>
      <c r="H154" s="49" t="str">
        <f t="shared" si="9"/>
        <v>c</v>
      </c>
      <c r="I154" s="25" t="s">
        <v>647</v>
      </c>
      <c r="J154" s="6">
        <f t="shared" si="10"/>
        <v>0</v>
      </c>
    </row>
    <row r="155" spans="1:10" ht="30" x14ac:dyDescent="0.2">
      <c r="A155" s="40" t="s">
        <v>182</v>
      </c>
      <c r="B155" s="23" t="s">
        <v>92</v>
      </c>
      <c r="C155" s="23" t="s">
        <v>54</v>
      </c>
      <c r="D155" s="23" t="s">
        <v>112</v>
      </c>
      <c r="E155" s="27" t="s">
        <v>74</v>
      </c>
      <c r="F155" s="24" t="s">
        <v>60</v>
      </c>
      <c r="G155" s="49" t="str">
        <f t="shared" si="8"/>
        <v>3</v>
      </c>
      <c r="H155" s="49" t="str">
        <f t="shared" si="9"/>
        <v>a</v>
      </c>
      <c r="I155" s="25" t="s">
        <v>581</v>
      </c>
      <c r="J155" s="6" t="str">
        <f t="shared" si="10"/>
        <v>Identify critical issues or attributes, sensetive to system assumptions and uncertainties for further analysis or improvement.</v>
      </c>
    </row>
    <row r="156" spans="1:10" ht="30" x14ac:dyDescent="0.2">
      <c r="A156" s="40" t="s">
        <v>249</v>
      </c>
      <c r="B156" s="23" t="s">
        <v>88</v>
      </c>
      <c r="C156" s="23" t="s">
        <v>53</v>
      </c>
      <c r="D156" s="23" t="s">
        <v>56</v>
      </c>
      <c r="E156" s="27" t="s">
        <v>250</v>
      </c>
      <c r="F156" s="24" t="s">
        <v>60</v>
      </c>
      <c r="G156" s="49" t="str">
        <f t="shared" si="8"/>
        <v>3</v>
      </c>
      <c r="H156" s="49" t="str">
        <f t="shared" si="9"/>
        <v>a</v>
      </c>
      <c r="I156" s="25" t="s">
        <v>581</v>
      </c>
      <c r="J156" s="6" t="str">
        <f t="shared" si="10"/>
        <v>Identify critical issues or attributes, sensetive to system assumptions and uncertainties for further analysis or improvement.</v>
      </c>
    </row>
    <row r="157" spans="1:10" x14ac:dyDescent="0.2">
      <c r="A157" s="41" t="s">
        <v>111</v>
      </c>
      <c r="B157" s="26" t="s">
        <v>92</v>
      </c>
      <c r="C157" s="26" t="s">
        <v>53</v>
      </c>
      <c r="D157" s="26" t="s">
        <v>112</v>
      </c>
      <c r="E157" s="27" t="s">
        <v>260</v>
      </c>
      <c r="F157" s="28" t="s">
        <v>60</v>
      </c>
      <c r="G157" s="49" t="str">
        <f t="shared" si="8"/>
        <v>3</v>
      </c>
      <c r="H157" s="49" t="str">
        <f t="shared" si="9"/>
        <v>b</v>
      </c>
      <c r="I157" s="50" t="s">
        <v>583</v>
      </c>
      <c r="J157" s="6" t="str">
        <f t="shared" si="10"/>
        <v>Gather, process and analyze real world data, using appropriate methods.</v>
      </c>
    </row>
    <row r="158" spans="1:10" x14ac:dyDescent="0.2">
      <c r="A158" s="40" t="s">
        <v>105</v>
      </c>
      <c r="B158" s="23" t="s">
        <v>95</v>
      </c>
      <c r="C158" s="23" t="s">
        <v>53</v>
      </c>
      <c r="D158" s="23" t="s">
        <v>106</v>
      </c>
      <c r="E158" s="27" t="s">
        <v>258</v>
      </c>
      <c r="F158" s="24" t="s">
        <v>60</v>
      </c>
      <c r="G158" s="49" t="str">
        <f t="shared" si="8"/>
        <v>3</v>
      </c>
      <c r="H158" s="49" t="str">
        <f t="shared" si="9"/>
        <v>b</v>
      </c>
      <c r="I158" s="25" t="s">
        <v>583</v>
      </c>
      <c r="J158" s="6" t="str">
        <f t="shared" si="10"/>
        <v>Gather, process and analyze real world data, using appropriate methods.</v>
      </c>
    </row>
    <row r="159" spans="1:10" x14ac:dyDescent="0.2">
      <c r="A159" s="40" t="s">
        <v>136</v>
      </c>
      <c r="B159" s="23" t="s">
        <v>92</v>
      </c>
      <c r="C159" s="23" t="s">
        <v>53</v>
      </c>
      <c r="D159" s="23" t="s">
        <v>98</v>
      </c>
      <c r="E159" s="27" t="s">
        <v>266</v>
      </c>
      <c r="F159" s="24" t="s">
        <v>60</v>
      </c>
      <c r="G159" s="49" t="str">
        <f t="shared" si="8"/>
        <v>3</v>
      </c>
      <c r="H159" s="49" t="str">
        <f t="shared" si="9"/>
        <v>b</v>
      </c>
      <c r="I159" s="25" t="s">
        <v>583</v>
      </c>
      <c r="J159" s="6" t="str">
        <f t="shared" si="10"/>
        <v>Gather, process and analyze real world data, using appropriate methods.</v>
      </c>
    </row>
    <row r="160" spans="1:10" x14ac:dyDescent="0.2">
      <c r="A160" s="41" t="s">
        <v>155</v>
      </c>
      <c r="B160" s="26" t="s">
        <v>92</v>
      </c>
      <c r="C160" s="26" t="s">
        <v>53</v>
      </c>
      <c r="D160" s="26" t="s">
        <v>93</v>
      </c>
      <c r="E160" s="27" t="s">
        <v>248</v>
      </c>
      <c r="F160" s="28" t="s">
        <v>60</v>
      </c>
      <c r="G160" s="49" t="str">
        <f t="shared" si="8"/>
        <v>3</v>
      </c>
      <c r="H160" s="49" t="str">
        <f t="shared" si="9"/>
        <v>b</v>
      </c>
      <c r="I160" s="50" t="s">
        <v>583</v>
      </c>
      <c r="J160" s="6" t="str">
        <f t="shared" si="10"/>
        <v>Gather, process and analyze real world data, using appropriate methods.</v>
      </c>
    </row>
    <row r="161" spans="1:10" x14ac:dyDescent="0.2">
      <c r="A161" s="40" t="s">
        <v>139</v>
      </c>
      <c r="B161" s="23" t="s">
        <v>92</v>
      </c>
      <c r="C161" s="23" t="s">
        <v>54</v>
      </c>
      <c r="D161" s="23" t="s">
        <v>112</v>
      </c>
      <c r="E161" s="27" t="s">
        <v>267</v>
      </c>
      <c r="F161" s="24" t="s">
        <v>60</v>
      </c>
      <c r="G161" s="49" t="str">
        <f t="shared" si="8"/>
        <v>3</v>
      </c>
      <c r="H161" s="49" t="str">
        <f t="shared" si="9"/>
        <v>b</v>
      </c>
      <c r="I161" s="25" t="s">
        <v>583</v>
      </c>
      <c r="J161" s="6" t="str">
        <f t="shared" si="10"/>
        <v>Gather, process and analyze real world data, using appropriate methods.</v>
      </c>
    </row>
    <row r="162" spans="1:10" x14ac:dyDescent="0.2">
      <c r="A162" s="41" t="s">
        <v>126</v>
      </c>
      <c r="B162" s="26" t="s">
        <v>92</v>
      </c>
      <c r="C162" s="26" t="s">
        <v>54</v>
      </c>
      <c r="D162" s="26" t="s">
        <v>112</v>
      </c>
      <c r="E162" s="27" t="s">
        <v>264</v>
      </c>
      <c r="F162" s="28" t="s">
        <v>60</v>
      </c>
      <c r="G162" s="49" t="str">
        <f t="shared" si="8"/>
        <v>3</v>
      </c>
      <c r="H162" s="49" t="str">
        <f t="shared" si="9"/>
        <v>b</v>
      </c>
      <c r="I162" s="50" t="s">
        <v>583</v>
      </c>
      <c r="J162" s="6" t="str">
        <f t="shared" si="10"/>
        <v>Gather, process and analyze real world data, using appropriate methods.</v>
      </c>
    </row>
    <row r="163" spans="1:10" x14ac:dyDescent="0.2">
      <c r="A163" s="40" t="s">
        <v>142</v>
      </c>
      <c r="B163" s="23" t="s">
        <v>92</v>
      </c>
      <c r="C163" s="23" t="s">
        <v>53</v>
      </c>
      <c r="D163" s="23" t="s">
        <v>98</v>
      </c>
      <c r="E163" s="27" t="s">
        <v>264</v>
      </c>
      <c r="F163" s="24" t="s">
        <v>60</v>
      </c>
      <c r="G163" s="49" t="str">
        <f t="shared" si="8"/>
        <v>3</v>
      </c>
      <c r="H163" s="49" t="str">
        <f t="shared" si="9"/>
        <v>b</v>
      </c>
      <c r="I163" s="25" t="s">
        <v>583</v>
      </c>
      <c r="J163" s="6" t="str">
        <f t="shared" si="10"/>
        <v>Gather, process and analyze real world data, using appropriate methods.</v>
      </c>
    </row>
    <row r="164" spans="1:10" x14ac:dyDescent="0.2">
      <c r="A164" s="41" t="s">
        <v>147</v>
      </c>
      <c r="B164" s="26" t="s">
        <v>88</v>
      </c>
      <c r="C164" s="26" t="s">
        <v>53</v>
      </c>
      <c r="D164" s="26" t="s">
        <v>148</v>
      </c>
      <c r="E164" s="27" t="s">
        <v>264</v>
      </c>
      <c r="F164" s="28" t="s">
        <v>60</v>
      </c>
      <c r="G164" s="49" t="str">
        <f t="shared" si="8"/>
        <v>3</v>
      </c>
      <c r="H164" s="49" t="str">
        <f t="shared" si="9"/>
        <v>b</v>
      </c>
      <c r="I164" s="50" t="s">
        <v>583</v>
      </c>
      <c r="J164" s="6" t="str">
        <f t="shared" si="10"/>
        <v>Gather, process and analyze real world data, using appropriate methods.</v>
      </c>
    </row>
    <row r="165" spans="1:10" x14ac:dyDescent="0.2">
      <c r="A165" s="41" t="s">
        <v>151</v>
      </c>
      <c r="B165" s="26" t="s">
        <v>95</v>
      </c>
      <c r="C165" s="26" t="s">
        <v>53</v>
      </c>
      <c r="D165" s="26" t="s">
        <v>106</v>
      </c>
      <c r="E165" s="27" t="s">
        <v>264</v>
      </c>
      <c r="F165" s="28" t="s">
        <v>60</v>
      </c>
      <c r="G165" s="49" t="str">
        <f t="shared" si="8"/>
        <v>3</v>
      </c>
      <c r="H165" s="49" t="str">
        <f t="shared" si="9"/>
        <v>b</v>
      </c>
      <c r="I165" s="25" t="s">
        <v>583</v>
      </c>
      <c r="J165" s="6" t="str">
        <f t="shared" si="10"/>
        <v>Gather, process and analyze real world data, using appropriate methods.</v>
      </c>
    </row>
    <row r="166" spans="1:10" ht="45" x14ac:dyDescent="0.2">
      <c r="A166" s="41" t="s">
        <v>200</v>
      </c>
      <c r="B166" s="26" t="s">
        <v>88</v>
      </c>
      <c r="C166" s="26" t="s">
        <v>53</v>
      </c>
      <c r="D166" s="26" t="s">
        <v>56</v>
      </c>
      <c r="E166" s="27" t="s">
        <v>243</v>
      </c>
      <c r="F166" s="28" t="s">
        <v>60</v>
      </c>
      <c r="G166" s="49" t="str">
        <f t="shared" si="8"/>
        <v>3</v>
      </c>
      <c r="H166" s="49" t="str">
        <f t="shared" si="9"/>
        <v>b</v>
      </c>
      <c r="I166" s="50" t="s">
        <v>583</v>
      </c>
      <c r="J166" s="6" t="str">
        <f t="shared" si="10"/>
        <v>Gather, process and analyze real world data, using appropriate methods.</v>
      </c>
    </row>
    <row r="167" spans="1:10" x14ac:dyDescent="0.2">
      <c r="A167" s="41" t="s">
        <v>100</v>
      </c>
      <c r="B167" s="26" t="s">
        <v>92</v>
      </c>
      <c r="C167" s="26" t="s">
        <v>53</v>
      </c>
      <c r="D167" s="26" t="s">
        <v>98</v>
      </c>
      <c r="E167" s="27" t="s">
        <v>257</v>
      </c>
      <c r="F167" s="28" t="s">
        <v>60</v>
      </c>
      <c r="G167" s="49" t="str">
        <f t="shared" si="8"/>
        <v>3</v>
      </c>
      <c r="H167" s="49" t="str">
        <f t="shared" si="9"/>
        <v>b</v>
      </c>
      <c r="I167" s="50" t="s">
        <v>583</v>
      </c>
      <c r="J167" s="6" t="str">
        <f t="shared" si="10"/>
        <v>Gather, process and analyze real world data, using appropriate methods.</v>
      </c>
    </row>
    <row r="168" spans="1:10" ht="30" x14ac:dyDescent="0.2">
      <c r="A168" s="40" t="s">
        <v>97</v>
      </c>
      <c r="B168" s="23" t="s">
        <v>92</v>
      </c>
      <c r="C168" s="23" t="s">
        <v>53</v>
      </c>
      <c r="D168" s="23" t="s">
        <v>98</v>
      </c>
      <c r="E168" s="27" t="s">
        <v>251</v>
      </c>
      <c r="F168" s="24" t="s">
        <v>60</v>
      </c>
      <c r="G168" s="49" t="str">
        <f t="shared" si="8"/>
        <v>3</v>
      </c>
      <c r="H168" s="49" t="str">
        <f t="shared" si="9"/>
        <v>b</v>
      </c>
      <c r="I168" s="25" t="s">
        <v>583</v>
      </c>
      <c r="J168" s="6" t="str">
        <f t="shared" si="10"/>
        <v>Gather, process and analyze real world data, using appropriate methods.</v>
      </c>
    </row>
    <row r="169" spans="1:10" ht="30" x14ac:dyDescent="0.2">
      <c r="A169" s="40" t="s">
        <v>97</v>
      </c>
      <c r="B169" s="23" t="s">
        <v>88</v>
      </c>
      <c r="C169" s="23" t="s">
        <v>54</v>
      </c>
      <c r="D169" s="23"/>
      <c r="E169" s="27" t="s">
        <v>253</v>
      </c>
      <c r="F169" s="24" t="s">
        <v>60</v>
      </c>
      <c r="G169" s="49" t="str">
        <f t="shared" si="8"/>
        <v>3</v>
      </c>
      <c r="H169" s="49" t="str">
        <f t="shared" si="9"/>
        <v>b</v>
      </c>
      <c r="I169" s="25" t="s">
        <v>583</v>
      </c>
      <c r="J169" s="6" t="str">
        <f t="shared" si="10"/>
        <v>Gather, process and analyze real world data, using appropriate methods.</v>
      </c>
    </row>
    <row r="170" spans="1:10" x14ac:dyDescent="0.2">
      <c r="A170" s="41" t="s">
        <v>209</v>
      </c>
      <c r="B170" s="26" t="s">
        <v>95</v>
      </c>
      <c r="C170" s="26" t="s">
        <v>53</v>
      </c>
      <c r="D170" s="26" t="s">
        <v>96</v>
      </c>
      <c r="E170" s="27" t="s">
        <v>254</v>
      </c>
      <c r="F170" s="28" t="s">
        <v>60</v>
      </c>
      <c r="G170" s="49" t="str">
        <f t="shared" si="8"/>
        <v>3</v>
      </c>
      <c r="H170" s="49" t="str">
        <f t="shared" si="9"/>
        <v>a</v>
      </c>
      <c r="I170" s="50" t="s">
        <v>581</v>
      </c>
      <c r="J170" s="6" t="str">
        <f t="shared" si="10"/>
        <v>Identify critical issues or attributes, sensetive to system assumptions and uncertainties for further analysis or improvement.</v>
      </c>
    </row>
    <row r="171" spans="1:10" ht="30" x14ac:dyDescent="0.2">
      <c r="A171" s="41" t="s">
        <v>160</v>
      </c>
      <c r="B171" s="26" t="s">
        <v>88</v>
      </c>
      <c r="C171" s="26" t="s">
        <v>53</v>
      </c>
      <c r="D171" s="26" t="s">
        <v>148</v>
      </c>
      <c r="E171" s="27" t="s">
        <v>256</v>
      </c>
      <c r="F171" s="28" t="s">
        <v>60</v>
      </c>
      <c r="G171" s="49" t="str">
        <f t="shared" si="8"/>
        <v>3</v>
      </c>
      <c r="H171" s="49" t="str">
        <f t="shared" si="9"/>
        <v>a</v>
      </c>
      <c r="I171" s="50" t="s">
        <v>581</v>
      </c>
      <c r="J171" s="6" t="str">
        <f t="shared" si="10"/>
        <v>Identify critical issues or attributes, sensetive to system assumptions and uncertainties for further analysis or improvement.</v>
      </c>
    </row>
    <row r="172" spans="1:10" x14ac:dyDescent="0.2">
      <c r="A172" s="40" t="s">
        <v>126</v>
      </c>
      <c r="B172" s="23" t="s">
        <v>92</v>
      </c>
      <c r="C172" s="23" t="s">
        <v>54</v>
      </c>
      <c r="D172" s="23" t="s">
        <v>112</v>
      </c>
      <c r="E172" s="27" t="s">
        <v>263</v>
      </c>
      <c r="F172" s="24" t="s">
        <v>60</v>
      </c>
      <c r="G172" s="49" t="str">
        <f t="shared" si="8"/>
        <v>3</v>
      </c>
      <c r="H172" s="49" t="str">
        <f t="shared" si="9"/>
        <v>b</v>
      </c>
      <c r="I172" s="25" t="s">
        <v>583</v>
      </c>
      <c r="J172" s="6" t="str">
        <f t="shared" si="10"/>
        <v>Gather, process and analyze real world data, using appropriate methods.</v>
      </c>
    </row>
    <row r="173" spans="1:10" x14ac:dyDescent="0.2">
      <c r="A173" s="40" t="s">
        <v>91</v>
      </c>
      <c r="B173" s="23" t="s">
        <v>92</v>
      </c>
      <c r="C173" s="23" t="s">
        <v>53</v>
      </c>
      <c r="D173" s="23" t="s">
        <v>93</v>
      </c>
      <c r="E173" s="27" t="s">
        <v>247</v>
      </c>
      <c r="F173" s="24" t="s">
        <v>60</v>
      </c>
      <c r="G173" s="49" t="str">
        <f t="shared" si="8"/>
        <v>3</v>
      </c>
      <c r="H173" s="49" t="str">
        <f t="shared" si="9"/>
        <v>c</v>
      </c>
      <c r="I173" s="25" t="s">
        <v>647</v>
      </c>
      <c r="J173" s="6">
        <f t="shared" si="10"/>
        <v>0</v>
      </c>
    </row>
    <row r="174" spans="1:10" ht="30" x14ac:dyDescent="0.2">
      <c r="A174" s="40" t="s">
        <v>200</v>
      </c>
      <c r="B174" s="23" t="s">
        <v>88</v>
      </c>
      <c r="C174" s="23" t="s">
        <v>53</v>
      </c>
      <c r="D174" s="23" t="s">
        <v>56</v>
      </c>
      <c r="E174" s="27" t="s">
        <v>244</v>
      </c>
      <c r="F174" s="24" t="s">
        <v>60</v>
      </c>
      <c r="G174" s="49" t="str">
        <f t="shared" si="8"/>
        <v>3</v>
      </c>
      <c r="H174" s="49" t="str">
        <f t="shared" si="9"/>
        <v>a</v>
      </c>
      <c r="I174" s="25" t="s">
        <v>581</v>
      </c>
      <c r="J174" s="6" t="str">
        <f t="shared" si="10"/>
        <v>Identify critical issues or attributes, sensetive to system assumptions and uncertainties for further analysis or improvement.</v>
      </c>
    </row>
    <row r="175" spans="1:10" x14ac:dyDescent="0.2">
      <c r="A175" s="40" t="s">
        <v>100</v>
      </c>
      <c r="B175" s="23" t="s">
        <v>92</v>
      </c>
      <c r="C175" s="23" t="s">
        <v>53</v>
      </c>
      <c r="D175" s="23" t="s">
        <v>98</v>
      </c>
      <c r="E175" s="27" t="s">
        <v>73</v>
      </c>
      <c r="F175" s="24" t="s">
        <v>60</v>
      </c>
      <c r="G175" s="49" t="str">
        <f t="shared" si="8"/>
        <v>3</v>
      </c>
      <c r="H175" s="49" t="str">
        <f t="shared" si="9"/>
        <v>a</v>
      </c>
      <c r="I175" s="25" t="s">
        <v>581</v>
      </c>
      <c r="J175" s="6" t="str">
        <f t="shared" si="10"/>
        <v>Identify critical issues or attributes, sensetive to system assumptions and uncertainties for further analysis or improvement.</v>
      </c>
    </row>
    <row r="176" spans="1:10" ht="30" x14ac:dyDescent="0.2">
      <c r="A176" s="41" t="s">
        <v>200</v>
      </c>
      <c r="B176" s="26" t="s">
        <v>88</v>
      </c>
      <c r="C176" s="26" t="s">
        <v>53</v>
      </c>
      <c r="D176" s="26" t="s">
        <v>56</v>
      </c>
      <c r="E176" s="27" t="s">
        <v>245</v>
      </c>
      <c r="F176" s="28" t="s">
        <v>60</v>
      </c>
      <c r="G176" s="49" t="str">
        <f t="shared" si="8"/>
        <v>3</v>
      </c>
      <c r="H176" s="49" t="str">
        <f t="shared" si="9"/>
        <v>a</v>
      </c>
      <c r="I176" s="25" t="s">
        <v>581</v>
      </c>
      <c r="J176" s="6" t="str">
        <f t="shared" si="10"/>
        <v>Identify critical issues or attributes, sensetive to system assumptions and uncertainties for further analysis or improvement.</v>
      </c>
    </row>
    <row r="177" spans="1:10" x14ac:dyDescent="0.2">
      <c r="A177" s="40" t="s">
        <v>111</v>
      </c>
      <c r="B177" s="23" t="s">
        <v>92</v>
      </c>
      <c r="C177" s="23" t="s">
        <v>53</v>
      </c>
      <c r="D177" s="23" t="s">
        <v>112</v>
      </c>
      <c r="E177" s="27" t="s">
        <v>261</v>
      </c>
      <c r="F177" s="24" t="s">
        <v>60</v>
      </c>
      <c r="G177" s="49" t="str">
        <f t="shared" si="8"/>
        <v>3</v>
      </c>
      <c r="H177" s="49" t="str">
        <f t="shared" si="9"/>
        <v>a</v>
      </c>
      <c r="I177" s="25" t="s">
        <v>581</v>
      </c>
      <c r="J177" s="6" t="str">
        <f t="shared" si="10"/>
        <v>Identify critical issues or attributes, sensetive to system assumptions and uncertainties for further analysis or improvement.</v>
      </c>
    </row>
    <row r="178" spans="1:10" x14ac:dyDescent="0.2">
      <c r="A178" s="41" t="s">
        <v>105</v>
      </c>
      <c r="B178" s="26" t="s">
        <v>95</v>
      </c>
      <c r="C178" s="26" t="s">
        <v>53</v>
      </c>
      <c r="D178" s="26" t="s">
        <v>106</v>
      </c>
      <c r="E178" s="27" t="s">
        <v>259</v>
      </c>
      <c r="F178" s="28" t="s">
        <v>60</v>
      </c>
      <c r="G178" s="49" t="str">
        <f t="shared" si="8"/>
        <v>3</v>
      </c>
      <c r="H178" s="49" t="str">
        <f t="shared" si="9"/>
        <v>a</v>
      </c>
      <c r="I178" s="25" t="s">
        <v>581</v>
      </c>
      <c r="J178" s="6" t="str">
        <f t="shared" si="10"/>
        <v>Identify critical issues or attributes, sensetive to system assumptions and uncertainties for further analysis or improvement.</v>
      </c>
    </row>
    <row r="179" spans="1:10" ht="30" x14ac:dyDescent="0.2">
      <c r="A179" s="40" t="s">
        <v>115</v>
      </c>
      <c r="B179" s="23" t="s">
        <v>95</v>
      </c>
      <c r="C179" s="23" t="s">
        <v>54</v>
      </c>
      <c r="D179" s="23" t="s">
        <v>106</v>
      </c>
      <c r="E179" s="27" t="s">
        <v>262</v>
      </c>
      <c r="F179" s="24" t="s">
        <v>60</v>
      </c>
      <c r="G179" s="49" t="str">
        <f t="shared" si="8"/>
        <v>3</v>
      </c>
      <c r="H179" s="49" t="str">
        <f t="shared" si="9"/>
        <v>b</v>
      </c>
      <c r="I179" s="25" t="s">
        <v>583</v>
      </c>
      <c r="J179" s="6" t="str">
        <f t="shared" si="10"/>
        <v>Gather, process and analyze real world data, using appropriate methods.</v>
      </c>
    </row>
    <row r="180" spans="1:10" x14ac:dyDescent="0.2">
      <c r="A180" s="41" t="s">
        <v>91</v>
      </c>
      <c r="B180" s="26" t="s">
        <v>92</v>
      </c>
      <c r="C180" s="26" t="s">
        <v>53</v>
      </c>
      <c r="D180" s="26" t="s">
        <v>93</v>
      </c>
      <c r="E180" s="27" t="s">
        <v>303</v>
      </c>
      <c r="F180" s="28" t="s">
        <v>270</v>
      </c>
      <c r="G180" s="49" t="str">
        <f t="shared" si="8"/>
        <v>1</v>
      </c>
      <c r="H180" s="49" t="str">
        <f t="shared" si="9"/>
        <v>e</v>
      </c>
      <c r="I180" s="50" t="s">
        <v>566</v>
      </c>
      <c r="J180" s="6" t="str">
        <f t="shared" si="10"/>
        <v>Apply knowledge of information system relavant to MGTE.</v>
      </c>
    </row>
    <row r="181" spans="1:10" x14ac:dyDescent="0.2">
      <c r="A181" s="40" t="s">
        <v>91</v>
      </c>
      <c r="B181" s="23" t="s">
        <v>92</v>
      </c>
      <c r="C181" s="23" t="s">
        <v>53</v>
      </c>
      <c r="D181" s="23" t="s">
        <v>93</v>
      </c>
      <c r="E181" s="27" t="s">
        <v>300</v>
      </c>
      <c r="F181" s="24" t="s">
        <v>270</v>
      </c>
      <c r="G181" s="49" t="str">
        <f t="shared" si="8"/>
        <v>1</v>
      </c>
      <c r="H181" s="49" t="str">
        <f t="shared" si="9"/>
        <v>e</v>
      </c>
      <c r="I181" s="25" t="s">
        <v>566</v>
      </c>
      <c r="J181" s="6" t="str">
        <f t="shared" si="10"/>
        <v>Apply knowledge of information system relavant to MGTE.</v>
      </c>
    </row>
    <row r="182" spans="1:10" x14ac:dyDescent="0.2">
      <c r="A182" s="40" t="s">
        <v>158</v>
      </c>
      <c r="B182" s="23" t="s">
        <v>88</v>
      </c>
      <c r="C182" s="23" t="s">
        <v>53</v>
      </c>
      <c r="D182" s="23" t="s">
        <v>148</v>
      </c>
      <c r="E182" s="27" t="s">
        <v>331</v>
      </c>
      <c r="F182" s="24" t="s">
        <v>270</v>
      </c>
      <c r="G182" s="49" t="str">
        <f t="shared" si="8"/>
        <v>1</v>
      </c>
      <c r="H182" s="49" t="str">
        <f t="shared" si="9"/>
        <v>d</v>
      </c>
      <c r="I182" s="25" t="s">
        <v>562</v>
      </c>
      <c r="J182" s="6" t="str">
        <f t="shared" si="10"/>
        <v>Apply knowledge of operations research relavant to MGTE.</v>
      </c>
    </row>
    <row r="183" spans="1:10" x14ac:dyDescent="0.2">
      <c r="A183" s="40" t="s">
        <v>100</v>
      </c>
      <c r="B183" s="23" t="s">
        <v>92</v>
      </c>
      <c r="C183" s="23" t="s">
        <v>53</v>
      </c>
      <c r="D183" s="23" t="s">
        <v>98</v>
      </c>
      <c r="E183" s="27" t="s">
        <v>339</v>
      </c>
      <c r="F183" s="24" t="s">
        <v>270</v>
      </c>
      <c r="G183" s="49" t="str">
        <f t="shared" si="8"/>
        <v>1</v>
      </c>
      <c r="H183" s="49" t="str">
        <f t="shared" si="9"/>
        <v>b</v>
      </c>
      <c r="I183" s="25" t="s">
        <v>558</v>
      </c>
      <c r="J183" s="6" t="str">
        <f t="shared" si="10"/>
        <v>Explain knowledge of natural sceinces relavant to engineering.</v>
      </c>
    </row>
    <row r="184" spans="1:10" ht="30" x14ac:dyDescent="0.2">
      <c r="A184" s="40" t="s">
        <v>197</v>
      </c>
      <c r="B184" s="23" t="s">
        <v>88</v>
      </c>
      <c r="C184" s="23" t="s">
        <v>53</v>
      </c>
      <c r="D184" s="23" t="s">
        <v>56</v>
      </c>
      <c r="E184" s="27" t="s">
        <v>292</v>
      </c>
      <c r="F184" s="24" t="s">
        <v>270</v>
      </c>
      <c r="G184" s="49" t="str">
        <f t="shared" si="8"/>
        <v>1</v>
      </c>
      <c r="H184" s="49" t="str">
        <f t="shared" si="9"/>
        <v>b</v>
      </c>
      <c r="I184" s="25" t="s">
        <v>558</v>
      </c>
      <c r="J184" s="6" t="str">
        <f t="shared" si="10"/>
        <v>Explain knowledge of natural sceinces relavant to engineering.</v>
      </c>
    </row>
    <row r="185" spans="1:10" x14ac:dyDescent="0.2">
      <c r="A185" s="40" t="s">
        <v>155</v>
      </c>
      <c r="B185" s="23" t="s">
        <v>92</v>
      </c>
      <c r="C185" s="23" t="s">
        <v>53</v>
      </c>
      <c r="D185" s="23" t="s">
        <v>93</v>
      </c>
      <c r="E185" s="27" t="s">
        <v>308</v>
      </c>
      <c r="F185" s="24" t="s">
        <v>270</v>
      </c>
      <c r="G185" s="49" t="str">
        <f t="shared" si="8"/>
        <v>1</v>
      </c>
      <c r="H185" s="49" t="str">
        <f t="shared" si="9"/>
        <v>d</v>
      </c>
      <c r="I185" s="25" t="s">
        <v>562</v>
      </c>
      <c r="J185" s="6" t="str">
        <f t="shared" si="10"/>
        <v>Apply knowledge of operations research relavant to MGTE.</v>
      </c>
    </row>
    <row r="186" spans="1:10" x14ac:dyDescent="0.2">
      <c r="A186" s="40" t="s">
        <v>164</v>
      </c>
      <c r="B186" s="23" t="s">
        <v>88</v>
      </c>
      <c r="C186" s="23" t="s">
        <v>53</v>
      </c>
      <c r="D186" s="23" t="s">
        <v>148</v>
      </c>
      <c r="E186" s="27" t="s">
        <v>341</v>
      </c>
      <c r="F186" s="24" t="s">
        <v>270</v>
      </c>
      <c r="G186" s="49" t="str">
        <f t="shared" si="8"/>
        <v>1</v>
      </c>
      <c r="H186" s="49" t="str">
        <f t="shared" si="9"/>
        <v>e</v>
      </c>
      <c r="I186" s="25" t="s">
        <v>566</v>
      </c>
      <c r="J186" s="6" t="str">
        <f t="shared" si="10"/>
        <v>Apply knowledge of information system relavant to MGTE.</v>
      </c>
    </row>
    <row r="187" spans="1:10" x14ac:dyDescent="0.2">
      <c r="A187" s="40" t="s">
        <v>97</v>
      </c>
      <c r="B187" s="23" t="s">
        <v>92</v>
      </c>
      <c r="C187" s="23" t="s">
        <v>53</v>
      </c>
      <c r="D187" s="23" t="s">
        <v>98</v>
      </c>
      <c r="E187" s="27" t="s">
        <v>327</v>
      </c>
      <c r="F187" s="24" t="s">
        <v>270</v>
      </c>
      <c r="G187" s="49" t="str">
        <f t="shared" si="8"/>
        <v>1</v>
      </c>
      <c r="H187" s="49" t="str">
        <f t="shared" si="9"/>
        <v>f</v>
      </c>
      <c r="I187" s="25" t="s">
        <v>568</v>
      </c>
      <c r="J187" s="6" t="str">
        <f t="shared" si="10"/>
        <v>Apply knowledge of organizational behavior relavant to MGTE.</v>
      </c>
    </row>
    <row r="188" spans="1:10" x14ac:dyDescent="0.2">
      <c r="A188" s="40" t="s">
        <v>97</v>
      </c>
      <c r="B188" s="23" t="s">
        <v>88</v>
      </c>
      <c r="C188" s="23" t="s">
        <v>54</v>
      </c>
      <c r="D188" s="23"/>
      <c r="E188" s="27" t="s">
        <v>327</v>
      </c>
      <c r="F188" s="24" t="s">
        <v>270</v>
      </c>
      <c r="G188" s="49" t="str">
        <f t="shared" si="8"/>
        <v>1</v>
      </c>
      <c r="H188" s="49" t="str">
        <f t="shared" si="9"/>
        <v>f</v>
      </c>
      <c r="I188" s="25" t="s">
        <v>568</v>
      </c>
      <c r="J188" s="6" t="str">
        <f t="shared" si="10"/>
        <v>Apply knowledge of organizational behavior relavant to MGTE.</v>
      </c>
    </row>
    <row r="189" spans="1:10" x14ac:dyDescent="0.2">
      <c r="A189" s="40" t="s">
        <v>118</v>
      </c>
      <c r="B189" s="23" t="s">
        <v>92</v>
      </c>
      <c r="C189" s="23" t="s">
        <v>53</v>
      </c>
      <c r="D189" s="23" t="s">
        <v>98</v>
      </c>
      <c r="E189" s="27" t="s">
        <v>348</v>
      </c>
      <c r="F189" s="24" t="s">
        <v>270</v>
      </c>
      <c r="G189" s="49" t="str">
        <f t="shared" si="8"/>
        <v>1</v>
      </c>
      <c r="H189" s="49" t="str">
        <f t="shared" si="9"/>
        <v>d</v>
      </c>
      <c r="I189" s="25" t="s">
        <v>562</v>
      </c>
      <c r="J189" s="6" t="str">
        <f t="shared" si="10"/>
        <v>Apply knowledge of operations research relavant to MGTE.</v>
      </c>
    </row>
    <row r="190" spans="1:10" x14ac:dyDescent="0.2">
      <c r="A190" s="40" t="s">
        <v>87</v>
      </c>
      <c r="B190" s="23" t="s">
        <v>88</v>
      </c>
      <c r="C190" s="23" t="s">
        <v>53</v>
      </c>
      <c r="D190" s="23" t="s">
        <v>89</v>
      </c>
      <c r="E190" s="27" t="s">
        <v>298</v>
      </c>
      <c r="F190" s="24" t="s">
        <v>270</v>
      </c>
      <c r="G190" s="49" t="str">
        <f t="shared" si="8"/>
        <v>1</v>
      </c>
      <c r="H190" s="49" t="str">
        <f t="shared" si="9"/>
        <v>e</v>
      </c>
      <c r="I190" s="25" t="s">
        <v>566</v>
      </c>
      <c r="J190" s="6" t="str">
        <f t="shared" si="10"/>
        <v>Apply knowledge of information system relavant to MGTE.</v>
      </c>
    </row>
    <row r="191" spans="1:10" x14ac:dyDescent="0.2">
      <c r="A191" s="41" t="s">
        <v>118</v>
      </c>
      <c r="B191" s="26" t="s">
        <v>92</v>
      </c>
      <c r="C191" s="26" t="s">
        <v>53</v>
      </c>
      <c r="D191" s="26" t="s">
        <v>98</v>
      </c>
      <c r="E191" s="27" t="s">
        <v>347</v>
      </c>
      <c r="F191" s="28" t="s">
        <v>270</v>
      </c>
      <c r="G191" s="49" t="str">
        <f t="shared" si="8"/>
        <v>1</v>
      </c>
      <c r="H191" s="49" t="str">
        <f t="shared" si="9"/>
        <v>a</v>
      </c>
      <c r="I191" s="50" t="s">
        <v>555</v>
      </c>
      <c r="J191" s="6" t="str">
        <f t="shared" si="10"/>
        <v>Explain knowledge of mathematics relavant to MGTE.</v>
      </c>
    </row>
    <row r="192" spans="1:10" ht="30" x14ac:dyDescent="0.2">
      <c r="A192" s="41" t="s">
        <v>164</v>
      </c>
      <c r="B192" s="26" t="s">
        <v>88</v>
      </c>
      <c r="C192" s="26" t="s">
        <v>53</v>
      </c>
      <c r="D192" s="26" t="s">
        <v>148</v>
      </c>
      <c r="E192" s="27" t="s">
        <v>340</v>
      </c>
      <c r="F192" s="28" t="s">
        <v>270</v>
      </c>
      <c r="G192" s="49" t="str">
        <f t="shared" si="8"/>
        <v>1</v>
      </c>
      <c r="H192" s="49" t="str">
        <f t="shared" si="9"/>
        <v>e</v>
      </c>
      <c r="I192" s="50" t="s">
        <v>566</v>
      </c>
      <c r="J192" s="6" t="str">
        <f t="shared" si="10"/>
        <v>Apply knowledge of information system relavant to MGTE.</v>
      </c>
    </row>
    <row r="193" spans="1:10" x14ac:dyDescent="0.2">
      <c r="A193" s="40" t="s">
        <v>228</v>
      </c>
      <c r="B193" s="23" t="s">
        <v>95</v>
      </c>
      <c r="C193" s="23" t="s">
        <v>54</v>
      </c>
      <c r="D193" s="23" t="s">
        <v>106</v>
      </c>
      <c r="E193" s="27" t="s">
        <v>367</v>
      </c>
      <c r="F193" s="24" t="s">
        <v>270</v>
      </c>
      <c r="G193" s="49" t="str">
        <f t="shared" si="8"/>
        <v>1</v>
      </c>
      <c r="H193" s="49" t="str">
        <f t="shared" si="9"/>
        <v>d</v>
      </c>
      <c r="I193" s="25" t="s">
        <v>562</v>
      </c>
      <c r="J193" s="6" t="str">
        <f t="shared" si="10"/>
        <v>Apply knowledge of operations research relavant to MGTE.</v>
      </c>
    </row>
    <row r="194" spans="1:10" x14ac:dyDescent="0.2">
      <c r="A194" s="41" t="s">
        <v>228</v>
      </c>
      <c r="B194" s="26" t="s">
        <v>95</v>
      </c>
      <c r="C194" s="26" t="s">
        <v>54</v>
      </c>
      <c r="D194" s="26" t="s">
        <v>106</v>
      </c>
      <c r="E194" s="27" t="s">
        <v>366</v>
      </c>
      <c r="F194" s="28" t="s">
        <v>270</v>
      </c>
      <c r="G194" s="49" t="str">
        <f t="shared" ref="G194:G257" si="11">LEFT(I194,1)</f>
        <v>1</v>
      </c>
      <c r="H194" s="49" t="str">
        <f t="shared" ref="H194:H257" si="12">RIGHT(I194,1)</f>
        <v>d</v>
      </c>
      <c r="I194" s="50" t="s">
        <v>562</v>
      </c>
      <c r="J194" s="6" t="str">
        <f t="shared" ref="J194:J257" si="13">IFERROR(VLOOKUP(I194,$N$3:$O$39,2,FALSE),0)</f>
        <v>Apply knowledge of operations research relavant to MGTE.</v>
      </c>
    </row>
    <row r="195" spans="1:10" ht="30" x14ac:dyDescent="0.2">
      <c r="A195" s="40" t="s">
        <v>187</v>
      </c>
      <c r="B195" s="23" t="s">
        <v>95</v>
      </c>
      <c r="C195" s="23" t="s">
        <v>53</v>
      </c>
      <c r="D195" s="23" t="s">
        <v>96</v>
      </c>
      <c r="E195" s="27" t="s">
        <v>324</v>
      </c>
      <c r="F195" s="24" t="s">
        <v>270</v>
      </c>
      <c r="G195" s="49" t="str">
        <f t="shared" si="11"/>
        <v>1</v>
      </c>
      <c r="H195" s="49" t="str">
        <f t="shared" si="12"/>
        <v>f</v>
      </c>
      <c r="I195" s="25" t="s">
        <v>568</v>
      </c>
      <c r="J195" s="6" t="str">
        <f t="shared" si="13"/>
        <v>Apply knowledge of organizational behavior relavant to MGTE.</v>
      </c>
    </row>
    <row r="196" spans="1:10" ht="30" x14ac:dyDescent="0.2">
      <c r="A196" s="41" t="s">
        <v>187</v>
      </c>
      <c r="B196" s="26" t="s">
        <v>95</v>
      </c>
      <c r="C196" s="26" t="s">
        <v>53</v>
      </c>
      <c r="D196" s="26" t="s">
        <v>96</v>
      </c>
      <c r="E196" s="27" t="s">
        <v>323</v>
      </c>
      <c r="F196" s="28" t="s">
        <v>270</v>
      </c>
      <c r="G196" s="49" t="str">
        <f t="shared" si="11"/>
        <v>1</v>
      </c>
      <c r="H196" s="49" t="str">
        <f t="shared" si="12"/>
        <v>f</v>
      </c>
      <c r="I196" s="50" t="s">
        <v>568</v>
      </c>
      <c r="J196" s="6" t="str">
        <f t="shared" si="13"/>
        <v>Apply knowledge of organizational behavior relavant to MGTE.</v>
      </c>
    </row>
    <row r="197" spans="1:10" ht="30" x14ac:dyDescent="0.2">
      <c r="A197" s="40" t="s">
        <v>187</v>
      </c>
      <c r="B197" s="23" t="s">
        <v>95</v>
      </c>
      <c r="C197" s="23" t="s">
        <v>53</v>
      </c>
      <c r="D197" s="23" t="s">
        <v>96</v>
      </c>
      <c r="E197" s="27" t="s">
        <v>322</v>
      </c>
      <c r="F197" s="24" t="s">
        <v>270</v>
      </c>
      <c r="G197" s="49" t="str">
        <f t="shared" si="11"/>
        <v>1</v>
      </c>
      <c r="H197" s="49" t="str">
        <f t="shared" si="12"/>
        <v>f</v>
      </c>
      <c r="I197" s="25" t="s">
        <v>568</v>
      </c>
      <c r="J197" s="6" t="str">
        <f t="shared" si="13"/>
        <v>Apply knowledge of organizational behavior relavant to MGTE.</v>
      </c>
    </row>
    <row r="198" spans="1:10" x14ac:dyDescent="0.2">
      <c r="A198" s="40" t="s">
        <v>123</v>
      </c>
      <c r="B198" s="23" t="s">
        <v>95</v>
      </c>
      <c r="C198" s="23" t="s">
        <v>53</v>
      </c>
      <c r="D198" s="23" t="s">
        <v>106</v>
      </c>
      <c r="E198" s="27" t="s">
        <v>351</v>
      </c>
      <c r="F198" s="24" t="s">
        <v>270</v>
      </c>
      <c r="G198" s="49" t="str">
        <f t="shared" si="11"/>
        <v>1</v>
      </c>
      <c r="H198" s="49" t="str">
        <f t="shared" si="12"/>
        <v>d</v>
      </c>
      <c r="I198" s="25" t="s">
        <v>562</v>
      </c>
      <c r="J198" s="6" t="str">
        <f t="shared" si="13"/>
        <v>Apply knowledge of operations research relavant to MGTE.</v>
      </c>
    </row>
    <row r="199" spans="1:10" x14ac:dyDescent="0.2">
      <c r="A199" s="40" t="s">
        <v>186</v>
      </c>
      <c r="B199" s="23" t="s">
        <v>95</v>
      </c>
      <c r="C199" s="23" t="s">
        <v>54</v>
      </c>
      <c r="D199" s="23"/>
      <c r="E199" s="27" t="s">
        <v>321</v>
      </c>
      <c r="F199" s="24" t="s">
        <v>270</v>
      </c>
      <c r="G199" s="49" t="str">
        <f t="shared" si="11"/>
        <v>1</v>
      </c>
      <c r="H199" s="49" t="str">
        <f t="shared" si="12"/>
        <v>d</v>
      </c>
      <c r="I199" s="25" t="s">
        <v>562</v>
      </c>
      <c r="J199" s="6" t="str">
        <f t="shared" si="13"/>
        <v>Apply knowledge of operations research relavant to MGTE.</v>
      </c>
    </row>
    <row r="200" spans="1:10" ht="30" x14ac:dyDescent="0.2">
      <c r="A200" s="40" t="s">
        <v>136</v>
      </c>
      <c r="B200" s="23" t="s">
        <v>92</v>
      </c>
      <c r="C200" s="23" t="s">
        <v>53</v>
      </c>
      <c r="D200" s="23" t="s">
        <v>98</v>
      </c>
      <c r="E200" s="27" t="s">
        <v>364</v>
      </c>
      <c r="F200" s="24" t="s">
        <v>270</v>
      </c>
      <c r="G200" s="49" t="str">
        <f t="shared" si="11"/>
        <v>1</v>
      </c>
      <c r="H200" s="49" t="str">
        <f t="shared" si="12"/>
        <v>e</v>
      </c>
      <c r="I200" s="25" t="s">
        <v>566</v>
      </c>
      <c r="J200" s="6" t="str">
        <f t="shared" si="13"/>
        <v>Apply knowledge of information system relavant to MGTE.</v>
      </c>
    </row>
    <row r="201" spans="1:10" ht="30" x14ac:dyDescent="0.2">
      <c r="A201" s="40" t="s">
        <v>268</v>
      </c>
      <c r="B201" s="23" t="s">
        <v>88</v>
      </c>
      <c r="C201" s="23" t="s">
        <v>53</v>
      </c>
      <c r="D201" s="23" t="s">
        <v>89</v>
      </c>
      <c r="E201" s="27" t="s">
        <v>269</v>
      </c>
      <c r="F201" s="24" t="s">
        <v>270</v>
      </c>
      <c r="G201" s="49" t="str">
        <f t="shared" si="11"/>
        <v>1</v>
      </c>
      <c r="H201" s="49" t="str">
        <f t="shared" si="12"/>
        <v>c</v>
      </c>
      <c r="I201" s="25" t="s">
        <v>560</v>
      </c>
      <c r="J201" s="6" t="str">
        <f t="shared" si="13"/>
        <v>Identify knowledge of engineering fundamentals.</v>
      </c>
    </row>
    <row r="202" spans="1:10" ht="30" x14ac:dyDescent="0.2">
      <c r="A202" s="40" t="s">
        <v>282</v>
      </c>
      <c r="B202" s="23" t="s">
        <v>92</v>
      </c>
      <c r="C202" s="23" t="s">
        <v>53</v>
      </c>
      <c r="D202" s="23" t="s">
        <v>89</v>
      </c>
      <c r="E202" s="27" t="s">
        <v>285</v>
      </c>
      <c r="F202" s="24" t="s">
        <v>270</v>
      </c>
      <c r="G202" s="49" t="str">
        <f t="shared" si="11"/>
        <v>1</v>
      </c>
      <c r="H202" s="49" t="str">
        <f t="shared" si="12"/>
        <v>a</v>
      </c>
      <c r="I202" s="25" t="s">
        <v>555</v>
      </c>
      <c r="J202" s="6" t="str">
        <f t="shared" si="13"/>
        <v>Explain knowledge of mathematics relavant to MGTE.</v>
      </c>
    </row>
    <row r="203" spans="1:10" ht="30" x14ac:dyDescent="0.2">
      <c r="A203" s="41" t="s">
        <v>139</v>
      </c>
      <c r="B203" s="26" t="s">
        <v>92</v>
      </c>
      <c r="C203" s="26" t="s">
        <v>54</v>
      </c>
      <c r="D203" s="26" t="s">
        <v>112</v>
      </c>
      <c r="E203" s="27" t="s">
        <v>371</v>
      </c>
      <c r="F203" s="28" t="s">
        <v>270</v>
      </c>
      <c r="G203" s="49" t="str">
        <f t="shared" si="11"/>
        <v>1</v>
      </c>
      <c r="H203" s="49" t="str">
        <f t="shared" si="12"/>
        <v>f</v>
      </c>
      <c r="I203" s="50" t="s">
        <v>568</v>
      </c>
      <c r="J203" s="6" t="str">
        <f t="shared" si="13"/>
        <v>Apply knowledge of organizational behavior relavant to MGTE.</v>
      </c>
    </row>
    <row r="204" spans="1:10" x14ac:dyDescent="0.2">
      <c r="A204" s="41" t="s">
        <v>209</v>
      </c>
      <c r="B204" s="26" t="s">
        <v>95</v>
      </c>
      <c r="C204" s="26" t="s">
        <v>53</v>
      </c>
      <c r="D204" s="26" t="s">
        <v>96</v>
      </c>
      <c r="E204" s="27" t="s">
        <v>329</v>
      </c>
      <c r="F204" s="28" t="s">
        <v>270</v>
      </c>
      <c r="G204" s="49" t="str">
        <f t="shared" si="11"/>
        <v>1</v>
      </c>
      <c r="H204" s="49" t="str">
        <f t="shared" si="12"/>
        <v>d</v>
      </c>
      <c r="I204" s="50" t="s">
        <v>562</v>
      </c>
      <c r="J204" s="6" t="str">
        <f t="shared" si="13"/>
        <v>Apply knowledge of operations research relavant to MGTE.</v>
      </c>
    </row>
    <row r="205" spans="1:10" ht="45" x14ac:dyDescent="0.2">
      <c r="A205" s="40" t="s">
        <v>120</v>
      </c>
      <c r="B205" s="23" t="s">
        <v>92</v>
      </c>
      <c r="C205" s="23" t="s">
        <v>54</v>
      </c>
      <c r="D205" s="23" t="s">
        <v>112</v>
      </c>
      <c r="E205" s="27" t="s">
        <v>350</v>
      </c>
      <c r="F205" s="24" t="s">
        <v>270</v>
      </c>
      <c r="G205" s="49" t="str">
        <f t="shared" si="11"/>
        <v>1</v>
      </c>
      <c r="H205" s="49" t="str">
        <f t="shared" si="12"/>
        <v>d</v>
      </c>
      <c r="I205" s="25" t="s">
        <v>562</v>
      </c>
      <c r="J205" s="6" t="str">
        <f t="shared" si="13"/>
        <v>Apply knowledge of operations research relavant to MGTE.</v>
      </c>
    </row>
    <row r="206" spans="1:10" x14ac:dyDescent="0.2">
      <c r="A206" s="41" t="s">
        <v>182</v>
      </c>
      <c r="B206" s="26" t="s">
        <v>92</v>
      </c>
      <c r="C206" s="26" t="s">
        <v>54</v>
      </c>
      <c r="D206" s="26" t="s">
        <v>112</v>
      </c>
      <c r="E206" s="27" t="s">
        <v>374</v>
      </c>
      <c r="F206" s="28" t="s">
        <v>270</v>
      </c>
      <c r="G206" s="49" t="str">
        <f t="shared" si="11"/>
        <v>1</v>
      </c>
      <c r="H206" s="49" t="str">
        <f t="shared" si="12"/>
        <v>e</v>
      </c>
      <c r="I206" s="50" t="s">
        <v>566</v>
      </c>
      <c r="J206" s="6" t="str">
        <f t="shared" si="13"/>
        <v>Apply knowledge of information system relavant to MGTE.</v>
      </c>
    </row>
    <row r="207" spans="1:10" ht="30" x14ac:dyDescent="0.2">
      <c r="A207" s="40" t="s">
        <v>139</v>
      </c>
      <c r="B207" s="23" t="s">
        <v>92</v>
      </c>
      <c r="C207" s="23" t="s">
        <v>54</v>
      </c>
      <c r="D207" s="23" t="s">
        <v>112</v>
      </c>
      <c r="E207" s="27" t="s">
        <v>372</v>
      </c>
      <c r="F207" s="24" t="s">
        <v>270</v>
      </c>
      <c r="G207" s="49" t="str">
        <f t="shared" si="11"/>
        <v>1</v>
      </c>
      <c r="H207" s="49" t="str">
        <f t="shared" si="12"/>
        <v>f</v>
      </c>
      <c r="I207" s="25" t="s">
        <v>568</v>
      </c>
      <c r="J207" s="6" t="str">
        <f t="shared" si="13"/>
        <v>Apply knowledge of organizational behavior relavant to MGTE.</v>
      </c>
    </row>
    <row r="208" spans="1:10" x14ac:dyDescent="0.2">
      <c r="A208" s="40" t="s">
        <v>378</v>
      </c>
      <c r="B208" s="23" t="s">
        <v>92</v>
      </c>
      <c r="C208" s="23" t="s">
        <v>53</v>
      </c>
      <c r="D208" s="23" t="s">
        <v>93</v>
      </c>
      <c r="E208" s="27" t="s">
        <v>379</v>
      </c>
      <c r="F208" s="24" t="s">
        <v>270</v>
      </c>
      <c r="G208" s="49" t="str">
        <f t="shared" si="11"/>
        <v>1</v>
      </c>
      <c r="H208" s="49" t="str">
        <f t="shared" si="12"/>
        <v>b</v>
      </c>
      <c r="I208" s="25" t="s">
        <v>558</v>
      </c>
      <c r="J208" s="6" t="str">
        <f t="shared" si="13"/>
        <v>Explain knowledge of natural sceinces relavant to engineering.</v>
      </c>
    </row>
    <row r="209" spans="1:10" x14ac:dyDescent="0.2">
      <c r="A209" s="41" t="s">
        <v>378</v>
      </c>
      <c r="B209" s="26" t="s">
        <v>92</v>
      </c>
      <c r="C209" s="26" t="s">
        <v>53</v>
      </c>
      <c r="D209" s="26" t="s">
        <v>93</v>
      </c>
      <c r="E209" s="27" t="s">
        <v>382</v>
      </c>
      <c r="F209" s="28" t="s">
        <v>270</v>
      </c>
      <c r="G209" s="49" t="str">
        <f t="shared" si="11"/>
        <v>1</v>
      </c>
      <c r="H209" s="49" t="str">
        <f t="shared" si="12"/>
        <v>b</v>
      </c>
      <c r="I209" s="50" t="s">
        <v>558</v>
      </c>
      <c r="J209" s="6" t="str">
        <f t="shared" si="13"/>
        <v>Explain knowledge of natural sceinces relavant to engineering.</v>
      </c>
    </row>
    <row r="210" spans="1:10" x14ac:dyDescent="0.2">
      <c r="A210" s="40" t="s">
        <v>378</v>
      </c>
      <c r="B210" s="23" t="s">
        <v>92</v>
      </c>
      <c r="C210" s="23" t="s">
        <v>53</v>
      </c>
      <c r="D210" s="23" t="s">
        <v>93</v>
      </c>
      <c r="E210" s="27" t="s">
        <v>381</v>
      </c>
      <c r="F210" s="24" t="s">
        <v>270</v>
      </c>
      <c r="G210" s="49" t="str">
        <f t="shared" si="11"/>
        <v>1</v>
      </c>
      <c r="H210" s="49" t="str">
        <f t="shared" si="12"/>
        <v>b</v>
      </c>
      <c r="I210" s="25" t="s">
        <v>558</v>
      </c>
      <c r="J210" s="6" t="str">
        <f t="shared" si="13"/>
        <v>Explain knowledge of natural sceinces relavant to engineering.</v>
      </c>
    </row>
    <row r="211" spans="1:10" x14ac:dyDescent="0.2">
      <c r="A211" s="41" t="s">
        <v>378</v>
      </c>
      <c r="B211" s="26" t="s">
        <v>92</v>
      </c>
      <c r="C211" s="26" t="s">
        <v>53</v>
      </c>
      <c r="D211" s="26" t="s">
        <v>93</v>
      </c>
      <c r="E211" s="27" t="s">
        <v>380</v>
      </c>
      <c r="F211" s="28" t="s">
        <v>270</v>
      </c>
      <c r="G211" s="49" t="str">
        <f t="shared" si="11"/>
        <v>1</v>
      </c>
      <c r="H211" s="49" t="str">
        <f t="shared" si="12"/>
        <v>b</v>
      </c>
      <c r="I211" s="50" t="s">
        <v>558</v>
      </c>
      <c r="J211" s="6" t="str">
        <f t="shared" si="13"/>
        <v>Explain knowledge of natural sceinces relavant to engineering.</v>
      </c>
    </row>
    <row r="212" spans="1:10" ht="30" x14ac:dyDescent="0.2">
      <c r="A212" s="41" t="s">
        <v>100</v>
      </c>
      <c r="B212" s="26" t="s">
        <v>92</v>
      </c>
      <c r="C212" s="26" t="s">
        <v>53</v>
      </c>
      <c r="D212" s="26" t="s">
        <v>98</v>
      </c>
      <c r="E212" s="27" t="s">
        <v>336</v>
      </c>
      <c r="F212" s="28" t="s">
        <v>270</v>
      </c>
      <c r="G212" s="49" t="str">
        <f t="shared" si="11"/>
        <v>1</v>
      </c>
      <c r="H212" s="49" t="str">
        <f t="shared" si="12"/>
        <v>d</v>
      </c>
      <c r="I212" s="50" t="s">
        <v>562</v>
      </c>
      <c r="J212" s="6" t="str">
        <f t="shared" si="13"/>
        <v>Apply knowledge of operations research relavant to MGTE.</v>
      </c>
    </row>
    <row r="213" spans="1:10" x14ac:dyDescent="0.2">
      <c r="A213" s="40" t="s">
        <v>272</v>
      </c>
      <c r="B213" s="23" t="s">
        <v>88</v>
      </c>
      <c r="C213" s="23" t="s">
        <v>53</v>
      </c>
      <c r="D213" s="23" t="s">
        <v>89</v>
      </c>
      <c r="E213" s="27" t="s">
        <v>276</v>
      </c>
      <c r="F213" s="24" t="s">
        <v>270</v>
      </c>
      <c r="G213" s="49" t="str">
        <f t="shared" si="11"/>
        <v>1</v>
      </c>
      <c r="H213" s="49" t="str">
        <f t="shared" si="12"/>
        <v>a</v>
      </c>
      <c r="I213" s="25" t="s">
        <v>555</v>
      </c>
      <c r="J213" s="6" t="str">
        <f t="shared" si="13"/>
        <v>Explain knowledge of mathematics relavant to MGTE.</v>
      </c>
    </row>
    <row r="214" spans="1:10" x14ac:dyDescent="0.2">
      <c r="A214" s="40" t="s">
        <v>313</v>
      </c>
      <c r="B214" s="23" t="s">
        <v>95</v>
      </c>
      <c r="C214" s="23" t="s">
        <v>53</v>
      </c>
      <c r="D214" s="23" t="s">
        <v>96</v>
      </c>
      <c r="E214" s="27" t="s">
        <v>315</v>
      </c>
      <c r="F214" s="24" t="s">
        <v>270</v>
      </c>
      <c r="G214" s="49" t="str">
        <f t="shared" si="11"/>
        <v>1</v>
      </c>
      <c r="H214" s="49" t="str">
        <f t="shared" si="12"/>
        <v>a</v>
      </c>
      <c r="I214" s="25" t="s">
        <v>555</v>
      </c>
      <c r="J214" s="6" t="str">
        <f t="shared" si="13"/>
        <v>Explain knowledge of mathematics relavant to MGTE.</v>
      </c>
    </row>
    <row r="215" spans="1:10" x14ac:dyDescent="0.2">
      <c r="A215" s="41" t="s">
        <v>160</v>
      </c>
      <c r="B215" s="26" t="s">
        <v>88</v>
      </c>
      <c r="C215" s="26" t="s">
        <v>53</v>
      </c>
      <c r="D215" s="26" t="s">
        <v>148</v>
      </c>
      <c r="E215" s="27" t="s">
        <v>333</v>
      </c>
      <c r="F215" s="28" t="s">
        <v>270</v>
      </c>
      <c r="G215" s="49" t="str">
        <f t="shared" si="11"/>
        <v>1</v>
      </c>
      <c r="H215" s="49" t="str">
        <f t="shared" si="12"/>
        <v>d</v>
      </c>
      <c r="I215" s="50" t="s">
        <v>562</v>
      </c>
      <c r="J215" s="6" t="str">
        <f t="shared" si="13"/>
        <v>Apply knowledge of operations research relavant to MGTE.</v>
      </c>
    </row>
    <row r="216" spans="1:10" x14ac:dyDescent="0.2">
      <c r="A216" s="40" t="s">
        <v>160</v>
      </c>
      <c r="B216" s="23" t="s">
        <v>88</v>
      </c>
      <c r="C216" s="23" t="s">
        <v>53</v>
      </c>
      <c r="D216" s="23" t="s">
        <v>148</v>
      </c>
      <c r="E216" s="27" t="s">
        <v>332</v>
      </c>
      <c r="F216" s="24" t="s">
        <v>270</v>
      </c>
      <c r="G216" s="49" t="str">
        <f t="shared" si="11"/>
        <v>1</v>
      </c>
      <c r="H216" s="49" t="str">
        <f t="shared" si="12"/>
        <v>a</v>
      </c>
      <c r="I216" s="25" t="s">
        <v>555</v>
      </c>
      <c r="J216" s="6" t="str">
        <f t="shared" si="13"/>
        <v>Explain knowledge of mathematics relavant to MGTE.</v>
      </c>
    </row>
    <row r="217" spans="1:10" ht="30" x14ac:dyDescent="0.2">
      <c r="A217" s="40" t="s">
        <v>375</v>
      </c>
      <c r="B217" s="23" t="s">
        <v>92</v>
      </c>
      <c r="C217" s="23" t="s">
        <v>54</v>
      </c>
      <c r="D217" s="23" t="s">
        <v>112</v>
      </c>
      <c r="E217" s="27" t="s">
        <v>376</v>
      </c>
      <c r="F217" s="24" t="s">
        <v>270</v>
      </c>
      <c r="G217" s="49" t="str">
        <f t="shared" si="11"/>
        <v>1</v>
      </c>
      <c r="H217" s="49" t="str">
        <f t="shared" si="12"/>
        <v>d</v>
      </c>
      <c r="I217" s="25" t="s">
        <v>562</v>
      </c>
      <c r="J217" s="6" t="str">
        <f t="shared" si="13"/>
        <v>Apply knowledge of operations research relavant to MGTE.</v>
      </c>
    </row>
    <row r="218" spans="1:10" x14ac:dyDescent="0.2">
      <c r="A218" s="41" t="s">
        <v>313</v>
      </c>
      <c r="B218" s="26" t="s">
        <v>95</v>
      </c>
      <c r="C218" s="26" t="s">
        <v>53</v>
      </c>
      <c r="D218" s="26" t="s">
        <v>96</v>
      </c>
      <c r="E218" s="27" t="s">
        <v>316</v>
      </c>
      <c r="F218" s="28" t="s">
        <v>270</v>
      </c>
      <c r="G218" s="49" t="str">
        <f t="shared" si="11"/>
        <v>1</v>
      </c>
      <c r="H218" s="49" t="str">
        <f t="shared" si="12"/>
        <v>a</v>
      </c>
      <c r="I218" s="25" t="s">
        <v>555</v>
      </c>
      <c r="J218" s="6" t="str">
        <f t="shared" si="13"/>
        <v>Explain knowledge of mathematics relavant to MGTE.</v>
      </c>
    </row>
    <row r="219" spans="1:10" x14ac:dyDescent="0.2">
      <c r="A219" s="40" t="s">
        <v>272</v>
      </c>
      <c r="B219" s="23" t="s">
        <v>88</v>
      </c>
      <c r="C219" s="23" t="s">
        <v>53</v>
      </c>
      <c r="D219" s="23" t="s">
        <v>89</v>
      </c>
      <c r="E219" s="27" t="s">
        <v>274</v>
      </c>
      <c r="F219" s="24" t="s">
        <v>270</v>
      </c>
      <c r="G219" s="49" t="str">
        <f t="shared" si="11"/>
        <v>1</v>
      </c>
      <c r="H219" s="49" t="str">
        <f t="shared" si="12"/>
        <v>a</v>
      </c>
      <c r="I219" s="25" t="s">
        <v>555</v>
      </c>
      <c r="J219" s="6" t="str">
        <f t="shared" si="13"/>
        <v>Explain knowledge of mathematics relavant to MGTE.</v>
      </c>
    </row>
    <row r="220" spans="1:10" ht="30" x14ac:dyDescent="0.2">
      <c r="A220" s="40" t="s">
        <v>200</v>
      </c>
      <c r="B220" s="23" t="s">
        <v>88</v>
      </c>
      <c r="C220" s="23" t="s">
        <v>53</v>
      </c>
      <c r="D220" s="23" t="s">
        <v>56</v>
      </c>
      <c r="E220" s="27" t="s">
        <v>293</v>
      </c>
      <c r="F220" s="24" t="s">
        <v>270</v>
      </c>
      <c r="G220" s="49" t="str">
        <f t="shared" si="11"/>
        <v>1</v>
      </c>
      <c r="H220" s="49" t="str">
        <f t="shared" si="12"/>
        <v>c</v>
      </c>
      <c r="I220" s="25" t="s">
        <v>560</v>
      </c>
      <c r="J220" s="6" t="str">
        <f t="shared" si="13"/>
        <v>Identify knowledge of engineering fundamentals.</v>
      </c>
    </row>
    <row r="221" spans="1:10" x14ac:dyDescent="0.2">
      <c r="A221" s="40" t="s">
        <v>313</v>
      </c>
      <c r="B221" s="23" t="s">
        <v>95</v>
      </c>
      <c r="C221" s="23" t="s">
        <v>53</v>
      </c>
      <c r="D221" s="23" t="s">
        <v>96</v>
      </c>
      <c r="E221" s="27" t="s">
        <v>317</v>
      </c>
      <c r="F221" s="24" t="s">
        <v>270</v>
      </c>
      <c r="G221" s="49" t="str">
        <f t="shared" si="11"/>
        <v>1</v>
      </c>
      <c r="H221" s="49" t="str">
        <f t="shared" si="12"/>
        <v>a</v>
      </c>
      <c r="I221" s="25" t="s">
        <v>555</v>
      </c>
      <c r="J221" s="6" t="str">
        <f t="shared" si="13"/>
        <v>Explain knowledge of mathematics relavant to MGTE.</v>
      </c>
    </row>
    <row r="222" spans="1:10" ht="45" x14ac:dyDescent="0.2">
      <c r="A222" s="40" t="s">
        <v>94</v>
      </c>
      <c r="B222" s="23" t="s">
        <v>95</v>
      </c>
      <c r="C222" s="23" t="s">
        <v>53</v>
      </c>
      <c r="D222" s="23" t="s">
        <v>96</v>
      </c>
      <c r="E222" s="27" t="s">
        <v>309</v>
      </c>
      <c r="F222" s="24" t="s">
        <v>270</v>
      </c>
      <c r="G222" s="49" t="str">
        <f t="shared" si="11"/>
        <v>1</v>
      </c>
      <c r="H222" s="49" t="str">
        <f t="shared" si="12"/>
        <v>f</v>
      </c>
      <c r="I222" s="25" t="s">
        <v>568</v>
      </c>
      <c r="J222" s="6" t="str">
        <f t="shared" si="13"/>
        <v>Apply knowledge of organizational behavior relavant to MGTE.</v>
      </c>
    </row>
    <row r="223" spans="1:10" x14ac:dyDescent="0.2">
      <c r="A223" s="41" t="s">
        <v>118</v>
      </c>
      <c r="B223" s="26" t="s">
        <v>92</v>
      </c>
      <c r="C223" s="26" t="s">
        <v>53</v>
      </c>
      <c r="D223" s="26" t="s">
        <v>98</v>
      </c>
      <c r="E223" s="27" t="s">
        <v>349</v>
      </c>
      <c r="F223" s="28" t="s">
        <v>270</v>
      </c>
      <c r="G223" s="49" t="str">
        <f t="shared" si="11"/>
        <v>1</v>
      </c>
      <c r="H223" s="49" t="str">
        <f t="shared" si="12"/>
        <v>d</v>
      </c>
      <c r="I223" s="50" t="s">
        <v>562</v>
      </c>
      <c r="J223" s="6" t="str">
        <f t="shared" si="13"/>
        <v>Apply knowledge of operations research relavant to MGTE.</v>
      </c>
    </row>
    <row r="224" spans="1:10" x14ac:dyDescent="0.2">
      <c r="A224" s="40" t="s">
        <v>87</v>
      </c>
      <c r="B224" s="23" t="s">
        <v>88</v>
      </c>
      <c r="C224" s="23" t="s">
        <v>53</v>
      </c>
      <c r="D224" s="23" t="s">
        <v>89</v>
      </c>
      <c r="E224" s="27" t="s">
        <v>296</v>
      </c>
      <c r="F224" s="24" t="s">
        <v>270</v>
      </c>
      <c r="G224" s="49" t="str">
        <f t="shared" si="11"/>
        <v>1</v>
      </c>
      <c r="H224" s="49" t="str">
        <f t="shared" si="12"/>
        <v>d</v>
      </c>
      <c r="I224" s="25" t="s">
        <v>562</v>
      </c>
      <c r="J224" s="6" t="str">
        <f t="shared" si="13"/>
        <v>Apply knowledge of operations research relavant to MGTE.</v>
      </c>
    </row>
    <row r="225" spans="1:10" ht="30" x14ac:dyDescent="0.2">
      <c r="A225" s="40" t="s">
        <v>123</v>
      </c>
      <c r="B225" s="23" t="s">
        <v>95</v>
      </c>
      <c r="C225" s="23" t="s">
        <v>53</v>
      </c>
      <c r="D225" s="23" t="s">
        <v>106</v>
      </c>
      <c r="E225" s="27" t="s">
        <v>357</v>
      </c>
      <c r="F225" s="24" t="s">
        <v>270</v>
      </c>
      <c r="G225" s="49" t="str">
        <f t="shared" si="11"/>
        <v>1</v>
      </c>
      <c r="H225" s="49" t="str">
        <f t="shared" si="12"/>
        <v>d</v>
      </c>
      <c r="I225" s="25" t="s">
        <v>562</v>
      </c>
      <c r="J225" s="6" t="str">
        <f t="shared" si="13"/>
        <v>Apply knowledge of operations research relavant to MGTE.</v>
      </c>
    </row>
    <row r="226" spans="1:10" ht="30" x14ac:dyDescent="0.2">
      <c r="A226" s="41" t="s">
        <v>136</v>
      </c>
      <c r="B226" s="26" t="s">
        <v>92</v>
      </c>
      <c r="C226" s="26" t="s">
        <v>53</v>
      </c>
      <c r="D226" s="26" t="s">
        <v>98</v>
      </c>
      <c r="E226" s="27" t="s">
        <v>363</v>
      </c>
      <c r="F226" s="28" t="s">
        <v>270</v>
      </c>
      <c r="G226" s="49" t="str">
        <f t="shared" si="11"/>
        <v>1</v>
      </c>
      <c r="H226" s="49" t="str">
        <f t="shared" si="12"/>
        <v>e</v>
      </c>
      <c r="I226" s="50" t="s">
        <v>566</v>
      </c>
      <c r="J226" s="6" t="str">
        <f t="shared" si="13"/>
        <v>Apply knowledge of information system relavant to MGTE.</v>
      </c>
    </row>
    <row r="227" spans="1:10" x14ac:dyDescent="0.2">
      <c r="A227" s="40" t="s">
        <v>97</v>
      </c>
      <c r="B227" s="23" t="s">
        <v>92</v>
      </c>
      <c r="C227" s="23" t="s">
        <v>53</v>
      </c>
      <c r="D227" s="23" t="s">
        <v>98</v>
      </c>
      <c r="E227" s="27" t="s">
        <v>325</v>
      </c>
      <c r="F227" s="24" t="s">
        <v>270</v>
      </c>
      <c r="G227" s="49" t="str">
        <f t="shared" si="11"/>
        <v>1</v>
      </c>
      <c r="H227" s="49" t="str">
        <f t="shared" si="12"/>
        <v>f</v>
      </c>
      <c r="I227" s="25" t="s">
        <v>568</v>
      </c>
      <c r="J227" s="6" t="str">
        <f t="shared" si="13"/>
        <v>Apply knowledge of organizational behavior relavant to MGTE.</v>
      </c>
    </row>
    <row r="228" spans="1:10" x14ac:dyDescent="0.2">
      <c r="A228" s="40" t="s">
        <v>97</v>
      </c>
      <c r="B228" s="23" t="s">
        <v>88</v>
      </c>
      <c r="C228" s="23" t="s">
        <v>54</v>
      </c>
      <c r="D228" s="23"/>
      <c r="E228" s="27" t="s">
        <v>325</v>
      </c>
      <c r="F228" s="24" t="s">
        <v>270</v>
      </c>
      <c r="G228" s="49" t="str">
        <f t="shared" si="11"/>
        <v>1</v>
      </c>
      <c r="H228" s="49" t="str">
        <f t="shared" si="12"/>
        <v>f</v>
      </c>
      <c r="I228" s="25" t="s">
        <v>568</v>
      </c>
      <c r="J228" s="6" t="str">
        <f t="shared" si="13"/>
        <v>Apply knowledge of organizational behavior relavant to MGTE.</v>
      </c>
    </row>
    <row r="229" spans="1:10" x14ac:dyDescent="0.2">
      <c r="A229" s="41" t="s">
        <v>97</v>
      </c>
      <c r="B229" s="26" t="s">
        <v>92</v>
      </c>
      <c r="C229" s="26" t="s">
        <v>53</v>
      </c>
      <c r="D229" s="26" t="s">
        <v>98</v>
      </c>
      <c r="E229" s="27" t="s">
        <v>326</v>
      </c>
      <c r="F229" s="28" t="s">
        <v>270</v>
      </c>
      <c r="G229" s="49" t="str">
        <f t="shared" si="11"/>
        <v>1</v>
      </c>
      <c r="H229" s="49" t="str">
        <f t="shared" si="12"/>
        <v>f</v>
      </c>
      <c r="I229" s="50" t="s">
        <v>568</v>
      </c>
      <c r="J229" s="6" t="str">
        <f t="shared" si="13"/>
        <v>Apply knowledge of organizational behavior relavant to MGTE.</v>
      </c>
    </row>
    <row r="230" spans="1:10" x14ac:dyDescent="0.2">
      <c r="A230" s="41" t="s">
        <v>97</v>
      </c>
      <c r="B230" s="26" t="s">
        <v>88</v>
      </c>
      <c r="C230" s="26" t="s">
        <v>54</v>
      </c>
      <c r="D230" s="26"/>
      <c r="E230" s="27" t="s">
        <v>326</v>
      </c>
      <c r="F230" s="28" t="s">
        <v>270</v>
      </c>
      <c r="G230" s="49" t="str">
        <f t="shared" si="11"/>
        <v>1</v>
      </c>
      <c r="H230" s="49" t="str">
        <f t="shared" si="12"/>
        <v>f</v>
      </c>
      <c r="I230" s="50" t="s">
        <v>568</v>
      </c>
      <c r="J230" s="6" t="str">
        <f t="shared" si="13"/>
        <v>Apply knowledge of organizational behavior relavant to MGTE.</v>
      </c>
    </row>
    <row r="231" spans="1:10" x14ac:dyDescent="0.2">
      <c r="A231" s="41" t="s">
        <v>115</v>
      </c>
      <c r="B231" s="26" t="s">
        <v>95</v>
      </c>
      <c r="C231" s="26" t="s">
        <v>54</v>
      </c>
      <c r="D231" s="26" t="s">
        <v>106</v>
      </c>
      <c r="E231" s="27" t="s">
        <v>343</v>
      </c>
      <c r="F231" s="28" t="s">
        <v>270</v>
      </c>
      <c r="G231" s="49" t="str">
        <f t="shared" si="11"/>
        <v>1</v>
      </c>
      <c r="H231" s="49" t="str">
        <f t="shared" si="12"/>
        <v>e</v>
      </c>
      <c r="I231" s="50" t="s">
        <v>566</v>
      </c>
      <c r="J231" s="6" t="str">
        <f t="shared" si="13"/>
        <v>Apply knowledge of information system relavant to MGTE.</v>
      </c>
    </row>
    <row r="232" spans="1:10" x14ac:dyDescent="0.2">
      <c r="A232" s="40" t="s">
        <v>132</v>
      </c>
      <c r="B232" s="23" t="s">
        <v>92</v>
      </c>
      <c r="C232" s="23" t="s">
        <v>54</v>
      </c>
      <c r="D232" s="23" t="s">
        <v>112</v>
      </c>
      <c r="E232" s="27" t="s">
        <v>362</v>
      </c>
      <c r="F232" s="24" t="s">
        <v>270</v>
      </c>
      <c r="G232" s="49" t="str">
        <f t="shared" si="11"/>
        <v>1</v>
      </c>
      <c r="H232" s="49" t="str">
        <f t="shared" si="12"/>
        <v>e</v>
      </c>
      <c r="I232" s="25" t="s">
        <v>566</v>
      </c>
      <c r="J232" s="6" t="str">
        <f t="shared" si="13"/>
        <v>Apply knowledge of information system relavant to MGTE.</v>
      </c>
    </row>
    <row r="233" spans="1:10" x14ac:dyDescent="0.2">
      <c r="A233" s="41" t="s">
        <v>155</v>
      </c>
      <c r="B233" s="26" t="s">
        <v>92</v>
      </c>
      <c r="C233" s="26" t="s">
        <v>53</v>
      </c>
      <c r="D233" s="26" t="s">
        <v>93</v>
      </c>
      <c r="E233" s="27" t="s">
        <v>307</v>
      </c>
      <c r="F233" s="28" t="s">
        <v>270</v>
      </c>
      <c r="G233" s="49" t="str">
        <f t="shared" si="11"/>
        <v>1</v>
      </c>
      <c r="H233" s="49" t="str">
        <f t="shared" si="12"/>
        <v>d</v>
      </c>
      <c r="I233" s="50" t="s">
        <v>562</v>
      </c>
      <c r="J233" s="6" t="str">
        <f t="shared" si="13"/>
        <v>Apply knowledge of operations research relavant to MGTE.</v>
      </c>
    </row>
    <row r="234" spans="1:10" x14ac:dyDescent="0.2">
      <c r="A234" s="41" t="s">
        <v>102</v>
      </c>
      <c r="B234" s="26" t="s">
        <v>95</v>
      </c>
      <c r="C234" s="26" t="s">
        <v>53</v>
      </c>
      <c r="D234" s="26" t="s">
        <v>96</v>
      </c>
      <c r="E234" s="27" t="s">
        <v>342</v>
      </c>
      <c r="F234" s="28" t="s">
        <v>270</v>
      </c>
      <c r="G234" s="49" t="str">
        <f t="shared" si="11"/>
        <v>1</v>
      </c>
      <c r="H234" s="49" t="str">
        <f t="shared" si="12"/>
        <v>e</v>
      </c>
      <c r="I234" s="50" t="s">
        <v>566</v>
      </c>
      <c r="J234" s="6" t="str">
        <f t="shared" si="13"/>
        <v>Apply knowledge of information system relavant to MGTE.</v>
      </c>
    </row>
    <row r="235" spans="1:10" x14ac:dyDescent="0.2">
      <c r="A235" s="41" t="s">
        <v>91</v>
      </c>
      <c r="B235" s="26" t="s">
        <v>92</v>
      </c>
      <c r="C235" s="26" t="s">
        <v>53</v>
      </c>
      <c r="D235" s="26" t="s">
        <v>93</v>
      </c>
      <c r="E235" s="27" t="s">
        <v>301</v>
      </c>
      <c r="F235" s="28" t="s">
        <v>270</v>
      </c>
      <c r="G235" s="49" t="str">
        <f t="shared" si="11"/>
        <v>1</v>
      </c>
      <c r="H235" s="49" t="str">
        <f t="shared" si="12"/>
        <v>e</v>
      </c>
      <c r="I235" s="50" t="s">
        <v>566</v>
      </c>
      <c r="J235" s="6" t="str">
        <f t="shared" si="13"/>
        <v>Apply knowledge of information system relavant to MGTE.</v>
      </c>
    </row>
    <row r="236" spans="1:10" x14ac:dyDescent="0.2">
      <c r="A236" s="40" t="s">
        <v>91</v>
      </c>
      <c r="B236" s="23" t="s">
        <v>92</v>
      </c>
      <c r="C236" s="23" t="s">
        <v>53</v>
      </c>
      <c r="D236" s="23" t="s">
        <v>93</v>
      </c>
      <c r="E236" s="27" t="s">
        <v>302</v>
      </c>
      <c r="F236" s="24" t="s">
        <v>270</v>
      </c>
      <c r="G236" s="49" t="str">
        <f t="shared" si="11"/>
        <v>1</v>
      </c>
      <c r="H236" s="49" t="str">
        <f t="shared" si="12"/>
        <v>e</v>
      </c>
      <c r="I236" s="25" t="s">
        <v>566</v>
      </c>
      <c r="J236" s="6" t="str">
        <f t="shared" si="13"/>
        <v>Apply knowledge of information system relavant to MGTE.</v>
      </c>
    </row>
    <row r="237" spans="1:10" x14ac:dyDescent="0.2">
      <c r="A237" s="41" t="s">
        <v>282</v>
      </c>
      <c r="B237" s="26" t="s">
        <v>92</v>
      </c>
      <c r="C237" s="26" t="s">
        <v>53</v>
      </c>
      <c r="D237" s="26" t="s">
        <v>89</v>
      </c>
      <c r="E237" s="27" t="s">
        <v>288</v>
      </c>
      <c r="F237" s="28" t="s">
        <v>270</v>
      </c>
      <c r="G237" s="49" t="str">
        <f t="shared" si="11"/>
        <v>1</v>
      </c>
      <c r="H237" s="49" t="str">
        <f t="shared" si="12"/>
        <v>a</v>
      </c>
      <c r="I237" s="50" t="s">
        <v>555</v>
      </c>
      <c r="J237" s="6" t="str">
        <f t="shared" si="13"/>
        <v>Explain knowledge of mathematics relavant to MGTE.</v>
      </c>
    </row>
    <row r="238" spans="1:10" ht="30" x14ac:dyDescent="0.2">
      <c r="A238" s="40" t="s">
        <v>249</v>
      </c>
      <c r="B238" s="23" t="s">
        <v>88</v>
      </c>
      <c r="C238" s="23" t="s">
        <v>53</v>
      </c>
      <c r="D238" s="23" t="s">
        <v>56</v>
      </c>
      <c r="E238" s="27" t="s">
        <v>312</v>
      </c>
      <c r="F238" s="24" t="s">
        <v>270</v>
      </c>
      <c r="G238" s="49" t="str">
        <f t="shared" si="11"/>
        <v>1</v>
      </c>
      <c r="H238" s="49" t="str">
        <f t="shared" si="12"/>
        <v>e</v>
      </c>
      <c r="I238" s="25" t="s">
        <v>566</v>
      </c>
      <c r="J238" s="6" t="str">
        <f t="shared" si="13"/>
        <v>Apply knowledge of information system relavant to MGTE.</v>
      </c>
    </row>
    <row r="239" spans="1:10" x14ac:dyDescent="0.2">
      <c r="A239" s="41" t="s">
        <v>282</v>
      </c>
      <c r="B239" s="26" t="s">
        <v>92</v>
      </c>
      <c r="C239" s="26" t="s">
        <v>53</v>
      </c>
      <c r="D239" s="26" t="s">
        <v>89</v>
      </c>
      <c r="E239" s="27" t="s">
        <v>286</v>
      </c>
      <c r="F239" s="28" t="s">
        <v>270</v>
      </c>
      <c r="G239" s="49" t="str">
        <f t="shared" si="11"/>
        <v>1</v>
      </c>
      <c r="H239" s="49" t="str">
        <f t="shared" si="12"/>
        <v>a</v>
      </c>
      <c r="I239" s="50" t="s">
        <v>555</v>
      </c>
      <c r="J239" s="6" t="str">
        <f t="shared" si="13"/>
        <v>Explain knowledge of mathematics relavant to MGTE.</v>
      </c>
    </row>
    <row r="240" spans="1:10" x14ac:dyDescent="0.2">
      <c r="A240" s="40" t="s">
        <v>282</v>
      </c>
      <c r="B240" s="23" t="s">
        <v>92</v>
      </c>
      <c r="C240" s="23" t="s">
        <v>53</v>
      </c>
      <c r="D240" s="23" t="s">
        <v>89</v>
      </c>
      <c r="E240" s="27" t="s">
        <v>287</v>
      </c>
      <c r="F240" s="24" t="s">
        <v>270</v>
      </c>
      <c r="G240" s="49" t="str">
        <f t="shared" si="11"/>
        <v>1</v>
      </c>
      <c r="H240" s="49" t="str">
        <f t="shared" si="12"/>
        <v>a</v>
      </c>
      <c r="I240" s="25" t="s">
        <v>555</v>
      </c>
      <c r="J240" s="6" t="str">
        <f t="shared" si="13"/>
        <v>Explain knowledge of mathematics relavant to MGTE.</v>
      </c>
    </row>
    <row r="241" spans="1:10" ht="30" x14ac:dyDescent="0.2">
      <c r="A241" s="40" t="s">
        <v>194</v>
      </c>
      <c r="B241" s="23" t="s">
        <v>95</v>
      </c>
      <c r="C241" s="23" t="s">
        <v>53</v>
      </c>
      <c r="D241" s="23" t="s">
        <v>96</v>
      </c>
      <c r="E241" s="27" t="s">
        <v>290</v>
      </c>
      <c r="F241" s="24" t="s">
        <v>270</v>
      </c>
      <c r="G241" s="49" t="str">
        <f t="shared" si="11"/>
        <v>1</v>
      </c>
      <c r="H241" s="49" t="str">
        <f t="shared" si="12"/>
        <v>b</v>
      </c>
      <c r="I241" s="25" t="s">
        <v>558</v>
      </c>
      <c r="J241" s="6" t="str">
        <f t="shared" si="13"/>
        <v>Explain knowledge of natural sceinces relavant to engineering.</v>
      </c>
    </row>
    <row r="242" spans="1:10" x14ac:dyDescent="0.2">
      <c r="A242" s="41" t="s">
        <v>194</v>
      </c>
      <c r="B242" s="26" t="s">
        <v>95</v>
      </c>
      <c r="C242" s="26" t="s">
        <v>53</v>
      </c>
      <c r="D242" s="26" t="s">
        <v>96</v>
      </c>
      <c r="E242" s="27" t="s">
        <v>289</v>
      </c>
      <c r="F242" s="28" t="s">
        <v>270</v>
      </c>
      <c r="G242" s="49" t="str">
        <f t="shared" si="11"/>
        <v>1</v>
      </c>
      <c r="H242" s="49" t="str">
        <f t="shared" si="12"/>
        <v>b</v>
      </c>
      <c r="I242" s="50" t="s">
        <v>558</v>
      </c>
      <c r="J242" s="6" t="str">
        <f t="shared" si="13"/>
        <v>Explain knowledge of natural sceinces relavant to engineering.</v>
      </c>
    </row>
    <row r="243" spans="1:10" x14ac:dyDescent="0.2">
      <c r="A243" s="40" t="s">
        <v>228</v>
      </c>
      <c r="B243" s="23" t="s">
        <v>95</v>
      </c>
      <c r="C243" s="23" t="s">
        <v>54</v>
      </c>
      <c r="D243" s="23" t="s">
        <v>106</v>
      </c>
      <c r="E243" s="27" t="s">
        <v>369</v>
      </c>
      <c r="F243" s="24" t="s">
        <v>270</v>
      </c>
      <c r="G243" s="49" t="str">
        <f t="shared" si="11"/>
        <v>1</v>
      </c>
      <c r="H243" s="49" t="str">
        <f t="shared" si="12"/>
        <v>d</v>
      </c>
      <c r="I243" s="25" t="s">
        <v>562</v>
      </c>
      <c r="J243" s="6" t="str">
        <f t="shared" si="13"/>
        <v>Apply knowledge of operations research relavant to MGTE.</v>
      </c>
    </row>
    <row r="244" spans="1:10" x14ac:dyDescent="0.2">
      <c r="A244" s="41" t="s">
        <v>313</v>
      </c>
      <c r="B244" s="26" t="s">
        <v>95</v>
      </c>
      <c r="C244" s="26" t="s">
        <v>53</v>
      </c>
      <c r="D244" s="26" t="s">
        <v>96</v>
      </c>
      <c r="E244" s="27" t="s">
        <v>314</v>
      </c>
      <c r="F244" s="28" t="s">
        <v>270</v>
      </c>
      <c r="G244" s="49" t="str">
        <f t="shared" si="11"/>
        <v>1</v>
      </c>
      <c r="H244" s="49" t="str">
        <f t="shared" si="12"/>
        <v>e</v>
      </c>
      <c r="I244" s="50" t="s">
        <v>566</v>
      </c>
      <c r="J244" s="6" t="str">
        <f t="shared" si="13"/>
        <v>Apply knowledge of information system relavant to MGTE.</v>
      </c>
    </row>
    <row r="245" spans="1:10" ht="30" x14ac:dyDescent="0.2">
      <c r="A245" s="41" t="s">
        <v>100</v>
      </c>
      <c r="B245" s="26" t="s">
        <v>92</v>
      </c>
      <c r="C245" s="26" t="s">
        <v>53</v>
      </c>
      <c r="D245" s="26" t="s">
        <v>98</v>
      </c>
      <c r="E245" s="27" t="s">
        <v>334</v>
      </c>
      <c r="F245" s="28" t="s">
        <v>270</v>
      </c>
      <c r="G245" s="49" t="str">
        <f t="shared" si="11"/>
        <v>1</v>
      </c>
      <c r="H245" s="49" t="str">
        <f t="shared" si="12"/>
        <v>d</v>
      </c>
      <c r="I245" s="50" t="s">
        <v>562</v>
      </c>
      <c r="J245" s="6" t="str">
        <f t="shared" si="13"/>
        <v>Apply knowledge of operations research relavant to MGTE.</v>
      </c>
    </row>
    <row r="246" spans="1:10" x14ac:dyDescent="0.2">
      <c r="A246" s="41" t="s">
        <v>91</v>
      </c>
      <c r="B246" s="26" t="s">
        <v>92</v>
      </c>
      <c r="C246" s="26" t="s">
        <v>53</v>
      </c>
      <c r="D246" s="26" t="s">
        <v>93</v>
      </c>
      <c r="E246" s="27" t="s">
        <v>299</v>
      </c>
      <c r="F246" s="28" t="s">
        <v>270</v>
      </c>
      <c r="G246" s="49" t="str">
        <f t="shared" si="11"/>
        <v>1</v>
      </c>
      <c r="H246" s="49" t="str">
        <f t="shared" si="12"/>
        <v>e</v>
      </c>
      <c r="I246" s="50" t="s">
        <v>566</v>
      </c>
      <c r="J246" s="6" t="str">
        <f t="shared" si="13"/>
        <v>Apply knowledge of information system relavant to MGTE.</v>
      </c>
    </row>
    <row r="247" spans="1:10" x14ac:dyDescent="0.2">
      <c r="A247" s="41" t="s">
        <v>87</v>
      </c>
      <c r="B247" s="26" t="s">
        <v>88</v>
      </c>
      <c r="C247" s="26" t="s">
        <v>53</v>
      </c>
      <c r="D247" s="26" t="s">
        <v>89</v>
      </c>
      <c r="E247" s="27" t="s">
        <v>297</v>
      </c>
      <c r="F247" s="28" t="s">
        <v>270</v>
      </c>
      <c r="G247" s="49" t="str">
        <f t="shared" si="11"/>
        <v>1</v>
      </c>
      <c r="H247" s="49" t="str">
        <f t="shared" si="12"/>
        <v>d</v>
      </c>
      <c r="I247" s="50" t="s">
        <v>562</v>
      </c>
      <c r="J247" s="6" t="str">
        <f t="shared" si="13"/>
        <v>Apply knowledge of operations research relavant to MGTE.</v>
      </c>
    </row>
    <row r="248" spans="1:10" x14ac:dyDescent="0.2">
      <c r="A248" s="40" t="s">
        <v>124</v>
      </c>
      <c r="B248" s="23" t="s">
        <v>92</v>
      </c>
      <c r="C248" s="23" t="s">
        <v>54</v>
      </c>
      <c r="D248" s="23" t="s">
        <v>112</v>
      </c>
      <c r="E248" s="27" t="s">
        <v>358</v>
      </c>
      <c r="F248" s="24" t="s">
        <v>270</v>
      </c>
      <c r="G248" s="49" t="str">
        <f t="shared" si="11"/>
        <v>1</v>
      </c>
      <c r="H248" s="49" t="str">
        <f t="shared" si="12"/>
        <v>d</v>
      </c>
      <c r="I248" s="25" t="s">
        <v>562</v>
      </c>
      <c r="J248" s="6" t="str">
        <f t="shared" si="13"/>
        <v>Apply knowledge of operations research relavant to MGTE.</v>
      </c>
    </row>
    <row r="249" spans="1:10" x14ac:dyDescent="0.2">
      <c r="A249" s="41" t="s">
        <v>123</v>
      </c>
      <c r="B249" s="26" t="s">
        <v>95</v>
      </c>
      <c r="C249" s="26" t="s">
        <v>53</v>
      </c>
      <c r="D249" s="26" t="s">
        <v>106</v>
      </c>
      <c r="E249" s="27" t="s">
        <v>354</v>
      </c>
      <c r="F249" s="28" t="s">
        <v>270</v>
      </c>
      <c r="G249" s="49" t="str">
        <f t="shared" si="11"/>
        <v>1</v>
      </c>
      <c r="H249" s="49" t="str">
        <f t="shared" si="12"/>
        <v>d</v>
      </c>
      <c r="I249" s="50" t="s">
        <v>562</v>
      </c>
      <c r="J249" s="6" t="str">
        <f t="shared" si="13"/>
        <v>Apply knowledge of operations research relavant to MGTE.</v>
      </c>
    </row>
    <row r="250" spans="1:10" x14ac:dyDescent="0.2">
      <c r="A250" s="41" t="s">
        <v>228</v>
      </c>
      <c r="B250" s="26" t="s">
        <v>95</v>
      </c>
      <c r="C250" s="26" t="s">
        <v>54</v>
      </c>
      <c r="D250" s="26" t="s">
        <v>106</v>
      </c>
      <c r="E250" s="27" t="s">
        <v>370</v>
      </c>
      <c r="F250" s="28" t="s">
        <v>270</v>
      </c>
      <c r="G250" s="49" t="str">
        <f t="shared" si="11"/>
        <v>1</v>
      </c>
      <c r="H250" s="49" t="str">
        <f t="shared" si="12"/>
        <v>d</v>
      </c>
      <c r="I250" s="50" t="s">
        <v>562</v>
      </c>
      <c r="J250" s="6" t="str">
        <f t="shared" si="13"/>
        <v>Apply knowledge of operations research relavant to MGTE.</v>
      </c>
    </row>
    <row r="251" spans="1:10" x14ac:dyDescent="0.2">
      <c r="A251" s="41" t="s">
        <v>124</v>
      </c>
      <c r="B251" s="26" t="s">
        <v>92</v>
      </c>
      <c r="C251" s="26" t="s">
        <v>54</v>
      </c>
      <c r="D251" s="26" t="s">
        <v>112</v>
      </c>
      <c r="E251" s="27" t="s">
        <v>359</v>
      </c>
      <c r="F251" s="28" t="s">
        <v>270</v>
      </c>
      <c r="G251" s="49" t="str">
        <f t="shared" si="11"/>
        <v>1</v>
      </c>
      <c r="H251" s="49" t="str">
        <f t="shared" si="12"/>
        <v>d</v>
      </c>
      <c r="I251" s="50" t="s">
        <v>562</v>
      </c>
      <c r="J251" s="6" t="str">
        <f t="shared" si="13"/>
        <v>Apply knowledge of operations research relavant to MGTE.</v>
      </c>
    </row>
    <row r="252" spans="1:10" ht="30" x14ac:dyDescent="0.2">
      <c r="A252" s="41" t="s">
        <v>100</v>
      </c>
      <c r="B252" s="26" t="s">
        <v>92</v>
      </c>
      <c r="C252" s="26" t="s">
        <v>53</v>
      </c>
      <c r="D252" s="26" t="s">
        <v>98</v>
      </c>
      <c r="E252" s="27" t="s">
        <v>338</v>
      </c>
      <c r="F252" s="28" t="s">
        <v>270</v>
      </c>
      <c r="G252" s="49" t="str">
        <f t="shared" si="11"/>
        <v>1</v>
      </c>
      <c r="H252" s="49" t="str">
        <f t="shared" si="12"/>
        <v>d</v>
      </c>
      <c r="I252" s="50" t="s">
        <v>562</v>
      </c>
      <c r="J252" s="6" t="str">
        <f t="shared" si="13"/>
        <v>Apply knowledge of operations research relavant to MGTE.</v>
      </c>
    </row>
    <row r="253" spans="1:10" ht="45" x14ac:dyDescent="0.2">
      <c r="A253" s="41" t="s">
        <v>375</v>
      </c>
      <c r="B253" s="26" t="s">
        <v>92</v>
      </c>
      <c r="C253" s="26" t="s">
        <v>54</v>
      </c>
      <c r="D253" s="26" t="s">
        <v>112</v>
      </c>
      <c r="E253" s="27" t="s">
        <v>377</v>
      </c>
      <c r="F253" s="28" t="s">
        <v>270</v>
      </c>
      <c r="G253" s="49" t="str">
        <f t="shared" si="11"/>
        <v>1</v>
      </c>
      <c r="H253" s="49" t="str">
        <f t="shared" si="12"/>
        <v>d</v>
      </c>
      <c r="I253" s="50" t="s">
        <v>562</v>
      </c>
      <c r="J253" s="6" t="str">
        <f t="shared" si="13"/>
        <v>Apply knowledge of operations research relavant to MGTE.</v>
      </c>
    </row>
    <row r="254" spans="1:10" ht="30" x14ac:dyDescent="0.2">
      <c r="A254" s="40" t="s">
        <v>100</v>
      </c>
      <c r="B254" s="23" t="s">
        <v>92</v>
      </c>
      <c r="C254" s="23" t="s">
        <v>53</v>
      </c>
      <c r="D254" s="23" t="s">
        <v>98</v>
      </c>
      <c r="E254" s="27" t="s">
        <v>335</v>
      </c>
      <c r="F254" s="24" t="s">
        <v>270</v>
      </c>
      <c r="G254" s="49" t="str">
        <f t="shared" si="11"/>
        <v>1</v>
      </c>
      <c r="H254" s="49" t="str">
        <f t="shared" si="12"/>
        <v>d</v>
      </c>
      <c r="I254" s="25" t="s">
        <v>562</v>
      </c>
      <c r="J254" s="6" t="str">
        <f t="shared" si="13"/>
        <v>Apply knowledge of operations research relavant to MGTE.</v>
      </c>
    </row>
    <row r="255" spans="1:10" x14ac:dyDescent="0.2">
      <c r="A255" s="40" t="s">
        <v>100</v>
      </c>
      <c r="B255" s="23" t="s">
        <v>92</v>
      </c>
      <c r="C255" s="23" t="s">
        <v>53</v>
      </c>
      <c r="D255" s="23" t="s">
        <v>98</v>
      </c>
      <c r="E255" s="27" t="s">
        <v>337</v>
      </c>
      <c r="F255" s="24" t="s">
        <v>270</v>
      </c>
      <c r="G255" s="49" t="str">
        <f t="shared" si="11"/>
        <v>1</v>
      </c>
      <c r="H255" s="49" t="str">
        <f t="shared" si="12"/>
        <v>d</v>
      </c>
      <c r="I255" s="25" t="s">
        <v>562</v>
      </c>
      <c r="J255" s="6" t="str">
        <f t="shared" si="13"/>
        <v>Apply knowledge of operations research relavant to MGTE.</v>
      </c>
    </row>
    <row r="256" spans="1:10" x14ac:dyDescent="0.2">
      <c r="A256" s="40" t="s">
        <v>123</v>
      </c>
      <c r="B256" s="23" t="s">
        <v>95</v>
      </c>
      <c r="C256" s="23" t="s">
        <v>53</v>
      </c>
      <c r="D256" s="23" t="s">
        <v>106</v>
      </c>
      <c r="E256" s="27" t="s">
        <v>355</v>
      </c>
      <c r="F256" s="24" t="s">
        <v>270</v>
      </c>
      <c r="G256" s="49" t="str">
        <f t="shared" si="11"/>
        <v>1</v>
      </c>
      <c r="H256" s="49" t="str">
        <f t="shared" si="12"/>
        <v>d</v>
      </c>
      <c r="I256" s="25" t="s">
        <v>562</v>
      </c>
      <c r="J256" s="6" t="str">
        <f t="shared" si="13"/>
        <v>Apply knowledge of operations research relavant to MGTE.</v>
      </c>
    </row>
    <row r="257" spans="1:10" x14ac:dyDescent="0.2">
      <c r="A257" s="40" t="s">
        <v>123</v>
      </c>
      <c r="B257" s="23" t="s">
        <v>95</v>
      </c>
      <c r="C257" s="23" t="s">
        <v>53</v>
      </c>
      <c r="D257" s="23" t="s">
        <v>106</v>
      </c>
      <c r="E257" s="27" t="s">
        <v>353</v>
      </c>
      <c r="F257" s="24" t="s">
        <v>270</v>
      </c>
      <c r="G257" s="49" t="str">
        <f t="shared" si="11"/>
        <v>1</v>
      </c>
      <c r="H257" s="49" t="str">
        <f t="shared" si="12"/>
        <v>d</v>
      </c>
      <c r="I257" s="25" t="s">
        <v>562</v>
      </c>
      <c r="J257" s="6" t="str">
        <f t="shared" si="13"/>
        <v>Apply knowledge of operations research relavant to MGTE.</v>
      </c>
    </row>
    <row r="258" spans="1:10" x14ac:dyDescent="0.2">
      <c r="A258" s="41" t="s">
        <v>139</v>
      </c>
      <c r="B258" s="26" t="s">
        <v>92</v>
      </c>
      <c r="C258" s="26" t="s">
        <v>54</v>
      </c>
      <c r="D258" s="26" t="s">
        <v>112</v>
      </c>
      <c r="E258" s="27" t="s">
        <v>373</v>
      </c>
      <c r="F258" s="28" t="s">
        <v>270</v>
      </c>
      <c r="G258" s="49" t="str">
        <f t="shared" ref="G258:G321" si="14">LEFT(I258,1)</f>
        <v>1</v>
      </c>
      <c r="H258" s="49" t="str">
        <f t="shared" ref="H258:H321" si="15">RIGHT(I258,1)</f>
        <v>f</v>
      </c>
      <c r="I258" s="50" t="s">
        <v>568</v>
      </c>
      <c r="J258" s="6" t="str">
        <f t="shared" ref="J258:J321" si="16">IFERROR(VLOOKUP(I258,$N$3:$O$39,2,FALSE),0)</f>
        <v>Apply knowledge of organizational behavior relavant to MGTE.</v>
      </c>
    </row>
    <row r="259" spans="1:10" x14ac:dyDescent="0.2">
      <c r="A259" s="41" t="s">
        <v>272</v>
      </c>
      <c r="B259" s="26" t="s">
        <v>88</v>
      </c>
      <c r="C259" s="26" t="s">
        <v>53</v>
      </c>
      <c r="D259" s="26" t="s">
        <v>89</v>
      </c>
      <c r="E259" s="27" t="s">
        <v>277</v>
      </c>
      <c r="F259" s="28" t="s">
        <v>270</v>
      </c>
      <c r="G259" s="49" t="str">
        <f t="shared" si="14"/>
        <v>1</v>
      </c>
      <c r="H259" s="49" t="str">
        <f t="shared" si="15"/>
        <v>a</v>
      </c>
      <c r="I259" s="50" t="s">
        <v>555</v>
      </c>
      <c r="J259" s="6" t="str">
        <f t="shared" si="16"/>
        <v>Explain knowledge of mathematics relavant to MGTE.</v>
      </c>
    </row>
    <row r="260" spans="1:10" x14ac:dyDescent="0.2">
      <c r="A260" s="40" t="s">
        <v>126</v>
      </c>
      <c r="B260" s="23" t="s">
        <v>92</v>
      </c>
      <c r="C260" s="23" t="s">
        <v>54</v>
      </c>
      <c r="D260" s="23" t="s">
        <v>112</v>
      </c>
      <c r="E260" s="27" t="s">
        <v>360</v>
      </c>
      <c r="F260" s="24" t="s">
        <v>270</v>
      </c>
      <c r="G260" s="49" t="str">
        <f t="shared" si="14"/>
        <v>1</v>
      </c>
      <c r="H260" s="49" t="str">
        <f t="shared" si="15"/>
        <v>d</v>
      </c>
      <c r="I260" s="25" t="s">
        <v>562</v>
      </c>
      <c r="J260" s="6" t="str">
        <f t="shared" si="16"/>
        <v>Apply knowledge of operations research relavant to MGTE.</v>
      </c>
    </row>
    <row r="261" spans="1:10" x14ac:dyDescent="0.2">
      <c r="A261" s="41" t="s">
        <v>186</v>
      </c>
      <c r="B261" s="26" t="s">
        <v>95</v>
      </c>
      <c r="C261" s="26" t="s">
        <v>54</v>
      </c>
      <c r="D261" s="26"/>
      <c r="E261" s="27" t="s">
        <v>320</v>
      </c>
      <c r="F261" s="28" t="s">
        <v>270</v>
      </c>
      <c r="G261" s="49" t="str">
        <f t="shared" si="14"/>
        <v>1</v>
      </c>
      <c r="H261" s="49" t="str">
        <f t="shared" si="15"/>
        <v>d</v>
      </c>
      <c r="I261" s="25" t="s">
        <v>562</v>
      </c>
      <c r="J261" s="6" t="str">
        <f t="shared" si="16"/>
        <v>Apply knowledge of operations research relavant to MGTE.</v>
      </c>
    </row>
    <row r="262" spans="1:10" x14ac:dyDescent="0.2">
      <c r="A262" s="41" t="s">
        <v>186</v>
      </c>
      <c r="B262" s="26" t="s">
        <v>95</v>
      </c>
      <c r="C262" s="26" t="s">
        <v>54</v>
      </c>
      <c r="D262" s="26"/>
      <c r="E262" s="27" t="s">
        <v>318</v>
      </c>
      <c r="F262" s="28" t="s">
        <v>270</v>
      </c>
      <c r="G262" s="49" t="str">
        <f t="shared" si="14"/>
        <v>1</v>
      </c>
      <c r="H262" s="49" t="str">
        <f t="shared" si="15"/>
        <v>d</v>
      </c>
      <c r="I262" s="25" t="s">
        <v>562</v>
      </c>
      <c r="J262" s="6" t="str">
        <f t="shared" si="16"/>
        <v>Apply knowledge of operations research relavant to MGTE.</v>
      </c>
    </row>
    <row r="263" spans="1:10" x14ac:dyDescent="0.2">
      <c r="A263" s="40" t="s">
        <v>186</v>
      </c>
      <c r="B263" s="23" t="s">
        <v>95</v>
      </c>
      <c r="C263" s="23" t="s">
        <v>54</v>
      </c>
      <c r="D263" s="23"/>
      <c r="E263" s="27" t="s">
        <v>319</v>
      </c>
      <c r="F263" s="24" t="s">
        <v>270</v>
      </c>
      <c r="G263" s="49" t="str">
        <f t="shared" si="14"/>
        <v>1</v>
      </c>
      <c r="H263" s="49" t="str">
        <f t="shared" si="15"/>
        <v>d</v>
      </c>
      <c r="I263" s="25" t="s">
        <v>562</v>
      </c>
      <c r="J263" s="6" t="str">
        <f t="shared" si="16"/>
        <v>Apply knowledge of operations research relavant to MGTE.</v>
      </c>
    </row>
    <row r="264" spans="1:10" x14ac:dyDescent="0.2">
      <c r="A264" s="41" t="s">
        <v>180</v>
      </c>
      <c r="B264" s="26" t="s">
        <v>88</v>
      </c>
      <c r="C264" s="26" t="s">
        <v>54</v>
      </c>
      <c r="D264" s="26" t="s">
        <v>148</v>
      </c>
      <c r="E264" s="27" t="s">
        <v>365</v>
      </c>
      <c r="F264" s="28" t="s">
        <v>270</v>
      </c>
      <c r="G264" s="49" t="str">
        <f t="shared" si="14"/>
        <v>1</v>
      </c>
      <c r="H264" s="49" t="str">
        <f t="shared" si="15"/>
        <v>e</v>
      </c>
      <c r="I264" s="50" t="s">
        <v>566</v>
      </c>
      <c r="J264" s="6" t="str">
        <f t="shared" si="16"/>
        <v>Apply knowledge of information system relavant to MGTE.</v>
      </c>
    </row>
    <row r="265" spans="1:10" x14ac:dyDescent="0.2">
      <c r="A265" s="41" t="s">
        <v>197</v>
      </c>
      <c r="B265" s="26" t="s">
        <v>88</v>
      </c>
      <c r="C265" s="26" t="s">
        <v>53</v>
      </c>
      <c r="D265" s="26" t="s">
        <v>56</v>
      </c>
      <c r="E265" s="27" t="s">
        <v>291</v>
      </c>
      <c r="F265" s="28" t="s">
        <v>270</v>
      </c>
      <c r="G265" s="49" t="str">
        <f t="shared" si="14"/>
        <v>1</v>
      </c>
      <c r="H265" s="49" t="str">
        <f t="shared" si="15"/>
        <v>b</v>
      </c>
      <c r="I265" s="50" t="s">
        <v>558</v>
      </c>
      <c r="J265" s="6" t="str">
        <f t="shared" si="16"/>
        <v>Explain knowledge of natural sceinces relavant to engineering.</v>
      </c>
    </row>
    <row r="266" spans="1:10" x14ac:dyDescent="0.2">
      <c r="A266" s="41" t="s">
        <v>91</v>
      </c>
      <c r="B266" s="26" t="s">
        <v>92</v>
      </c>
      <c r="C266" s="26" t="s">
        <v>53</v>
      </c>
      <c r="D266" s="26" t="s">
        <v>93</v>
      </c>
      <c r="E266" s="27" t="s">
        <v>305</v>
      </c>
      <c r="F266" s="28" t="s">
        <v>270</v>
      </c>
      <c r="G266" s="49" t="str">
        <f t="shared" si="14"/>
        <v>1</v>
      </c>
      <c r="H266" s="49" t="str">
        <f t="shared" si="15"/>
        <v>e</v>
      </c>
      <c r="I266" s="50" t="s">
        <v>566</v>
      </c>
      <c r="J266" s="6" t="str">
        <f t="shared" si="16"/>
        <v>Apply knowledge of information system relavant to MGTE.</v>
      </c>
    </row>
    <row r="267" spans="1:10" x14ac:dyDescent="0.2">
      <c r="A267" s="41" t="s">
        <v>272</v>
      </c>
      <c r="B267" s="26" t="s">
        <v>88</v>
      </c>
      <c r="C267" s="26" t="s">
        <v>53</v>
      </c>
      <c r="D267" s="26" t="s">
        <v>89</v>
      </c>
      <c r="E267" s="27" t="s">
        <v>275</v>
      </c>
      <c r="F267" s="28" t="s">
        <v>270</v>
      </c>
      <c r="G267" s="49" t="str">
        <f t="shared" si="14"/>
        <v>1</v>
      </c>
      <c r="H267" s="49" t="str">
        <f t="shared" si="15"/>
        <v>a</v>
      </c>
      <c r="I267" s="50" t="s">
        <v>555</v>
      </c>
      <c r="J267" s="6" t="str">
        <f t="shared" si="16"/>
        <v>Explain knowledge of mathematics relavant to MGTE.</v>
      </c>
    </row>
    <row r="268" spans="1:10" ht="30" x14ac:dyDescent="0.2">
      <c r="A268" s="41" t="s">
        <v>158</v>
      </c>
      <c r="B268" s="26" t="s">
        <v>88</v>
      </c>
      <c r="C268" s="26" t="s">
        <v>53</v>
      </c>
      <c r="D268" s="26" t="s">
        <v>148</v>
      </c>
      <c r="E268" s="27" t="s">
        <v>330</v>
      </c>
      <c r="F268" s="28" t="s">
        <v>270</v>
      </c>
      <c r="G268" s="49" t="str">
        <f t="shared" si="14"/>
        <v>1</v>
      </c>
      <c r="H268" s="49" t="str">
        <f t="shared" si="15"/>
        <v>d</v>
      </c>
      <c r="I268" s="50" t="s">
        <v>562</v>
      </c>
      <c r="J268" s="6" t="str">
        <f t="shared" si="16"/>
        <v>Apply knowledge of operations research relavant to MGTE.</v>
      </c>
    </row>
    <row r="269" spans="1:10" ht="30" x14ac:dyDescent="0.2">
      <c r="A269" s="41" t="s">
        <v>126</v>
      </c>
      <c r="B269" s="26" t="s">
        <v>92</v>
      </c>
      <c r="C269" s="26" t="s">
        <v>54</v>
      </c>
      <c r="D269" s="26" t="s">
        <v>112</v>
      </c>
      <c r="E269" s="27" t="s">
        <v>361</v>
      </c>
      <c r="F269" s="28" t="s">
        <v>270</v>
      </c>
      <c r="G269" s="49" t="str">
        <f t="shared" si="14"/>
        <v>1</v>
      </c>
      <c r="H269" s="49" t="str">
        <f t="shared" si="15"/>
        <v>e</v>
      </c>
      <c r="I269" s="50" t="s">
        <v>566</v>
      </c>
      <c r="J269" s="6" t="str">
        <f t="shared" si="16"/>
        <v>Apply knowledge of information system relavant to MGTE.</v>
      </c>
    </row>
    <row r="270" spans="1:10" x14ac:dyDescent="0.2">
      <c r="A270" s="41" t="s">
        <v>97</v>
      </c>
      <c r="B270" s="26" t="s">
        <v>92</v>
      </c>
      <c r="C270" s="26" t="s">
        <v>53</v>
      </c>
      <c r="D270" s="26" t="s">
        <v>98</v>
      </c>
      <c r="E270" s="27" t="s">
        <v>328</v>
      </c>
      <c r="F270" s="28" t="s">
        <v>270</v>
      </c>
      <c r="G270" s="49" t="str">
        <f t="shared" si="14"/>
        <v>1</v>
      </c>
      <c r="H270" s="49" t="str">
        <f t="shared" si="15"/>
        <v>f</v>
      </c>
      <c r="I270" s="50" t="s">
        <v>568</v>
      </c>
      <c r="J270" s="6" t="str">
        <f t="shared" si="16"/>
        <v>Apply knowledge of organizational behavior relavant to MGTE.</v>
      </c>
    </row>
    <row r="271" spans="1:10" x14ac:dyDescent="0.2">
      <c r="A271" s="41" t="s">
        <v>97</v>
      </c>
      <c r="B271" s="26" t="s">
        <v>88</v>
      </c>
      <c r="C271" s="26" t="s">
        <v>54</v>
      </c>
      <c r="D271" s="26"/>
      <c r="E271" s="27" t="s">
        <v>328</v>
      </c>
      <c r="F271" s="28" t="s">
        <v>270</v>
      </c>
      <c r="G271" s="49" t="str">
        <f t="shared" si="14"/>
        <v>1</v>
      </c>
      <c r="H271" s="49" t="str">
        <f t="shared" si="15"/>
        <v>f</v>
      </c>
      <c r="I271" s="50" t="s">
        <v>568</v>
      </c>
      <c r="J271" s="6" t="str">
        <f t="shared" si="16"/>
        <v>Apply knowledge of organizational behavior relavant to MGTE.</v>
      </c>
    </row>
    <row r="272" spans="1:10" ht="30" x14ac:dyDescent="0.2">
      <c r="A272" s="41" t="s">
        <v>94</v>
      </c>
      <c r="B272" s="26" t="s">
        <v>95</v>
      </c>
      <c r="C272" s="26" t="s">
        <v>53</v>
      </c>
      <c r="D272" s="26" t="s">
        <v>96</v>
      </c>
      <c r="E272" s="27" t="s">
        <v>310</v>
      </c>
      <c r="F272" s="28" t="s">
        <v>270</v>
      </c>
      <c r="G272" s="49" t="str">
        <f t="shared" si="14"/>
        <v>1</v>
      </c>
      <c r="H272" s="49" t="str">
        <f t="shared" si="15"/>
        <v>f</v>
      </c>
      <c r="I272" s="50" t="s">
        <v>568</v>
      </c>
      <c r="J272" s="6" t="str">
        <f t="shared" si="16"/>
        <v>Apply knowledge of organizational behavior relavant to MGTE.</v>
      </c>
    </row>
    <row r="273" spans="1:10" x14ac:dyDescent="0.2">
      <c r="A273" s="41" t="s">
        <v>123</v>
      </c>
      <c r="B273" s="26" t="s">
        <v>95</v>
      </c>
      <c r="C273" s="26" t="s">
        <v>53</v>
      </c>
      <c r="D273" s="26" t="s">
        <v>106</v>
      </c>
      <c r="E273" s="27" t="s">
        <v>352</v>
      </c>
      <c r="F273" s="28" t="s">
        <v>270</v>
      </c>
      <c r="G273" s="49" t="str">
        <f t="shared" si="14"/>
        <v>1</v>
      </c>
      <c r="H273" s="49" t="str">
        <f t="shared" si="15"/>
        <v>d</v>
      </c>
      <c r="I273" s="50" t="s">
        <v>562</v>
      </c>
      <c r="J273" s="6" t="str">
        <f t="shared" si="16"/>
        <v>Apply knowledge of operations research relavant to MGTE.</v>
      </c>
    </row>
    <row r="274" spans="1:10" x14ac:dyDescent="0.2">
      <c r="A274" s="40" t="s">
        <v>239</v>
      </c>
      <c r="B274" s="23" t="s">
        <v>88</v>
      </c>
      <c r="C274" s="23" t="s">
        <v>54</v>
      </c>
      <c r="D274" s="23" t="s">
        <v>148</v>
      </c>
      <c r="E274" s="27" t="s">
        <v>346</v>
      </c>
      <c r="F274" s="24" t="s">
        <v>270</v>
      </c>
      <c r="G274" s="49" t="str">
        <f t="shared" si="14"/>
        <v>1</v>
      </c>
      <c r="H274" s="49" t="str">
        <f t="shared" si="15"/>
        <v>e</v>
      </c>
      <c r="I274" s="25" t="s">
        <v>566</v>
      </c>
      <c r="J274" s="6" t="str">
        <f t="shared" si="16"/>
        <v>Apply knowledge of information system relavant to MGTE.</v>
      </c>
    </row>
    <row r="275" spans="1:10" x14ac:dyDescent="0.2">
      <c r="A275" s="41" t="s">
        <v>239</v>
      </c>
      <c r="B275" s="26" t="s">
        <v>88</v>
      </c>
      <c r="C275" s="26" t="s">
        <v>54</v>
      </c>
      <c r="D275" s="26" t="s">
        <v>148</v>
      </c>
      <c r="E275" s="27" t="s">
        <v>345</v>
      </c>
      <c r="F275" s="28" t="s">
        <v>270</v>
      </c>
      <c r="G275" s="49" t="str">
        <f t="shared" si="14"/>
        <v>1</v>
      </c>
      <c r="H275" s="49" t="str">
        <f t="shared" si="15"/>
        <v>f</v>
      </c>
      <c r="I275" s="50" t="s">
        <v>568</v>
      </c>
      <c r="J275" s="6" t="str">
        <f t="shared" si="16"/>
        <v>Apply knowledge of organizational behavior relavant to MGTE.</v>
      </c>
    </row>
    <row r="276" spans="1:10" x14ac:dyDescent="0.2">
      <c r="A276" s="41" t="s">
        <v>123</v>
      </c>
      <c r="B276" s="26" t="s">
        <v>95</v>
      </c>
      <c r="C276" s="26" t="s">
        <v>53</v>
      </c>
      <c r="D276" s="26" t="s">
        <v>106</v>
      </c>
      <c r="E276" s="27" t="s">
        <v>356</v>
      </c>
      <c r="F276" s="28" t="s">
        <v>270</v>
      </c>
      <c r="G276" s="49" t="str">
        <f t="shared" si="14"/>
        <v>1</v>
      </c>
      <c r="H276" s="49" t="str">
        <f t="shared" si="15"/>
        <v>d</v>
      </c>
      <c r="I276" s="50" t="s">
        <v>562</v>
      </c>
      <c r="J276" s="6" t="str">
        <f t="shared" si="16"/>
        <v>Apply knowledge of operations research relavant to MGTE.</v>
      </c>
    </row>
    <row r="277" spans="1:10" x14ac:dyDescent="0.2">
      <c r="A277" s="41" t="s">
        <v>228</v>
      </c>
      <c r="B277" s="26" t="s">
        <v>95</v>
      </c>
      <c r="C277" s="26" t="s">
        <v>54</v>
      </c>
      <c r="D277" s="26" t="s">
        <v>106</v>
      </c>
      <c r="E277" s="27" t="s">
        <v>368</v>
      </c>
      <c r="F277" s="28" t="s">
        <v>270</v>
      </c>
      <c r="G277" s="49" t="str">
        <f t="shared" si="14"/>
        <v>1</v>
      </c>
      <c r="H277" s="49" t="str">
        <f t="shared" si="15"/>
        <v>e</v>
      </c>
      <c r="I277" s="50" t="s">
        <v>566</v>
      </c>
      <c r="J277" s="6" t="str">
        <f t="shared" si="16"/>
        <v>Apply knowledge of information system relavant to MGTE.</v>
      </c>
    </row>
    <row r="278" spans="1:10" x14ac:dyDescent="0.2">
      <c r="A278" s="41" t="s">
        <v>272</v>
      </c>
      <c r="B278" s="26" t="s">
        <v>88</v>
      </c>
      <c r="C278" s="26" t="s">
        <v>53</v>
      </c>
      <c r="D278" s="26" t="s">
        <v>89</v>
      </c>
      <c r="E278" s="27" t="s">
        <v>273</v>
      </c>
      <c r="F278" s="28" t="s">
        <v>270</v>
      </c>
      <c r="G278" s="49" t="str">
        <f t="shared" si="14"/>
        <v>1</v>
      </c>
      <c r="H278" s="49" t="str">
        <f t="shared" si="15"/>
        <v>a</v>
      </c>
      <c r="I278" s="50" t="s">
        <v>555</v>
      </c>
      <c r="J278" s="6" t="str">
        <f t="shared" si="16"/>
        <v>Explain knowledge of mathematics relavant to MGTE.</v>
      </c>
    </row>
    <row r="279" spans="1:10" x14ac:dyDescent="0.2">
      <c r="A279" s="40" t="s">
        <v>155</v>
      </c>
      <c r="B279" s="23" t="s">
        <v>92</v>
      </c>
      <c r="C279" s="23" t="s">
        <v>53</v>
      </c>
      <c r="D279" s="23" t="s">
        <v>93</v>
      </c>
      <c r="E279" s="27" t="s">
        <v>306</v>
      </c>
      <c r="F279" s="24" t="s">
        <v>270</v>
      </c>
      <c r="G279" s="49" t="str">
        <f t="shared" si="14"/>
        <v>1</v>
      </c>
      <c r="H279" s="49" t="str">
        <f t="shared" si="15"/>
        <v>d</v>
      </c>
      <c r="I279" s="25" t="s">
        <v>562</v>
      </c>
      <c r="J279" s="6" t="str">
        <f t="shared" si="16"/>
        <v>Apply knowledge of operations research relavant to MGTE.</v>
      </c>
    </row>
    <row r="280" spans="1:10" ht="30" x14ac:dyDescent="0.2">
      <c r="A280" s="40" t="s">
        <v>282</v>
      </c>
      <c r="B280" s="23" t="s">
        <v>92</v>
      </c>
      <c r="C280" s="23" t="s">
        <v>53</v>
      </c>
      <c r="D280" s="23" t="s">
        <v>89</v>
      </c>
      <c r="E280" s="27" t="s">
        <v>283</v>
      </c>
      <c r="F280" s="24" t="s">
        <v>270</v>
      </c>
      <c r="G280" s="49" t="str">
        <f t="shared" si="14"/>
        <v>1</v>
      </c>
      <c r="H280" s="49" t="str">
        <f t="shared" si="15"/>
        <v>a</v>
      </c>
      <c r="I280" s="25" t="s">
        <v>555</v>
      </c>
      <c r="J280" s="6" t="str">
        <f t="shared" si="16"/>
        <v>Explain knowledge of mathematics relavant to MGTE.</v>
      </c>
    </row>
    <row r="281" spans="1:10" ht="30" x14ac:dyDescent="0.2">
      <c r="A281" s="41" t="s">
        <v>282</v>
      </c>
      <c r="B281" s="26" t="s">
        <v>92</v>
      </c>
      <c r="C281" s="26" t="s">
        <v>53</v>
      </c>
      <c r="D281" s="26" t="s">
        <v>89</v>
      </c>
      <c r="E281" s="27" t="s">
        <v>284</v>
      </c>
      <c r="F281" s="28" t="s">
        <v>270</v>
      </c>
      <c r="G281" s="49" t="str">
        <f t="shared" si="14"/>
        <v>1</v>
      </c>
      <c r="H281" s="49" t="str">
        <f t="shared" si="15"/>
        <v>a</v>
      </c>
      <c r="I281" s="50" t="s">
        <v>555</v>
      </c>
      <c r="J281" s="6" t="str">
        <f t="shared" si="16"/>
        <v>Explain knowledge of mathematics relavant to MGTE.</v>
      </c>
    </row>
    <row r="282" spans="1:10" x14ac:dyDescent="0.2">
      <c r="A282" s="40" t="s">
        <v>239</v>
      </c>
      <c r="B282" s="23" t="s">
        <v>88</v>
      </c>
      <c r="C282" s="23" t="s">
        <v>54</v>
      </c>
      <c r="D282" s="23" t="s">
        <v>148</v>
      </c>
      <c r="E282" s="27" t="s">
        <v>344</v>
      </c>
      <c r="F282" s="24" t="s">
        <v>270</v>
      </c>
      <c r="G282" s="49" t="str">
        <f t="shared" si="14"/>
        <v>1</v>
      </c>
      <c r="H282" s="49" t="str">
        <f t="shared" si="15"/>
        <v>e</v>
      </c>
      <c r="I282" s="25" t="s">
        <v>566</v>
      </c>
      <c r="J282" s="6" t="str">
        <f t="shared" si="16"/>
        <v>Apply knowledge of information system relavant to MGTE.</v>
      </c>
    </row>
    <row r="283" spans="1:10" ht="30" x14ac:dyDescent="0.2">
      <c r="A283" s="41" t="s">
        <v>200</v>
      </c>
      <c r="B283" s="26" t="s">
        <v>88</v>
      </c>
      <c r="C283" s="26" t="s">
        <v>53</v>
      </c>
      <c r="D283" s="26" t="s">
        <v>56</v>
      </c>
      <c r="E283" s="27" t="s">
        <v>294</v>
      </c>
      <c r="F283" s="28" t="s">
        <v>270</v>
      </c>
      <c r="G283" s="49" t="str">
        <f t="shared" si="14"/>
        <v>1</v>
      </c>
      <c r="H283" s="49" t="str">
        <f t="shared" si="15"/>
        <v>c</v>
      </c>
      <c r="I283" s="50" t="s">
        <v>560</v>
      </c>
      <c r="J283" s="6" t="str">
        <f t="shared" si="16"/>
        <v>Identify knowledge of engineering fundamentals.</v>
      </c>
    </row>
    <row r="284" spans="1:10" x14ac:dyDescent="0.2">
      <c r="A284" s="40" t="s">
        <v>200</v>
      </c>
      <c r="B284" s="23" t="s">
        <v>88</v>
      </c>
      <c r="C284" s="23" t="s">
        <v>53</v>
      </c>
      <c r="D284" s="23" t="s">
        <v>56</v>
      </c>
      <c r="E284" s="27" t="s">
        <v>295</v>
      </c>
      <c r="F284" s="24" t="s">
        <v>270</v>
      </c>
      <c r="G284" s="49" t="str">
        <f t="shared" si="14"/>
        <v>1</v>
      </c>
      <c r="H284" s="49" t="str">
        <f t="shared" si="15"/>
        <v>c</v>
      </c>
      <c r="I284" s="25" t="s">
        <v>560</v>
      </c>
      <c r="J284" s="6" t="str">
        <f t="shared" si="16"/>
        <v>Identify knowledge of engineering fundamentals.</v>
      </c>
    </row>
    <row r="285" spans="1:10" ht="30" x14ac:dyDescent="0.2">
      <c r="A285" s="41" t="s">
        <v>249</v>
      </c>
      <c r="B285" s="26" t="s">
        <v>88</v>
      </c>
      <c r="C285" s="26" t="s">
        <v>53</v>
      </c>
      <c r="D285" s="26" t="s">
        <v>56</v>
      </c>
      <c r="E285" s="27" t="s">
        <v>311</v>
      </c>
      <c r="F285" s="28" t="s">
        <v>270</v>
      </c>
      <c r="G285" s="49" t="str">
        <f t="shared" si="14"/>
        <v>1</v>
      </c>
      <c r="H285" s="49" t="str">
        <f t="shared" si="15"/>
        <v>e</v>
      </c>
      <c r="I285" s="50" t="s">
        <v>566</v>
      </c>
      <c r="J285" s="6" t="str">
        <f t="shared" si="16"/>
        <v>Apply knowledge of information system relavant to MGTE.</v>
      </c>
    </row>
    <row r="286" spans="1:10" ht="30" x14ac:dyDescent="0.2">
      <c r="A286" s="41" t="s">
        <v>278</v>
      </c>
      <c r="B286" s="26" t="s">
        <v>88</v>
      </c>
      <c r="C286" s="26" t="s">
        <v>53</v>
      </c>
      <c r="D286" s="26" t="s">
        <v>89</v>
      </c>
      <c r="E286" s="27" t="s">
        <v>279</v>
      </c>
      <c r="F286" s="28" t="s">
        <v>270</v>
      </c>
      <c r="G286" s="49" t="str">
        <f t="shared" si="14"/>
        <v>1</v>
      </c>
      <c r="H286" s="49" t="str">
        <f t="shared" si="15"/>
        <v>a</v>
      </c>
      <c r="I286" s="50" t="s">
        <v>555</v>
      </c>
      <c r="J286" s="6" t="str">
        <f t="shared" si="16"/>
        <v>Explain knowledge of mathematics relavant to MGTE.</v>
      </c>
    </row>
    <row r="287" spans="1:10" ht="30" x14ac:dyDescent="0.2">
      <c r="A287" s="40" t="s">
        <v>278</v>
      </c>
      <c r="B287" s="23" t="s">
        <v>88</v>
      </c>
      <c r="C287" s="23" t="s">
        <v>53</v>
      </c>
      <c r="D287" s="23" t="s">
        <v>89</v>
      </c>
      <c r="E287" s="27" t="s">
        <v>280</v>
      </c>
      <c r="F287" s="24" t="s">
        <v>270</v>
      </c>
      <c r="G287" s="49" t="str">
        <f t="shared" si="14"/>
        <v>1</v>
      </c>
      <c r="H287" s="49" t="str">
        <f t="shared" si="15"/>
        <v>a</v>
      </c>
      <c r="I287" s="25" t="s">
        <v>555</v>
      </c>
      <c r="J287" s="6" t="str">
        <f t="shared" si="16"/>
        <v>Explain knowledge of mathematics relavant to MGTE.</v>
      </c>
    </row>
    <row r="288" spans="1:10" x14ac:dyDescent="0.2">
      <c r="A288" s="41" t="s">
        <v>278</v>
      </c>
      <c r="B288" s="26" t="s">
        <v>88</v>
      </c>
      <c r="C288" s="26" t="s">
        <v>53</v>
      </c>
      <c r="D288" s="26" t="s">
        <v>89</v>
      </c>
      <c r="E288" s="27" t="s">
        <v>281</v>
      </c>
      <c r="F288" s="28" t="s">
        <v>270</v>
      </c>
      <c r="G288" s="49" t="str">
        <f t="shared" si="14"/>
        <v>1</v>
      </c>
      <c r="H288" s="49" t="str">
        <f t="shared" si="15"/>
        <v>a</v>
      </c>
      <c r="I288" s="50" t="s">
        <v>555</v>
      </c>
      <c r="J288" s="6" t="str">
        <f t="shared" si="16"/>
        <v>Explain knowledge of mathematics relavant to MGTE.</v>
      </c>
    </row>
    <row r="289" spans="1:10" x14ac:dyDescent="0.2">
      <c r="A289" s="40" t="s">
        <v>91</v>
      </c>
      <c r="B289" s="23" t="s">
        <v>92</v>
      </c>
      <c r="C289" s="23" t="s">
        <v>53</v>
      </c>
      <c r="D289" s="23" t="s">
        <v>93</v>
      </c>
      <c r="E289" s="27" t="s">
        <v>304</v>
      </c>
      <c r="F289" s="24" t="s">
        <v>270</v>
      </c>
      <c r="G289" s="49" t="str">
        <f t="shared" si="14"/>
        <v>1</v>
      </c>
      <c r="H289" s="49" t="str">
        <f t="shared" si="15"/>
        <v>e</v>
      </c>
      <c r="I289" s="25" t="s">
        <v>566</v>
      </c>
      <c r="J289" s="6" t="str">
        <f t="shared" si="16"/>
        <v>Apply knowledge of information system relavant to MGTE.</v>
      </c>
    </row>
    <row r="290" spans="1:10" x14ac:dyDescent="0.2">
      <c r="A290" s="41" t="s">
        <v>268</v>
      </c>
      <c r="B290" s="26" t="s">
        <v>88</v>
      </c>
      <c r="C290" s="26" t="s">
        <v>53</v>
      </c>
      <c r="D290" s="26" t="s">
        <v>89</v>
      </c>
      <c r="E290" s="27" t="s">
        <v>271</v>
      </c>
      <c r="F290" s="28" t="s">
        <v>270</v>
      </c>
      <c r="G290" s="49" t="str">
        <f t="shared" si="14"/>
        <v>1</v>
      </c>
      <c r="H290" s="49" t="str">
        <f t="shared" si="15"/>
        <v>b</v>
      </c>
      <c r="I290" s="50" t="s">
        <v>558</v>
      </c>
      <c r="J290" s="6" t="str">
        <f t="shared" si="16"/>
        <v>Explain knowledge of natural sceinces relavant to engineering.</v>
      </c>
    </row>
    <row r="291" spans="1:10" x14ac:dyDescent="0.2">
      <c r="A291" s="41" t="s">
        <v>105</v>
      </c>
      <c r="B291" s="26" t="s">
        <v>95</v>
      </c>
      <c r="C291" s="26" t="s">
        <v>53</v>
      </c>
      <c r="D291" s="26" t="s">
        <v>106</v>
      </c>
      <c r="E291" s="27" t="s">
        <v>388</v>
      </c>
      <c r="F291" s="28" t="s">
        <v>384</v>
      </c>
      <c r="G291" s="49" t="str">
        <f t="shared" si="14"/>
        <v>1</v>
      </c>
      <c r="H291" s="49" t="str">
        <f t="shared" si="15"/>
        <v>a</v>
      </c>
      <c r="I291" s="25" t="s">
        <v>634</v>
      </c>
      <c r="J291" s="6" t="str">
        <f t="shared" si="16"/>
        <v>Identify what is known and what is unknown to be able to adapt to new circumstances.</v>
      </c>
    </row>
    <row r="292" spans="1:10" x14ac:dyDescent="0.2">
      <c r="A292" s="40" t="s">
        <v>111</v>
      </c>
      <c r="B292" s="23" t="s">
        <v>92</v>
      </c>
      <c r="C292" s="23" t="s">
        <v>53</v>
      </c>
      <c r="D292" s="23" t="s">
        <v>112</v>
      </c>
      <c r="E292" s="27" t="s">
        <v>388</v>
      </c>
      <c r="F292" s="24" t="s">
        <v>384</v>
      </c>
      <c r="G292" s="49" t="str">
        <f t="shared" si="14"/>
        <v>1</v>
      </c>
      <c r="H292" s="49" t="str">
        <f t="shared" si="15"/>
        <v>a</v>
      </c>
      <c r="I292" s="25" t="s">
        <v>634</v>
      </c>
      <c r="J292" s="6" t="str">
        <f t="shared" si="16"/>
        <v>Identify what is known and what is unknown to be able to adapt to new circumstances.</v>
      </c>
    </row>
    <row r="293" spans="1:10" x14ac:dyDescent="0.2">
      <c r="A293" s="41" t="s">
        <v>105</v>
      </c>
      <c r="B293" s="26" t="s">
        <v>95</v>
      </c>
      <c r="C293" s="26" t="s">
        <v>53</v>
      </c>
      <c r="D293" s="26" t="s">
        <v>106</v>
      </c>
      <c r="E293" s="27" t="s">
        <v>386</v>
      </c>
      <c r="F293" s="28" t="s">
        <v>384</v>
      </c>
      <c r="G293" s="49" t="str">
        <f t="shared" si="14"/>
        <v>1</v>
      </c>
      <c r="H293" s="49" t="str">
        <f t="shared" si="15"/>
        <v>b</v>
      </c>
      <c r="I293" s="25" t="s">
        <v>637</v>
      </c>
      <c r="J293" s="6" t="str">
        <f t="shared" si="16"/>
        <v>Find/ search for new info using current methods/ tools.</v>
      </c>
    </row>
    <row r="294" spans="1:10" x14ac:dyDescent="0.2">
      <c r="A294" s="40" t="s">
        <v>111</v>
      </c>
      <c r="B294" s="23" t="s">
        <v>92</v>
      </c>
      <c r="C294" s="23" t="s">
        <v>53</v>
      </c>
      <c r="D294" s="23" t="s">
        <v>112</v>
      </c>
      <c r="E294" s="27" t="s">
        <v>386</v>
      </c>
      <c r="F294" s="24" t="s">
        <v>384</v>
      </c>
      <c r="G294" s="49" t="str">
        <f t="shared" si="14"/>
        <v>1</v>
      </c>
      <c r="H294" s="49" t="str">
        <f t="shared" si="15"/>
        <v>b</v>
      </c>
      <c r="I294" s="25" t="s">
        <v>637</v>
      </c>
      <c r="J294" s="6" t="str">
        <f t="shared" si="16"/>
        <v>Find/ search for new info using current methods/ tools.</v>
      </c>
    </row>
    <row r="295" spans="1:10" x14ac:dyDescent="0.2">
      <c r="A295" s="41" t="s">
        <v>111</v>
      </c>
      <c r="B295" s="26" t="s">
        <v>92</v>
      </c>
      <c r="C295" s="26" t="s">
        <v>53</v>
      </c>
      <c r="D295" s="26" t="s">
        <v>112</v>
      </c>
      <c r="E295" s="27" t="s">
        <v>389</v>
      </c>
      <c r="F295" s="28" t="s">
        <v>384</v>
      </c>
      <c r="G295" s="49" t="str">
        <f t="shared" si="14"/>
        <v>1</v>
      </c>
      <c r="H295" s="49" t="str">
        <f t="shared" si="15"/>
        <v>c</v>
      </c>
      <c r="I295" s="25" t="s">
        <v>640</v>
      </c>
      <c r="J295" s="6" t="str">
        <f t="shared" si="16"/>
        <v>Evaluate effectiveness of knowledge application.</v>
      </c>
    </row>
    <row r="296" spans="1:10" x14ac:dyDescent="0.2">
      <c r="A296" s="40" t="s">
        <v>105</v>
      </c>
      <c r="B296" s="23" t="s">
        <v>95</v>
      </c>
      <c r="C296" s="23" t="s">
        <v>53</v>
      </c>
      <c r="D296" s="23" t="s">
        <v>106</v>
      </c>
      <c r="E296" s="27" t="s">
        <v>387</v>
      </c>
      <c r="F296" s="24" t="s">
        <v>384</v>
      </c>
      <c r="G296" s="49" t="str">
        <f t="shared" si="14"/>
        <v>1</v>
      </c>
      <c r="H296" s="49" t="str">
        <f t="shared" si="15"/>
        <v>c</v>
      </c>
      <c r="I296" s="25" t="s">
        <v>640</v>
      </c>
      <c r="J296" s="6" t="str">
        <f t="shared" si="16"/>
        <v>Evaluate effectiveness of knowledge application.</v>
      </c>
    </row>
    <row r="297" spans="1:10" x14ac:dyDescent="0.2">
      <c r="A297" s="40" t="s">
        <v>105</v>
      </c>
      <c r="B297" s="23" t="s">
        <v>95</v>
      </c>
      <c r="C297" s="23" t="s">
        <v>53</v>
      </c>
      <c r="D297" s="23" t="s">
        <v>106</v>
      </c>
      <c r="E297" s="27" t="s">
        <v>385</v>
      </c>
      <c r="F297" s="24" t="s">
        <v>384</v>
      </c>
      <c r="G297" s="49" t="str">
        <f t="shared" si="14"/>
        <v>1</v>
      </c>
      <c r="H297" s="49" t="str">
        <f t="shared" si="15"/>
        <v>a</v>
      </c>
      <c r="I297" s="25" t="s">
        <v>634</v>
      </c>
      <c r="J297" s="6" t="str">
        <f t="shared" si="16"/>
        <v>Identify what is known and what is unknown to be able to adapt to new circumstances.</v>
      </c>
    </row>
    <row r="298" spans="1:10" x14ac:dyDescent="0.2">
      <c r="A298" s="41" t="s">
        <v>111</v>
      </c>
      <c r="B298" s="26" t="s">
        <v>92</v>
      </c>
      <c r="C298" s="26" t="s">
        <v>53</v>
      </c>
      <c r="D298" s="26" t="s">
        <v>112</v>
      </c>
      <c r="E298" s="27" t="s">
        <v>385</v>
      </c>
      <c r="F298" s="28" t="s">
        <v>384</v>
      </c>
      <c r="G298" s="49" t="str">
        <f t="shared" si="14"/>
        <v>1</v>
      </c>
      <c r="H298" s="49" t="str">
        <f t="shared" si="15"/>
        <v>a</v>
      </c>
      <c r="I298" s="50" t="s">
        <v>634</v>
      </c>
      <c r="J298" s="6" t="str">
        <f t="shared" si="16"/>
        <v>Identify what is known and what is unknown to be able to adapt to new circumstances.</v>
      </c>
    </row>
    <row r="299" spans="1:10" x14ac:dyDescent="0.2">
      <c r="A299" s="41" t="s">
        <v>87</v>
      </c>
      <c r="B299" s="26" t="s">
        <v>88</v>
      </c>
      <c r="C299" s="26" t="s">
        <v>53</v>
      </c>
      <c r="D299" s="26" t="s">
        <v>89</v>
      </c>
      <c r="E299" s="27" t="s">
        <v>383</v>
      </c>
      <c r="F299" s="28" t="s">
        <v>384</v>
      </c>
      <c r="G299" s="49" t="str">
        <f t="shared" si="14"/>
        <v>1</v>
      </c>
      <c r="H299" s="49" t="str">
        <f t="shared" si="15"/>
        <v>a</v>
      </c>
      <c r="I299" s="50" t="s">
        <v>634</v>
      </c>
      <c r="J299" s="6" t="str">
        <f t="shared" si="16"/>
        <v>Identify what is known and what is unknown to be able to adapt to new circumstances.</v>
      </c>
    </row>
    <row r="300" spans="1:10" x14ac:dyDescent="0.2">
      <c r="A300" s="41" t="s">
        <v>249</v>
      </c>
      <c r="B300" s="26" t="s">
        <v>88</v>
      </c>
      <c r="C300" s="26" t="s">
        <v>53</v>
      </c>
      <c r="D300" s="26" t="s">
        <v>56</v>
      </c>
      <c r="E300" s="27" t="s">
        <v>415</v>
      </c>
      <c r="F300" s="28" t="s">
        <v>59</v>
      </c>
      <c r="G300" s="49" t="str">
        <f t="shared" si="14"/>
        <v>2</v>
      </c>
      <c r="H300" s="49" t="str">
        <f t="shared" si="15"/>
        <v>c</v>
      </c>
      <c r="I300" s="25" t="s">
        <v>576</v>
      </c>
      <c r="J300" s="6" t="str">
        <f t="shared" si="16"/>
        <v>Investigate various alternatives of a framework, model and solution.</v>
      </c>
    </row>
    <row r="301" spans="1:10" ht="30" x14ac:dyDescent="0.2">
      <c r="A301" s="41" t="s">
        <v>120</v>
      </c>
      <c r="B301" s="26" t="s">
        <v>92</v>
      </c>
      <c r="C301" s="26" t="s">
        <v>54</v>
      </c>
      <c r="D301" s="26" t="s">
        <v>112</v>
      </c>
      <c r="E301" s="27" t="s">
        <v>449</v>
      </c>
      <c r="F301" s="28" t="s">
        <v>59</v>
      </c>
      <c r="G301" s="49" t="str">
        <f t="shared" si="14"/>
        <v>2</v>
      </c>
      <c r="H301" s="49" t="str">
        <f t="shared" si="15"/>
        <v>c</v>
      </c>
      <c r="I301" s="25" t="s">
        <v>576</v>
      </c>
      <c r="J301" s="6" t="str">
        <f t="shared" si="16"/>
        <v>Investigate various alternatives of a framework, model and solution.</v>
      </c>
    </row>
    <row r="302" spans="1:10" x14ac:dyDescent="0.2">
      <c r="A302" s="40" t="s">
        <v>378</v>
      </c>
      <c r="B302" s="23" t="s">
        <v>92</v>
      </c>
      <c r="C302" s="23" t="s">
        <v>53</v>
      </c>
      <c r="D302" s="23" t="s">
        <v>93</v>
      </c>
      <c r="E302" s="27" t="s">
        <v>476</v>
      </c>
      <c r="F302" s="24" t="s">
        <v>59</v>
      </c>
      <c r="G302" s="49" t="str">
        <f t="shared" si="14"/>
        <v>2</v>
      </c>
      <c r="H302" s="49" t="str">
        <f t="shared" si="15"/>
        <v>c</v>
      </c>
      <c r="I302" s="25" t="s">
        <v>576</v>
      </c>
      <c r="J302" s="6" t="str">
        <f t="shared" si="16"/>
        <v>Investigate various alternatives of a framework, model and solution.</v>
      </c>
    </row>
    <row r="303" spans="1:10" x14ac:dyDescent="0.2">
      <c r="A303" s="41" t="s">
        <v>155</v>
      </c>
      <c r="B303" s="26" t="s">
        <v>92</v>
      </c>
      <c r="C303" s="26" t="s">
        <v>53</v>
      </c>
      <c r="D303" s="26" t="s">
        <v>93</v>
      </c>
      <c r="E303" s="27" t="s">
        <v>411</v>
      </c>
      <c r="F303" s="28" t="s">
        <v>59</v>
      </c>
      <c r="G303" s="49" t="str">
        <f t="shared" si="14"/>
        <v>2</v>
      </c>
      <c r="H303" s="49" t="str">
        <f t="shared" si="15"/>
        <v>c</v>
      </c>
      <c r="I303" s="25" t="s">
        <v>576</v>
      </c>
      <c r="J303" s="6" t="str">
        <f t="shared" si="16"/>
        <v>Investigate various alternatives of a framework, model and solution.</v>
      </c>
    </row>
    <row r="304" spans="1:10" ht="30" x14ac:dyDescent="0.2">
      <c r="A304" s="41" t="s">
        <v>187</v>
      </c>
      <c r="B304" s="26" t="s">
        <v>95</v>
      </c>
      <c r="C304" s="26" t="s">
        <v>53</v>
      </c>
      <c r="D304" s="26" t="s">
        <v>96</v>
      </c>
      <c r="E304" s="27" t="s">
        <v>424</v>
      </c>
      <c r="F304" s="28" t="s">
        <v>59</v>
      </c>
      <c r="G304" s="49" t="str">
        <f t="shared" si="14"/>
        <v>2</v>
      </c>
      <c r="H304" s="49" t="str">
        <f t="shared" si="15"/>
        <v>c</v>
      </c>
      <c r="I304" s="25" t="s">
        <v>576</v>
      </c>
      <c r="J304" s="6" t="str">
        <f t="shared" si="16"/>
        <v>Investigate various alternatives of a framework, model and solution.</v>
      </c>
    </row>
    <row r="305" spans="1:10" x14ac:dyDescent="0.2">
      <c r="A305" s="41" t="s">
        <v>187</v>
      </c>
      <c r="B305" s="26" t="s">
        <v>95</v>
      </c>
      <c r="C305" s="26" t="s">
        <v>53</v>
      </c>
      <c r="D305" s="26" t="s">
        <v>96</v>
      </c>
      <c r="E305" s="27" t="s">
        <v>422</v>
      </c>
      <c r="F305" s="28" t="s">
        <v>59</v>
      </c>
      <c r="G305" s="49" t="str">
        <f t="shared" si="14"/>
        <v>2</v>
      </c>
      <c r="H305" s="49" t="str">
        <f t="shared" si="15"/>
        <v>c</v>
      </c>
      <c r="I305" s="25" t="s">
        <v>576</v>
      </c>
      <c r="J305" s="6" t="str">
        <f t="shared" si="16"/>
        <v>Investigate various alternatives of a framework, model and solution.</v>
      </c>
    </row>
    <row r="306" spans="1:10" ht="30" x14ac:dyDescent="0.2">
      <c r="A306" s="41" t="s">
        <v>375</v>
      </c>
      <c r="B306" s="26" t="s">
        <v>92</v>
      </c>
      <c r="C306" s="26" t="s">
        <v>54</v>
      </c>
      <c r="D306" s="26" t="s">
        <v>112</v>
      </c>
      <c r="E306" s="27" t="s">
        <v>473</v>
      </c>
      <c r="F306" s="28" t="s">
        <v>59</v>
      </c>
      <c r="G306" s="49" t="str">
        <f t="shared" si="14"/>
        <v>2</v>
      </c>
      <c r="H306" s="49" t="str">
        <f t="shared" si="15"/>
        <v>c</v>
      </c>
      <c r="I306" s="25" t="s">
        <v>576</v>
      </c>
      <c r="J306" s="6" t="str">
        <f t="shared" si="16"/>
        <v>Investigate various alternatives of a framework, model and solution.</v>
      </c>
    </row>
    <row r="307" spans="1:10" x14ac:dyDescent="0.2">
      <c r="A307" s="40" t="s">
        <v>142</v>
      </c>
      <c r="B307" s="23" t="s">
        <v>92</v>
      </c>
      <c r="C307" s="23" t="s">
        <v>53</v>
      </c>
      <c r="D307" s="23" t="s">
        <v>98</v>
      </c>
      <c r="E307" s="27" t="s">
        <v>479</v>
      </c>
      <c r="F307" s="24" t="s">
        <v>59</v>
      </c>
      <c r="G307" s="49" t="str">
        <f t="shared" si="14"/>
        <v>2</v>
      </c>
      <c r="H307" s="49" t="str">
        <f t="shared" si="15"/>
        <v>c</v>
      </c>
      <c r="I307" s="25" t="s">
        <v>576</v>
      </c>
      <c r="J307" s="6" t="str">
        <f t="shared" si="16"/>
        <v>Investigate various alternatives of a framework, model and solution.</v>
      </c>
    </row>
    <row r="308" spans="1:10" x14ac:dyDescent="0.2">
      <c r="A308" s="41" t="s">
        <v>147</v>
      </c>
      <c r="B308" s="26" t="s">
        <v>88</v>
      </c>
      <c r="C308" s="26" t="s">
        <v>53</v>
      </c>
      <c r="D308" s="26" t="s">
        <v>148</v>
      </c>
      <c r="E308" s="27" t="s">
        <v>479</v>
      </c>
      <c r="F308" s="28" t="s">
        <v>59</v>
      </c>
      <c r="G308" s="49" t="str">
        <f t="shared" si="14"/>
        <v>2</v>
      </c>
      <c r="H308" s="49" t="str">
        <f t="shared" si="15"/>
        <v>c</v>
      </c>
      <c r="I308" s="25" t="s">
        <v>576</v>
      </c>
      <c r="J308" s="6" t="str">
        <f t="shared" si="16"/>
        <v>Investigate various alternatives of a framework, model and solution.</v>
      </c>
    </row>
    <row r="309" spans="1:10" x14ac:dyDescent="0.2">
      <c r="A309" s="41" t="s">
        <v>151</v>
      </c>
      <c r="B309" s="26" t="s">
        <v>95</v>
      </c>
      <c r="C309" s="26" t="s">
        <v>53</v>
      </c>
      <c r="D309" s="26" t="s">
        <v>106</v>
      </c>
      <c r="E309" s="27" t="s">
        <v>479</v>
      </c>
      <c r="F309" s="28" t="s">
        <v>59</v>
      </c>
      <c r="G309" s="49" t="str">
        <f t="shared" si="14"/>
        <v>2</v>
      </c>
      <c r="H309" s="49" t="str">
        <f t="shared" si="15"/>
        <v>c</v>
      </c>
      <c r="I309" s="25" t="s">
        <v>576</v>
      </c>
      <c r="J309" s="6" t="str">
        <f t="shared" si="16"/>
        <v>Investigate various alternatives of a framework, model and solution.</v>
      </c>
    </row>
    <row r="310" spans="1:10" x14ac:dyDescent="0.2">
      <c r="A310" s="41" t="s">
        <v>139</v>
      </c>
      <c r="B310" s="26" t="s">
        <v>92</v>
      </c>
      <c r="C310" s="26" t="s">
        <v>54</v>
      </c>
      <c r="D310" s="26" t="s">
        <v>112</v>
      </c>
      <c r="E310" s="27" t="s">
        <v>468</v>
      </c>
      <c r="F310" s="28" t="s">
        <v>59</v>
      </c>
      <c r="G310" s="49" t="str">
        <f t="shared" si="14"/>
        <v>2</v>
      </c>
      <c r="H310" s="49" t="str">
        <f t="shared" si="15"/>
        <v>c</v>
      </c>
      <c r="I310" s="25" t="s">
        <v>576</v>
      </c>
      <c r="J310" s="6" t="str">
        <f t="shared" si="16"/>
        <v>Investigate various alternatives of a framework, model and solution.</v>
      </c>
    </row>
    <row r="311" spans="1:10" x14ac:dyDescent="0.2">
      <c r="A311" s="40" t="s">
        <v>139</v>
      </c>
      <c r="B311" s="23" t="s">
        <v>92</v>
      </c>
      <c r="C311" s="23" t="s">
        <v>54</v>
      </c>
      <c r="D311" s="23" t="s">
        <v>112</v>
      </c>
      <c r="E311" s="27" t="s">
        <v>469</v>
      </c>
      <c r="F311" s="24" t="s">
        <v>59</v>
      </c>
      <c r="G311" s="49" t="str">
        <f t="shared" si="14"/>
        <v>2</v>
      </c>
      <c r="H311" s="49" t="str">
        <f t="shared" si="15"/>
        <v>c</v>
      </c>
      <c r="I311" s="25" t="s">
        <v>576</v>
      </c>
      <c r="J311" s="6" t="str">
        <f t="shared" si="16"/>
        <v>Investigate various alternatives of a framework, model and solution.</v>
      </c>
    </row>
    <row r="312" spans="1:10" ht="30" x14ac:dyDescent="0.2">
      <c r="A312" s="40" t="s">
        <v>164</v>
      </c>
      <c r="B312" s="23" t="s">
        <v>88</v>
      </c>
      <c r="C312" s="23" t="s">
        <v>53</v>
      </c>
      <c r="D312" s="23" t="s">
        <v>148</v>
      </c>
      <c r="E312" s="27" t="s">
        <v>439</v>
      </c>
      <c r="F312" s="24" t="s">
        <v>59</v>
      </c>
      <c r="G312" s="49" t="str">
        <f t="shared" si="14"/>
        <v>2</v>
      </c>
      <c r="H312" s="49" t="str">
        <f t="shared" si="15"/>
        <v>c</v>
      </c>
      <c r="I312" s="25" t="s">
        <v>576</v>
      </c>
      <c r="J312" s="6" t="str">
        <f t="shared" si="16"/>
        <v>Investigate various alternatives of a framework, model and solution.</v>
      </c>
    </row>
    <row r="313" spans="1:10" x14ac:dyDescent="0.2">
      <c r="A313" s="40" t="s">
        <v>139</v>
      </c>
      <c r="B313" s="23" t="s">
        <v>92</v>
      </c>
      <c r="C313" s="23" t="s">
        <v>54</v>
      </c>
      <c r="D313" s="23" t="s">
        <v>112</v>
      </c>
      <c r="E313" s="27" t="s">
        <v>467</v>
      </c>
      <c r="F313" s="24" t="s">
        <v>59</v>
      </c>
      <c r="G313" s="49" t="str">
        <f t="shared" si="14"/>
        <v>2</v>
      </c>
      <c r="H313" s="49" t="str">
        <f t="shared" si="15"/>
        <v>c</v>
      </c>
      <c r="I313" s="25" t="s">
        <v>576</v>
      </c>
      <c r="J313" s="6" t="str">
        <f t="shared" si="16"/>
        <v>Investigate various alternatives of a framework, model and solution.</v>
      </c>
    </row>
    <row r="314" spans="1:10" x14ac:dyDescent="0.2">
      <c r="A314" s="40" t="s">
        <v>375</v>
      </c>
      <c r="B314" s="23" t="s">
        <v>92</v>
      </c>
      <c r="C314" s="23" t="s">
        <v>54</v>
      </c>
      <c r="D314" s="23" t="s">
        <v>112</v>
      </c>
      <c r="E314" s="27" t="s">
        <v>474</v>
      </c>
      <c r="F314" s="24" t="s">
        <v>59</v>
      </c>
      <c r="G314" s="49" t="str">
        <f t="shared" si="14"/>
        <v>2</v>
      </c>
      <c r="H314" s="49" t="str">
        <f t="shared" si="15"/>
        <v>c</v>
      </c>
      <c r="I314" s="25" t="s">
        <v>576</v>
      </c>
      <c r="J314" s="6" t="str">
        <f t="shared" si="16"/>
        <v>Investigate various alternatives of a framework, model and solution.</v>
      </c>
    </row>
    <row r="315" spans="1:10" x14ac:dyDescent="0.2">
      <c r="A315" s="41" t="s">
        <v>239</v>
      </c>
      <c r="B315" s="26" t="s">
        <v>88</v>
      </c>
      <c r="C315" s="26" t="s">
        <v>54</v>
      </c>
      <c r="D315" s="26" t="s">
        <v>148</v>
      </c>
      <c r="E315" s="27" t="s">
        <v>446</v>
      </c>
      <c r="F315" s="28" t="s">
        <v>59</v>
      </c>
      <c r="G315" s="49" t="str">
        <f t="shared" si="14"/>
        <v>2</v>
      </c>
      <c r="H315" s="49" t="str">
        <f t="shared" si="15"/>
        <v>d</v>
      </c>
      <c r="I315" s="25" t="s">
        <v>578</v>
      </c>
      <c r="J315" s="6" t="str">
        <f t="shared" si="16"/>
        <v>Choose an appropriate method to determine the best/ optimal solution of a model.</v>
      </c>
    </row>
    <row r="316" spans="1:10" x14ac:dyDescent="0.2">
      <c r="A316" s="41" t="s">
        <v>186</v>
      </c>
      <c r="B316" s="26" t="s">
        <v>95</v>
      </c>
      <c r="C316" s="26" t="s">
        <v>54</v>
      </c>
      <c r="D316" s="26"/>
      <c r="E316" s="27" t="s">
        <v>421</v>
      </c>
      <c r="F316" s="28" t="s">
        <v>59</v>
      </c>
      <c r="G316" s="49" t="str">
        <f t="shared" si="14"/>
        <v>2</v>
      </c>
      <c r="H316" s="49" t="str">
        <f t="shared" si="15"/>
        <v>b</v>
      </c>
      <c r="I316" s="50" t="s">
        <v>574</v>
      </c>
      <c r="J316" s="6" t="str">
        <f t="shared" si="16"/>
        <v>Convert a problem into its abstract model equivalent.</v>
      </c>
    </row>
    <row r="317" spans="1:10" x14ac:dyDescent="0.2">
      <c r="A317" s="40" t="s">
        <v>272</v>
      </c>
      <c r="B317" s="23" t="s">
        <v>88</v>
      </c>
      <c r="C317" s="23" t="s">
        <v>53</v>
      </c>
      <c r="D317" s="23" t="s">
        <v>89</v>
      </c>
      <c r="E317" s="27" t="s">
        <v>395</v>
      </c>
      <c r="F317" s="24" t="s">
        <v>59</v>
      </c>
      <c r="G317" s="49" t="str">
        <f t="shared" si="14"/>
        <v>2</v>
      </c>
      <c r="H317" s="49" t="str">
        <f t="shared" si="15"/>
        <v>d</v>
      </c>
      <c r="I317" s="25" t="s">
        <v>578</v>
      </c>
      <c r="J317" s="6" t="str">
        <f t="shared" si="16"/>
        <v>Choose an appropriate method to determine the best/ optimal solution of a model.</v>
      </c>
    </row>
    <row r="318" spans="1:10" x14ac:dyDescent="0.2">
      <c r="A318" s="40" t="s">
        <v>180</v>
      </c>
      <c r="B318" s="23" t="s">
        <v>88</v>
      </c>
      <c r="C318" s="23" t="s">
        <v>54</v>
      </c>
      <c r="D318" s="23" t="s">
        <v>148</v>
      </c>
      <c r="E318" s="27" t="s">
        <v>464</v>
      </c>
      <c r="F318" s="24" t="s">
        <v>59</v>
      </c>
      <c r="G318" s="49" t="str">
        <f t="shared" si="14"/>
        <v>2</v>
      </c>
      <c r="H318" s="49" t="str">
        <f t="shared" si="15"/>
        <v>d</v>
      </c>
      <c r="I318" s="25" t="s">
        <v>578</v>
      </c>
      <c r="J318" s="6" t="str">
        <f t="shared" si="16"/>
        <v>Choose an appropriate method to determine the best/ optimal solution of a model.</v>
      </c>
    </row>
    <row r="319" spans="1:10" x14ac:dyDescent="0.2">
      <c r="A319" s="40" t="s">
        <v>194</v>
      </c>
      <c r="B319" s="23" t="s">
        <v>95</v>
      </c>
      <c r="C319" s="23" t="s">
        <v>53</v>
      </c>
      <c r="D319" s="23" t="s">
        <v>96</v>
      </c>
      <c r="E319" s="27" t="s">
        <v>397</v>
      </c>
      <c r="F319" s="24" t="s">
        <v>59</v>
      </c>
      <c r="G319" s="49" t="str">
        <f t="shared" si="14"/>
        <v>2</v>
      </c>
      <c r="H319" s="49" t="str">
        <f t="shared" si="15"/>
        <v>c</v>
      </c>
      <c r="I319" s="25" t="s">
        <v>576</v>
      </c>
      <c r="J319" s="6" t="str">
        <f t="shared" si="16"/>
        <v>Investigate various alternatives of a framework, model and solution.</v>
      </c>
    </row>
    <row r="320" spans="1:10" ht="30" x14ac:dyDescent="0.2">
      <c r="A320" s="40" t="s">
        <v>94</v>
      </c>
      <c r="B320" s="23" t="s">
        <v>95</v>
      </c>
      <c r="C320" s="23" t="s">
        <v>53</v>
      </c>
      <c r="D320" s="23" t="s">
        <v>96</v>
      </c>
      <c r="E320" s="27" t="s">
        <v>414</v>
      </c>
      <c r="F320" s="24" t="s">
        <v>59</v>
      </c>
      <c r="G320" s="49" t="str">
        <f t="shared" si="14"/>
        <v>2</v>
      </c>
      <c r="H320" s="49" t="str">
        <f t="shared" si="15"/>
        <v>b</v>
      </c>
      <c r="I320" s="25" t="s">
        <v>574</v>
      </c>
      <c r="J320" s="6" t="str">
        <f t="shared" si="16"/>
        <v>Convert a problem into its abstract model equivalent.</v>
      </c>
    </row>
    <row r="321" spans="1:10" x14ac:dyDescent="0.2">
      <c r="A321" s="41" t="s">
        <v>313</v>
      </c>
      <c r="B321" s="26" t="s">
        <v>95</v>
      </c>
      <c r="C321" s="26" t="s">
        <v>53</v>
      </c>
      <c r="D321" s="26" t="s">
        <v>96</v>
      </c>
      <c r="E321" s="27" t="s">
        <v>417</v>
      </c>
      <c r="F321" s="28" t="s">
        <v>59</v>
      </c>
      <c r="G321" s="49" t="str">
        <f t="shared" si="14"/>
        <v>2</v>
      </c>
      <c r="H321" s="49" t="str">
        <f t="shared" si="15"/>
        <v>b</v>
      </c>
      <c r="I321" s="50" t="s">
        <v>574</v>
      </c>
      <c r="J321" s="6" t="str">
        <f t="shared" si="16"/>
        <v>Convert a problem into its abstract model equivalent.</v>
      </c>
    </row>
    <row r="322" spans="1:10" ht="30" x14ac:dyDescent="0.2">
      <c r="A322" s="40" t="s">
        <v>375</v>
      </c>
      <c r="B322" s="23" t="s">
        <v>92</v>
      </c>
      <c r="C322" s="23" t="s">
        <v>54</v>
      </c>
      <c r="D322" s="23" t="s">
        <v>112</v>
      </c>
      <c r="E322" s="27" t="s">
        <v>472</v>
      </c>
      <c r="F322" s="24" t="s">
        <v>59</v>
      </c>
      <c r="G322" s="49" t="str">
        <f t="shared" ref="G322:G385" si="17">LEFT(I322,1)</f>
        <v>2</v>
      </c>
      <c r="H322" s="49" t="str">
        <f t="shared" ref="H322:H385" si="18">RIGHT(I322,1)</f>
        <v>b</v>
      </c>
      <c r="I322" s="25" t="s">
        <v>574</v>
      </c>
      <c r="J322" s="6" t="str">
        <f t="shared" ref="J322:J385" si="19">IFERROR(VLOOKUP(I322,$N$3:$O$39,2,FALSE),0)</f>
        <v>Convert a problem into its abstract model equivalent.</v>
      </c>
    </row>
    <row r="323" spans="1:10" x14ac:dyDescent="0.2">
      <c r="A323" s="41" t="s">
        <v>136</v>
      </c>
      <c r="B323" s="26" t="s">
        <v>92</v>
      </c>
      <c r="C323" s="26" t="s">
        <v>53</v>
      </c>
      <c r="D323" s="26" t="s">
        <v>98</v>
      </c>
      <c r="E323" s="27" t="s">
        <v>461</v>
      </c>
      <c r="F323" s="28" t="s">
        <v>59</v>
      </c>
      <c r="G323" s="49" t="str">
        <f t="shared" si="17"/>
        <v>2</v>
      </c>
      <c r="H323" s="49" t="str">
        <f t="shared" si="18"/>
        <v>c</v>
      </c>
      <c r="I323" s="25" t="s">
        <v>576</v>
      </c>
      <c r="J323" s="6" t="str">
        <f t="shared" si="19"/>
        <v>Investigate various alternatives of a framework, model and solution.</v>
      </c>
    </row>
    <row r="324" spans="1:10" x14ac:dyDescent="0.2">
      <c r="A324" s="40" t="s">
        <v>268</v>
      </c>
      <c r="B324" s="23" t="s">
        <v>88</v>
      </c>
      <c r="C324" s="23" t="s">
        <v>53</v>
      </c>
      <c r="D324" s="23" t="s">
        <v>89</v>
      </c>
      <c r="E324" s="27" t="s">
        <v>390</v>
      </c>
      <c r="F324" s="24" t="s">
        <v>59</v>
      </c>
      <c r="G324" s="49" t="str">
        <f t="shared" si="17"/>
        <v>2</v>
      </c>
      <c r="H324" s="49" t="str">
        <f t="shared" si="18"/>
        <v>d</v>
      </c>
      <c r="I324" s="25" t="s">
        <v>578</v>
      </c>
      <c r="J324" s="6" t="str">
        <f t="shared" si="19"/>
        <v>Choose an appropriate method to determine the best/ optimal solution of a model.</v>
      </c>
    </row>
    <row r="325" spans="1:10" x14ac:dyDescent="0.2">
      <c r="A325" s="40" t="s">
        <v>155</v>
      </c>
      <c r="B325" s="23" t="s">
        <v>92</v>
      </c>
      <c r="C325" s="23" t="s">
        <v>53</v>
      </c>
      <c r="D325" s="23" t="s">
        <v>93</v>
      </c>
      <c r="E325" s="27" t="s">
        <v>412</v>
      </c>
      <c r="F325" s="24" t="s">
        <v>59</v>
      </c>
      <c r="G325" s="49" t="str">
        <f t="shared" si="17"/>
        <v>2</v>
      </c>
      <c r="H325" s="49" t="str">
        <f t="shared" si="18"/>
        <v>d</v>
      </c>
      <c r="I325" s="25" t="s">
        <v>578</v>
      </c>
      <c r="J325" s="6" t="str">
        <f t="shared" si="19"/>
        <v>Choose an appropriate method to determine the best/ optimal solution of a model.</v>
      </c>
    </row>
    <row r="326" spans="1:10" x14ac:dyDescent="0.2">
      <c r="A326" s="40" t="s">
        <v>87</v>
      </c>
      <c r="B326" s="23" t="s">
        <v>88</v>
      </c>
      <c r="C326" s="23" t="s">
        <v>53</v>
      </c>
      <c r="D326" s="23" t="s">
        <v>89</v>
      </c>
      <c r="E326" s="27" t="s">
        <v>406</v>
      </c>
      <c r="F326" s="24" t="s">
        <v>59</v>
      </c>
      <c r="G326" s="49" t="str">
        <f t="shared" si="17"/>
        <v>2</v>
      </c>
      <c r="H326" s="49" t="str">
        <f t="shared" si="18"/>
        <v>c</v>
      </c>
      <c r="I326" s="25" t="s">
        <v>576</v>
      </c>
      <c r="J326" s="6" t="str">
        <f t="shared" si="19"/>
        <v>Investigate various alternatives of a framework, model and solution.</v>
      </c>
    </row>
    <row r="327" spans="1:10" x14ac:dyDescent="0.2">
      <c r="A327" s="40" t="s">
        <v>126</v>
      </c>
      <c r="B327" s="23" t="s">
        <v>92</v>
      </c>
      <c r="C327" s="23" t="s">
        <v>54</v>
      </c>
      <c r="D327" s="23" t="s">
        <v>112</v>
      </c>
      <c r="E327" s="27" t="s">
        <v>455</v>
      </c>
      <c r="F327" s="24" t="s">
        <v>59</v>
      </c>
      <c r="G327" s="49" t="str">
        <f t="shared" si="17"/>
        <v>2</v>
      </c>
      <c r="H327" s="49" t="str">
        <f t="shared" si="18"/>
        <v>c</v>
      </c>
      <c r="I327" s="25" t="s">
        <v>576</v>
      </c>
      <c r="J327" s="6" t="str">
        <f t="shared" si="19"/>
        <v>Investigate various alternatives of a framework, model and solution.</v>
      </c>
    </row>
    <row r="328" spans="1:10" ht="45" x14ac:dyDescent="0.2">
      <c r="A328" s="41" t="s">
        <v>160</v>
      </c>
      <c r="B328" s="26" t="s">
        <v>88</v>
      </c>
      <c r="C328" s="26" t="s">
        <v>53</v>
      </c>
      <c r="D328" s="26" t="s">
        <v>148</v>
      </c>
      <c r="E328" s="27" t="s">
        <v>433</v>
      </c>
      <c r="F328" s="28" t="s">
        <v>59</v>
      </c>
      <c r="G328" s="49" t="str">
        <f t="shared" si="17"/>
        <v>2</v>
      </c>
      <c r="H328" s="49" t="str">
        <f t="shared" si="18"/>
        <v>c</v>
      </c>
      <c r="I328" s="50" t="s">
        <v>576</v>
      </c>
      <c r="J328" s="6" t="str">
        <f t="shared" si="19"/>
        <v>Investigate various alternatives of a framework, model and solution.</v>
      </c>
    </row>
    <row r="329" spans="1:10" x14ac:dyDescent="0.2">
      <c r="A329" s="40" t="s">
        <v>158</v>
      </c>
      <c r="B329" s="23" t="s">
        <v>88</v>
      </c>
      <c r="C329" s="23" t="s">
        <v>53</v>
      </c>
      <c r="D329" s="23" t="s">
        <v>148</v>
      </c>
      <c r="E329" s="27" t="s">
        <v>431</v>
      </c>
      <c r="F329" s="24" t="s">
        <v>59</v>
      </c>
      <c r="G329" s="49" t="str">
        <f t="shared" si="17"/>
        <v>2</v>
      </c>
      <c r="H329" s="49" t="str">
        <f t="shared" si="18"/>
        <v>c</v>
      </c>
      <c r="I329" s="25" t="s">
        <v>576</v>
      </c>
      <c r="J329" s="6" t="str">
        <f t="shared" si="19"/>
        <v>Investigate various alternatives of a framework, model and solution.</v>
      </c>
    </row>
    <row r="330" spans="1:10" x14ac:dyDescent="0.2">
      <c r="A330" s="41" t="s">
        <v>87</v>
      </c>
      <c r="B330" s="26" t="s">
        <v>88</v>
      </c>
      <c r="C330" s="26" t="s">
        <v>53</v>
      </c>
      <c r="D330" s="26" t="s">
        <v>89</v>
      </c>
      <c r="E330" s="27" t="s">
        <v>407</v>
      </c>
      <c r="F330" s="28" t="s">
        <v>59</v>
      </c>
      <c r="G330" s="49" t="str">
        <f t="shared" si="17"/>
        <v>2</v>
      </c>
      <c r="H330" s="49" t="str">
        <f t="shared" si="18"/>
        <v>c</v>
      </c>
      <c r="I330" s="25" t="s">
        <v>576</v>
      </c>
      <c r="J330" s="6" t="str">
        <f t="shared" si="19"/>
        <v>Investigate various alternatives of a framework, model and solution.</v>
      </c>
    </row>
    <row r="331" spans="1:10" x14ac:dyDescent="0.2">
      <c r="A331" s="41" t="s">
        <v>378</v>
      </c>
      <c r="B331" s="26" t="s">
        <v>92</v>
      </c>
      <c r="C331" s="26" t="s">
        <v>53</v>
      </c>
      <c r="D331" s="26" t="s">
        <v>93</v>
      </c>
      <c r="E331" s="27" t="s">
        <v>477</v>
      </c>
      <c r="F331" s="28" t="s">
        <v>59</v>
      </c>
      <c r="G331" s="49" t="str">
        <f t="shared" si="17"/>
        <v>2</v>
      </c>
      <c r="H331" s="49" t="str">
        <f t="shared" si="18"/>
        <v>b</v>
      </c>
      <c r="I331" s="50" t="s">
        <v>574</v>
      </c>
      <c r="J331" s="6" t="str">
        <f t="shared" si="19"/>
        <v>Convert a problem into its abstract model equivalent.</v>
      </c>
    </row>
    <row r="332" spans="1:10" ht="30" x14ac:dyDescent="0.2">
      <c r="A332" s="40" t="s">
        <v>118</v>
      </c>
      <c r="B332" s="23" t="s">
        <v>92</v>
      </c>
      <c r="C332" s="23" t="s">
        <v>53</v>
      </c>
      <c r="D332" s="23" t="s">
        <v>98</v>
      </c>
      <c r="E332" s="27" t="s">
        <v>448</v>
      </c>
      <c r="F332" s="24" t="s">
        <v>59</v>
      </c>
      <c r="G332" s="49" t="str">
        <f t="shared" si="17"/>
        <v>2</v>
      </c>
      <c r="H332" s="49" t="str">
        <f t="shared" si="18"/>
        <v>c</v>
      </c>
      <c r="I332" s="25" t="s">
        <v>576</v>
      </c>
      <c r="J332" s="6" t="str">
        <f t="shared" si="19"/>
        <v>Investigate various alternatives of a framework, model and solution.</v>
      </c>
    </row>
    <row r="333" spans="1:10" ht="30" x14ac:dyDescent="0.2">
      <c r="A333" s="41" t="s">
        <v>91</v>
      </c>
      <c r="B333" s="26" t="s">
        <v>92</v>
      </c>
      <c r="C333" s="26" t="s">
        <v>53</v>
      </c>
      <c r="D333" s="26" t="s">
        <v>93</v>
      </c>
      <c r="E333" s="27" t="s">
        <v>409</v>
      </c>
      <c r="F333" s="28" t="s">
        <v>59</v>
      </c>
      <c r="G333" s="49" t="str">
        <f t="shared" si="17"/>
        <v>2</v>
      </c>
      <c r="H333" s="49" t="str">
        <f t="shared" si="18"/>
        <v>d</v>
      </c>
      <c r="I333" s="25" t="s">
        <v>578</v>
      </c>
      <c r="J333" s="6" t="str">
        <f t="shared" si="19"/>
        <v>Choose an appropriate method to determine the best/ optimal solution of a model.</v>
      </c>
    </row>
    <row r="334" spans="1:10" x14ac:dyDescent="0.2">
      <c r="A334" s="40" t="s">
        <v>313</v>
      </c>
      <c r="B334" s="23" t="s">
        <v>95</v>
      </c>
      <c r="C334" s="23" t="s">
        <v>53</v>
      </c>
      <c r="D334" s="23" t="s">
        <v>96</v>
      </c>
      <c r="E334" s="27" t="s">
        <v>418</v>
      </c>
      <c r="F334" s="24" t="s">
        <v>59</v>
      </c>
      <c r="G334" s="49" t="str">
        <f t="shared" si="17"/>
        <v>2</v>
      </c>
      <c r="H334" s="49" t="str">
        <f t="shared" si="18"/>
        <v>c</v>
      </c>
      <c r="I334" s="25" t="s">
        <v>576</v>
      </c>
      <c r="J334" s="6" t="str">
        <f t="shared" si="19"/>
        <v>Investigate various alternatives of a framework, model and solution.</v>
      </c>
    </row>
    <row r="335" spans="1:10" ht="30" x14ac:dyDescent="0.2">
      <c r="A335" s="41" t="s">
        <v>158</v>
      </c>
      <c r="B335" s="26" t="s">
        <v>88</v>
      </c>
      <c r="C335" s="26" t="s">
        <v>53</v>
      </c>
      <c r="D335" s="26" t="s">
        <v>148</v>
      </c>
      <c r="E335" s="27" t="s">
        <v>430</v>
      </c>
      <c r="F335" s="28" t="s">
        <v>59</v>
      </c>
      <c r="G335" s="49" t="str">
        <f t="shared" si="17"/>
        <v>2</v>
      </c>
      <c r="H335" s="49" t="str">
        <f t="shared" si="18"/>
        <v>c</v>
      </c>
      <c r="I335" s="25" t="s">
        <v>576</v>
      </c>
      <c r="J335" s="6" t="str">
        <f t="shared" si="19"/>
        <v>Investigate various alternatives of a framework, model and solution.</v>
      </c>
    </row>
    <row r="336" spans="1:10" ht="30" x14ac:dyDescent="0.2">
      <c r="A336" s="40" t="s">
        <v>158</v>
      </c>
      <c r="B336" s="23" t="s">
        <v>88</v>
      </c>
      <c r="C336" s="23" t="s">
        <v>53</v>
      </c>
      <c r="D336" s="23" t="s">
        <v>148</v>
      </c>
      <c r="E336" s="27" t="s">
        <v>429</v>
      </c>
      <c r="F336" s="24" t="s">
        <v>59</v>
      </c>
      <c r="G336" s="49" t="str">
        <f t="shared" si="17"/>
        <v>2</v>
      </c>
      <c r="H336" s="49" t="str">
        <f t="shared" si="18"/>
        <v>c</v>
      </c>
      <c r="I336" s="25" t="s">
        <v>576</v>
      </c>
      <c r="J336" s="6" t="str">
        <f t="shared" si="19"/>
        <v>Investigate various alternatives of a framework, model and solution.</v>
      </c>
    </row>
    <row r="337" spans="1:10" x14ac:dyDescent="0.2">
      <c r="A337" s="41" t="s">
        <v>194</v>
      </c>
      <c r="B337" s="26" t="s">
        <v>95</v>
      </c>
      <c r="C337" s="26" t="s">
        <v>53</v>
      </c>
      <c r="D337" s="26" t="s">
        <v>96</v>
      </c>
      <c r="E337" s="27" t="s">
        <v>396</v>
      </c>
      <c r="F337" s="28" t="s">
        <v>59</v>
      </c>
      <c r="G337" s="49" t="str">
        <f t="shared" si="17"/>
        <v>2</v>
      </c>
      <c r="H337" s="49" t="str">
        <f t="shared" si="18"/>
        <v>c</v>
      </c>
      <c r="I337" s="50" t="s">
        <v>576</v>
      </c>
      <c r="J337" s="6" t="str">
        <f t="shared" si="19"/>
        <v>Investigate various alternatives of a framework, model and solution.</v>
      </c>
    </row>
    <row r="338" spans="1:10" x14ac:dyDescent="0.2">
      <c r="A338" s="40" t="s">
        <v>97</v>
      </c>
      <c r="B338" s="23" t="s">
        <v>92</v>
      </c>
      <c r="C338" s="23" t="s">
        <v>53</v>
      </c>
      <c r="D338" s="23" t="s">
        <v>98</v>
      </c>
      <c r="E338" s="27" t="s">
        <v>425</v>
      </c>
      <c r="F338" s="24" t="s">
        <v>59</v>
      </c>
      <c r="G338" s="49" t="str">
        <f t="shared" si="17"/>
        <v>2</v>
      </c>
      <c r="H338" s="49" t="str">
        <f t="shared" si="18"/>
        <v>c</v>
      </c>
      <c r="I338" s="25" t="s">
        <v>576</v>
      </c>
      <c r="J338" s="6" t="str">
        <f t="shared" si="19"/>
        <v>Investigate various alternatives of a framework, model and solution.</v>
      </c>
    </row>
    <row r="339" spans="1:10" x14ac:dyDescent="0.2">
      <c r="A339" s="41" t="s">
        <v>97</v>
      </c>
      <c r="B339" s="26" t="s">
        <v>88</v>
      </c>
      <c r="C339" s="26" t="s">
        <v>54</v>
      </c>
      <c r="D339" s="26"/>
      <c r="E339" s="27" t="s">
        <v>425</v>
      </c>
      <c r="F339" s="28" t="s">
        <v>59</v>
      </c>
      <c r="G339" s="49" t="str">
        <f t="shared" si="17"/>
        <v>2</v>
      </c>
      <c r="H339" s="49" t="str">
        <f t="shared" si="18"/>
        <v>c</v>
      </c>
      <c r="I339" s="50" t="s">
        <v>576</v>
      </c>
      <c r="J339" s="6" t="str">
        <f t="shared" si="19"/>
        <v>Investigate various alternatives of a framework, model and solution.</v>
      </c>
    </row>
    <row r="340" spans="1:10" x14ac:dyDescent="0.2">
      <c r="A340" s="40" t="s">
        <v>197</v>
      </c>
      <c r="B340" s="23" t="s">
        <v>88</v>
      </c>
      <c r="C340" s="23" t="s">
        <v>53</v>
      </c>
      <c r="D340" s="23" t="s">
        <v>56</v>
      </c>
      <c r="E340" s="27" t="s">
        <v>401</v>
      </c>
      <c r="F340" s="24" t="s">
        <v>59</v>
      </c>
      <c r="G340" s="49" t="str">
        <f t="shared" si="17"/>
        <v>2</v>
      </c>
      <c r="H340" s="49" t="str">
        <f t="shared" si="18"/>
        <v>c</v>
      </c>
      <c r="I340" s="25" t="s">
        <v>576</v>
      </c>
      <c r="J340" s="6" t="str">
        <f t="shared" si="19"/>
        <v>Investigate various alternatives of a framework, model and solution.</v>
      </c>
    </row>
    <row r="341" spans="1:10" x14ac:dyDescent="0.2">
      <c r="A341" s="41" t="s">
        <v>228</v>
      </c>
      <c r="B341" s="26" t="s">
        <v>95</v>
      </c>
      <c r="C341" s="26" t="s">
        <v>54</v>
      </c>
      <c r="D341" s="26" t="s">
        <v>106</v>
      </c>
      <c r="E341" s="27" t="s">
        <v>466</v>
      </c>
      <c r="F341" s="28" t="s">
        <v>59</v>
      </c>
      <c r="G341" s="49" t="str">
        <f t="shared" si="17"/>
        <v>2</v>
      </c>
      <c r="H341" s="49" t="str">
        <f t="shared" si="18"/>
        <v>c</v>
      </c>
      <c r="I341" s="50" t="s">
        <v>576</v>
      </c>
      <c r="J341" s="6" t="str">
        <f t="shared" si="19"/>
        <v>Investigate various alternatives of a framework, model and solution.</v>
      </c>
    </row>
    <row r="342" spans="1:10" x14ac:dyDescent="0.2">
      <c r="A342" s="40" t="s">
        <v>187</v>
      </c>
      <c r="B342" s="23" t="s">
        <v>95</v>
      </c>
      <c r="C342" s="23" t="s">
        <v>53</v>
      </c>
      <c r="D342" s="23" t="s">
        <v>96</v>
      </c>
      <c r="E342" s="27" t="s">
        <v>423</v>
      </c>
      <c r="F342" s="24" t="s">
        <v>59</v>
      </c>
      <c r="G342" s="49" t="str">
        <f t="shared" si="17"/>
        <v>2</v>
      </c>
      <c r="H342" s="49" t="str">
        <f t="shared" si="18"/>
        <v>d</v>
      </c>
      <c r="I342" s="25" t="s">
        <v>578</v>
      </c>
      <c r="J342" s="6" t="str">
        <f t="shared" si="19"/>
        <v>Choose an appropriate method to determine the best/ optimal solution of a model.</v>
      </c>
    </row>
    <row r="343" spans="1:10" ht="30" x14ac:dyDescent="0.2">
      <c r="A343" s="41" t="s">
        <v>200</v>
      </c>
      <c r="B343" s="26" t="s">
        <v>88</v>
      </c>
      <c r="C343" s="26" t="s">
        <v>53</v>
      </c>
      <c r="D343" s="26" t="s">
        <v>56</v>
      </c>
      <c r="E343" s="27" t="s">
        <v>405</v>
      </c>
      <c r="F343" s="28" t="s">
        <v>59</v>
      </c>
      <c r="G343" s="49" t="str">
        <f t="shared" si="17"/>
        <v>2</v>
      </c>
      <c r="H343" s="49" t="str">
        <f t="shared" si="18"/>
        <v>c</v>
      </c>
      <c r="I343" s="50" t="s">
        <v>576</v>
      </c>
      <c r="J343" s="6" t="str">
        <f t="shared" si="19"/>
        <v>Investigate various alternatives of a framework, model and solution.</v>
      </c>
    </row>
    <row r="344" spans="1:10" ht="30" x14ac:dyDescent="0.2">
      <c r="A344" s="40" t="s">
        <v>91</v>
      </c>
      <c r="B344" s="23" t="s">
        <v>92</v>
      </c>
      <c r="C344" s="23" t="s">
        <v>53</v>
      </c>
      <c r="D344" s="23" t="s">
        <v>93</v>
      </c>
      <c r="E344" s="27" t="s">
        <v>408</v>
      </c>
      <c r="F344" s="24" t="s">
        <v>59</v>
      </c>
      <c r="G344" s="49" t="str">
        <f t="shared" si="17"/>
        <v>2</v>
      </c>
      <c r="H344" s="49" t="str">
        <f t="shared" si="18"/>
        <v>c</v>
      </c>
      <c r="I344" s="25" t="s">
        <v>576</v>
      </c>
      <c r="J344" s="6" t="str">
        <f t="shared" si="19"/>
        <v>Investigate various alternatives of a framework, model and solution.</v>
      </c>
    </row>
    <row r="345" spans="1:10" ht="30" x14ac:dyDescent="0.2">
      <c r="A345" s="41" t="s">
        <v>200</v>
      </c>
      <c r="B345" s="26" t="s">
        <v>88</v>
      </c>
      <c r="C345" s="26" t="s">
        <v>53</v>
      </c>
      <c r="D345" s="26" t="s">
        <v>56</v>
      </c>
      <c r="E345" s="27" t="s">
        <v>403</v>
      </c>
      <c r="F345" s="28" t="s">
        <v>59</v>
      </c>
      <c r="G345" s="49" t="str">
        <f t="shared" si="17"/>
        <v>2</v>
      </c>
      <c r="H345" s="49" t="str">
        <f t="shared" si="18"/>
        <v>b</v>
      </c>
      <c r="I345" s="50" t="s">
        <v>574</v>
      </c>
      <c r="J345" s="6" t="str">
        <f t="shared" si="19"/>
        <v>Convert a problem into its abstract model equivalent.</v>
      </c>
    </row>
    <row r="346" spans="1:10" x14ac:dyDescent="0.2">
      <c r="A346" s="41" t="s">
        <v>209</v>
      </c>
      <c r="B346" s="26" t="s">
        <v>95</v>
      </c>
      <c r="C346" s="26" t="s">
        <v>53</v>
      </c>
      <c r="D346" s="26" t="s">
        <v>96</v>
      </c>
      <c r="E346" s="27" t="s">
        <v>427</v>
      </c>
      <c r="F346" s="28" t="s">
        <v>59</v>
      </c>
      <c r="G346" s="49" t="str">
        <f t="shared" si="17"/>
        <v>2</v>
      </c>
      <c r="H346" s="49" t="str">
        <f t="shared" si="18"/>
        <v>b</v>
      </c>
      <c r="I346" s="50" t="s">
        <v>574</v>
      </c>
      <c r="J346" s="6" t="str">
        <f t="shared" si="19"/>
        <v>Convert a problem into its abstract model equivalent.</v>
      </c>
    </row>
    <row r="347" spans="1:10" x14ac:dyDescent="0.2">
      <c r="A347" s="41" t="s">
        <v>100</v>
      </c>
      <c r="B347" s="26" t="s">
        <v>92</v>
      </c>
      <c r="C347" s="26" t="s">
        <v>53</v>
      </c>
      <c r="D347" s="26" t="s">
        <v>98</v>
      </c>
      <c r="E347" s="27" t="s">
        <v>434</v>
      </c>
      <c r="F347" s="28" t="s">
        <v>59</v>
      </c>
      <c r="G347" s="49" t="str">
        <f t="shared" si="17"/>
        <v>2</v>
      </c>
      <c r="H347" s="49" t="str">
        <f t="shared" si="18"/>
        <v>b</v>
      </c>
      <c r="I347" s="50" t="s">
        <v>574</v>
      </c>
      <c r="J347" s="6" t="str">
        <f t="shared" si="19"/>
        <v>Convert a problem into its abstract model equivalent.</v>
      </c>
    </row>
    <row r="348" spans="1:10" x14ac:dyDescent="0.2">
      <c r="A348" s="41" t="s">
        <v>194</v>
      </c>
      <c r="B348" s="26" t="s">
        <v>95</v>
      </c>
      <c r="C348" s="26" t="s">
        <v>53</v>
      </c>
      <c r="D348" s="26" t="s">
        <v>96</v>
      </c>
      <c r="E348" s="27" t="s">
        <v>398</v>
      </c>
      <c r="F348" s="28" t="s">
        <v>59</v>
      </c>
      <c r="G348" s="49" t="str">
        <f t="shared" si="17"/>
        <v>2</v>
      </c>
      <c r="H348" s="49" t="str">
        <f t="shared" si="18"/>
        <v>b</v>
      </c>
      <c r="I348" s="50" t="s">
        <v>574</v>
      </c>
      <c r="J348" s="6" t="str">
        <f t="shared" si="19"/>
        <v>Convert a problem into its abstract model equivalent.</v>
      </c>
    </row>
    <row r="349" spans="1:10" x14ac:dyDescent="0.2">
      <c r="A349" s="40" t="s">
        <v>194</v>
      </c>
      <c r="B349" s="23" t="s">
        <v>95</v>
      </c>
      <c r="C349" s="23" t="s">
        <v>53</v>
      </c>
      <c r="D349" s="23" t="s">
        <v>96</v>
      </c>
      <c r="E349" s="27" t="s">
        <v>399</v>
      </c>
      <c r="F349" s="24" t="s">
        <v>59</v>
      </c>
      <c r="G349" s="49" t="str">
        <f t="shared" si="17"/>
        <v>2</v>
      </c>
      <c r="H349" s="49" t="str">
        <f t="shared" si="18"/>
        <v>b</v>
      </c>
      <c r="I349" s="25" t="s">
        <v>574</v>
      </c>
      <c r="J349" s="6" t="str">
        <f t="shared" si="19"/>
        <v>Convert a problem into its abstract model equivalent.</v>
      </c>
    </row>
    <row r="350" spans="1:10" x14ac:dyDescent="0.2">
      <c r="A350" s="41" t="s">
        <v>158</v>
      </c>
      <c r="B350" s="26" t="s">
        <v>88</v>
      </c>
      <c r="C350" s="26" t="s">
        <v>53</v>
      </c>
      <c r="D350" s="26" t="s">
        <v>148</v>
      </c>
      <c r="E350" s="27" t="s">
        <v>428</v>
      </c>
      <c r="F350" s="28" t="s">
        <v>59</v>
      </c>
      <c r="G350" s="49" t="str">
        <f t="shared" si="17"/>
        <v>2</v>
      </c>
      <c r="H350" s="49" t="str">
        <f t="shared" si="18"/>
        <v>b</v>
      </c>
      <c r="I350" s="50" t="s">
        <v>574</v>
      </c>
      <c r="J350" s="6" t="str">
        <f t="shared" si="19"/>
        <v>Convert a problem into its abstract model equivalent.</v>
      </c>
    </row>
    <row r="351" spans="1:10" x14ac:dyDescent="0.2">
      <c r="A351" s="41" t="s">
        <v>155</v>
      </c>
      <c r="B351" s="26" t="s">
        <v>92</v>
      </c>
      <c r="C351" s="26" t="s">
        <v>53</v>
      </c>
      <c r="D351" s="26" t="s">
        <v>93</v>
      </c>
      <c r="E351" s="27" t="s">
        <v>413</v>
      </c>
      <c r="F351" s="28" t="s">
        <v>59</v>
      </c>
      <c r="G351" s="49" t="str">
        <f t="shared" si="17"/>
        <v>2</v>
      </c>
      <c r="H351" s="49" t="str">
        <f t="shared" si="18"/>
        <v>d</v>
      </c>
      <c r="I351" s="25" t="s">
        <v>578</v>
      </c>
      <c r="J351" s="6" t="str">
        <f t="shared" si="19"/>
        <v>Choose an appropriate method to determine the best/ optimal solution of a model.</v>
      </c>
    </row>
    <row r="352" spans="1:10" x14ac:dyDescent="0.2">
      <c r="A352" s="40" t="s">
        <v>111</v>
      </c>
      <c r="B352" s="23" t="s">
        <v>92</v>
      </c>
      <c r="C352" s="23" t="s">
        <v>53</v>
      </c>
      <c r="D352" s="23" t="s">
        <v>112</v>
      </c>
      <c r="E352" s="27" t="s">
        <v>444</v>
      </c>
      <c r="F352" s="24" t="s">
        <v>59</v>
      </c>
      <c r="G352" s="49" t="str">
        <f t="shared" si="17"/>
        <v>2</v>
      </c>
      <c r="H352" s="49" t="str">
        <f t="shared" si="18"/>
        <v>c</v>
      </c>
      <c r="I352" s="25" t="s">
        <v>576</v>
      </c>
      <c r="J352" s="6" t="str">
        <f t="shared" si="19"/>
        <v>Investigate various alternatives of a framework, model and solution.</v>
      </c>
    </row>
    <row r="353" spans="1:10" ht="30" x14ac:dyDescent="0.2">
      <c r="A353" s="41" t="s">
        <v>132</v>
      </c>
      <c r="B353" s="26" t="s">
        <v>92</v>
      </c>
      <c r="C353" s="26" t="s">
        <v>54</v>
      </c>
      <c r="D353" s="26" t="s">
        <v>112</v>
      </c>
      <c r="E353" s="27" t="s">
        <v>458</v>
      </c>
      <c r="F353" s="28" t="s">
        <v>59</v>
      </c>
      <c r="G353" s="49" t="str">
        <f t="shared" si="17"/>
        <v>2</v>
      </c>
      <c r="H353" s="49" t="str">
        <f t="shared" si="18"/>
        <v>a</v>
      </c>
      <c r="I353" s="50" t="s">
        <v>570</v>
      </c>
      <c r="J353" s="6" t="str">
        <f t="shared" si="19"/>
        <v>Identify appropriate frameworks for a problem.</v>
      </c>
    </row>
    <row r="354" spans="1:10" ht="30" x14ac:dyDescent="0.2">
      <c r="A354" s="40" t="s">
        <v>132</v>
      </c>
      <c r="B354" s="23" t="s">
        <v>92</v>
      </c>
      <c r="C354" s="23" t="s">
        <v>54</v>
      </c>
      <c r="D354" s="23" t="s">
        <v>112</v>
      </c>
      <c r="E354" s="27" t="s">
        <v>459</v>
      </c>
      <c r="F354" s="24" t="s">
        <v>59</v>
      </c>
      <c r="G354" s="49" t="str">
        <f t="shared" si="17"/>
        <v>2</v>
      </c>
      <c r="H354" s="49" t="str">
        <f t="shared" si="18"/>
        <v>a</v>
      </c>
      <c r="I354" s="25" t="s">
        <v>570</v>
      </c>
      <c r="J354" s="6" t="str">
        <f t="shared" si="19"/>
        <v>Identify appropriate frameworks for a problem.</v>
      </c>
    </row>
    <row r="355" spans="1:10" x14ac:dyDescent="0.2">
      <c r="A355" s="41" t="s">
        <v>142</v>
      </c>
      <c r="B355" s="26" t="s">
        <v>92</v>
      </c>
      <c r="C355" s="26" t="s">
        <v>53</v>
      </c>
      <c r="D355" s="26" t="s">
        <v>98</v>
      </c>
      <c r="E355" s="27" t="s">
        <v>478</v>
      </c>
      <c r="F355" s="28" t="s">
        <v>59</v>
      </c>
      <c r="G355" s="49" t="str">
        <f t="shared" si="17"/>
        <v>2</v>
      </c>
      <c r="H355" s="49" t="str">
        <f t="shared" si="18"/>
        <v>a</v>
      </c>
      <c r="I355" s="50" t="s">
        <v>570</v>
      </c>
      <c r="J355" s="6" t="str">
        <f t="shared" si="19"/>
        <v>Identify appropriate frameworks for a problem.</v>
      </c>
    </row>
    <row r="356" spans="1:10" x14ac:dyDescent="0.2">
      <c r="A356" s="40" t="s">
        <v>147</v>
      </c>
      <c r="B356" s="23" t="s">
        <v>88</v>
      </c>
      <c r="C356" s="23" t="s">
        <v>53</v>
      </c>
      <c r="D356" s="23" t="s">
        <v>148</v>
      </c>
      <c r="E356" s="27" t="s">
        <v>478</v>
      </c>
      <c r="F356" s="24" t="s">
        <v>59</v>
      </c>
      <c r="G356" s="49" t="str">
        <f t="shared" si="17"/>
        <v>2</v>
      </c>
      <c r="H356" s="49" t="str">
        <f t="shared" si="18"/>
        <v>a</v>
      </c>
      <c r="I356" s="25" t="s">
        <v>570</v>
      </c>
      <c r="J356" s="6" t="str">
        <f t="shared" si="19"/>
        <v>Identify appropriate frameworks for a problem.</v>
      </c>
    </row>
    <row r="357" spans="1:10" x14ac:dyDescent="0.2">
      <c r="A357" s="40" t="s">
        <v>151</v>
      </c>
      <c r="B357" s="23" t="s">
        <v>95</v>
      </c>
      <c r="C357" s="23" t="s">
        <v>53</v>
      </c>
      <c r="D357" s="23" t="s">
        <v>106</v>
      </c>
      <c r="E357" s="27" t="s">
        <v>478</v>
      </c>
      <c r="F357" s="24" t="s">
        <v>59</v>
      </c>
      <c r="G357" s="49" t="str">
        <f t="shared" si="17"/>
        <v>2</v>
      </c>
      <c r="H357" s="49" t="str">
        <f t="shared" si="18"/>
        <v>a</v>
      </c>
      <c r="I357" s="25" t="s">
        <v>570</v>
      </c>
      <c r="J357" s="6" t="str">
        <f t="shared" si="19"/>
        <v>Identify appropriate frameworks for a problem.</v>
      </c>
    </row>
    <row r="358" spans="1:10" x14ac:dyDescent="0.2">
      <c r="A358" s="40" t="s">
        <v>91</v>
      </c>
      <c r="B358" s="23" t="s">
        <v>92</v>
      </c>
      <c r="C358" s="23" t="s">
        <v>53</v>
      </c>
      <c r="D358" s="23" t="s">
        <v>93</v>
      </c>
      <c r="E358" s="27" t="s">
        <v>410</v>
      </c>
      <c r="F358" s="24" t="s">
        <v>59</v>
      </c>
      <c r="G358" s="49" t="str">
        <f t="shared" si="17"/>
        <v>2</v>
      </c>
      <c r="H358" s="49" t="str">
        <f t="shared" si="18"/>
        <v>a</v>
      </c>
      <c r="I358" s="25" t="s">
        <v>570</v>
      </c>
      <c r="J358" s="6" t="str">
        <f t="shared" si="19"/>
        <v>Identify appropriate frameworks for a problem.</v>
      </c>
    </row>
    <row r="359" spans="1:10" x14ac:dyDescent="0.2">
      <c r="A359" s="40" t="s">
        <v>136</v>
      </c>
      <c r="B359" s="23" t="s">
        <v>92</v>
      </c>
      <c r="C359" s="23" t="s">
        <v>53</v>
      </c>
      <c r="D359" s="23" t="s">
        <v>98</v>
      </c>
      <c r="E359" s="27" t="s">
        <v>462</v>
      </c>
      <c r="F359" s="24" t="s">
        <v>59</v>
      </c>
      <c r="G359" s="49" t="str">
        <f t="shared" si="17"/>
        <v>2</v>
      </c>
      <c r="H359" s="49" t="str">
        <f t="shared" si="18"/>
        <v>a</v>
      </c>
      <c r="I359" s="25" t="s">
        <v>570</v>
      </c>
      <c r="J359" s="6" t="str">
        <f t="shared" si="19"/>
        <v>Identify appropriate frameworks for a problem.</v>
      </c>
    </row>
    <row r="360" spans="1:10" x14ac:dyDescent="0.2">
      <c r="A360" s="41" t="s">
        <v>111</v>
      </c>
      <c r="B360" s="26" t="s">
        <v>92</v>
      </c>
      <c r="C360" s="26" t="s">
        <v>53</v>
      </c>
      <c r="D360" s="26" t="s">
        <v>112</v>
      </c>
      <c r="E360" s="27" t="s">
        <v>443</v>
      </c>
      <c r="F360" s="28" t="s">
        <v>59</v>
      </c>
      <c r="G360" s="49" t="str">
        <f t="shared" si="17"/>
        <v>2</v>
      </c>
      <c r="H360" s="49" t="str">
        <f t="shared" si="18"/>
        <v>a</v>
      </c>
      <c r="I360" s="25" t="s">
        <v>570</v>
      </c>
      <c r="J360" s="6" t="str">
        <f t="shared" si="19"/>
        <v>Identify appropriate frameworks for a problem.</v>
      </c>
    </row>
    <row r="361" spans="1:10" x14ac:dyDescent="0.2">
      <c r="A361" s="41" t="s">
        <v>126</v>
      </c>
      <c r="B361" s="26" t="s">
        <v>92</v>
      </c>
      <c r="C361" s="26" t="s">
        <v>54</v>
      </c>
      <c r="D361" s="26" t="s">
        <v>112</v>
      </c>
      <c r="E361" s="27" t="s">
        <v>456</v>
      </c>
      <c r="F361" s="28" t="s">
        <v>59</v>
      </c>
      <c r="G361" s="49" t="str">
        <f t="shared" si="17"/>
        <v>2</v>
      </c>
      <c r="H361" s="49" t="str">
        <f t="shared" si="18"/>
        <v>a</v>
      </c>
      <c r="I361" s="25" t="s">
        <v>570</v>
      </c>
      <c r="J361" s="6" t="str">
        <f t="shared" si="19"/>
        <v>Identify appropriate frameworks for a problem.</v>
      </c>
    </row>
    <row r="362" spans="1:10" x14ac:dyDescent="0.2">
      <c r="A362" s="41" t="s">
        <v>136</v>
      </c>
      <c r="B362" s="26" t="s">
        <v>92</v>
      </c>
      <c r="C362" s="26" t="s">
        <v>53</v>
      </c>
      <c r="D362" s="26" t="s">
        <v>98</v>
      </c>
      <c r="E362" s="27" t="s">
        <v>463</v>
      </c>
      <c r="F362" s="28" t="s">
        <v>59</v>
      </c>
      <c r="G362" s="49" t="str">
        <f t="shared" si="17"/>
        <v>2</v>
      </c>
      <c r="H362" s="49" t="str">
        <f t="shared" si="18"/>
        <v>a</v>
      </c>
      <c r="I362" s="25" t="s">
        <v>570</v>
      </c>
      <c r="J362" s="6" t="str">
        <f t="shared" si="19"/>
        <v>Identify appropriate frameworks for a problem.</v>
      </c>
    </row>
    <row r="363" spans="1:10" x14ac:dyDescent="0.2">
      <c r="A363" s="40" t="s">
        <v>105</v>
      </c>
      <c r="B363" s="23" t="s">
        <v>95</v>
      </c>
      <c r="C363" s="23" t="s">
        <v>53</v>
      </c>
      <c r="D363" s="23" t="s">
        <v>106</v>
      </c>
      <c r="E363" s="27" t="s">
        <v>441</v>
      </c>
      <c r="F363" s="24" t="s">
        <v>59</v>
      </c>
      <c r="G363" s="49" t="str">
        <f t="shared" si="17"/>
        <v>2</v>
      </c>
      <c r="H363" s="49" t="str">
        <f t="shared" si="18"/>
        <v>a</v>
      </c>
      <c r="I363" s="25" t="s">
        <v>570</v>
      </c>
      <c r="J363" s="6" t="str">
        <f t="shared" si="19"/>
        <v>Identify appropriate frameworks for a problem.</v>
      </c>
    </row>
    <row r="364" spans="1:10" x14ac:dyDescent="0.2">
      <c r="A364" s="41" t="s">
        <v>164</v>
      </c>
      <c r="B364" s="26" t="s">
        <v>88</v>
      </c>
      <c r="C364" s="26" t="s">
        <v>53</v>
      </c>
      <c r="D364" s="26" t="s">
        <v>148</v>
      </c>
      <c r="E364" s="27" t="s">
        <v>436</v>
      </c>
      <c r="F364" s="28" t="s">
        <v>59</v>
      </c>
      <c r="G364" s="49" t="str">
        <f t="shared" si="17"/>
        <v>2</v>
      </c>
      <c r="H364" s="49" t="str">
        <f t="shared" si="18"/>
        <v>a</v>
      </c>
      <c r="I364" s="25" t="s">
        <v>570</v>
      </c>
      <c r="J364" s="6" t="str">
        <f t="shared" si="19"/>
        <v>Identify appropriate frameworks for a problem.</v>
      </c>
    </row>
    <row r="365" spans="1:10" x14ac:dyDescent="0.2">
      <c r="A365" s="40" t="s">
        <v>228</v>
      </c>
      <c r="B365" s="23" t="s">
        <v>95</v>
      </c>
      <c r="C365" s="23" t="s">
        <v>54</v>
      </c>
      <c r="D365" s="23" t="s">
        <v>106</v>
      </c>
      <c r="E365" s="27" t="s">
        <v>465</v>
      </c>
      <c r="F365" s="24" t="s">
        <v>59</v>
      </c>
      <c r="G365" s="49" t="str">
        <f t="shared" si="17"/>
        <v>2</v>
      </c>
      <c r="H365" s="49" t="str">
        <f t="shared" si="18"/>
        <v>a</v>
      </c>
      <c r="I365" s="25" t="s">
        <v>570</v>
      </c>
      <c r="J365" s="6" t="str">
        <f t="shared" si="19"/>
        <v>Identify appropriate frameworks for a problem.</v>
      </c>
    </row>
    <row r="366" spans="1:10" ht="30" x14ac:dyDescent="0.2">
      <c r="A366" s="40" t="s">
        <v>126</v>
      </c>
      <c r="B366" s="23" t="s">
        <v>92</v>
      </c>
      <c r="C366" s="23" t="s">
        <v>54</v>
      </c>
      <c r="D366" s="23" t="s">
        <v>112</v>
      </c>
      <c r="E366" s="27" t="s">
        <v>457</v>
      </c>
      <c r="F366" s="24" t="s">
        <v>59</v>
      </c>
      <c r="G366" s="49" t="str">
        <f t="shared" si="17"/>
        <v>2</v>
      </c>
      <c r="H366" s="49" t="str">
        <f t="shared" si="18"/>
        <v>a</v>
      </c>
      <c r="I366" s="25" t="s">
        <v>570</v>
      </c>
      <c r="J366" s="6" t="str">
        <f t="shared" si="19"/>
        <v>Identify appropriate frameworks for a problem.</v>
      </c>
    </row>
    <row r="367" spans="1:10" ht="30" x14ac:dyDescent="0.2">
      <c r="A367" s="41" t="s">
        <v>268</v>
      </c>
      <c r="B367" s="26" t="s">
        <v>88</v>
      </c>
      <c r="C367" s="26" t="s">
        <v>53</v>
      </c>
      <c r="D367" s="26" t="s">
        <v>89</v>
      </c>
      <c r="E367" s="27" t="s">
        <v>391</v>
      </c>
      <c r="F367" s="28" t="s">
        <v>59</v>
      </c>
      <c r="G367" s="49" t="str">
        <f t="shared" si="17"/>
        <v>2</v>
      </c>
      <c r="H367" s="49" t="str">
        <f t="shared" si="18"/>
        <v>a</v>
      </c>
      <c r="I367" s="25" t="s">
        <v>570</v>
      </c>
      <c r="J367" s="6" t="str">
        <f t="shared" si="19"/>
        <v>Identify appropriate frameworks for a problem.</v>
      </c>
    </row>
    <row r="368" spans="1:10" ht="30" x14ac:dyDescent="0.2">
      <c r="A368" s="40" t="s">
        <v>182</v>
      </c>
      <c r="B368" s="23" t="s">
        <v>92</v>
      </c>
      <c r="C368" s="23" t="s">
        <v>54</v>
      </c>
      <c r="D368" s="23" t="s">
        <v>112</v>
      </c>
      <c r="E368" s="27" t="s">
        <v>470</v>
      </c>
      <c r="F368" s="24" t="s">
        <v>59</v>
      </c>
      <c r="G368" s="49" t="str">
        <f t="shared" si="17"/>
        <v>2</v>
      </c>
      <c r="H368" s="49" t="str">
        <f t="shared" si="18"/>
        <v>c</v>
      </c>
      <c r="I368" s="25" t="s">
        <v>576</v>
      </c>
      <c r="J368" s="6" t="str">
        <f t="shared" si="19"/>
        <v>Investigate various alternatives of a framework, model and solution.</v>
      </c>
    </row>
    <row r="369" spans="1:10" x14ac:dyDescent="0.2">
      <c r="A369" s="40" t="s">
        <v>313</v>
      </c>
      <c r="B369" s="23" t="s">
        <v>95</v>
      </c>
      <c r="C369" s="23" t="s">
        <v>53</v>
      </c>
      <c r="D369" s="23" t="s">
        <v>96</v>
      </c>
      <c r="E369" s="27" t="s">
        <v>420</v>
      </c>
      <c r="F369" s="24" t="s">
        <v>59</v>
      </c>
      <c r="G369" s="49" t="str">
        <f t="shared" si="17"/>
        <v>2</v>
      </c>
      <c r="H369" s="49" t="str">
        <f t="shared" si="18"/>
        <v>d</v>
      </c>
      <c r="I369" s="25" t="s">
        <v>578</v>
      </c>
      <c r="J369" s="6" t="str">
        <f t="shared" si="19"/>
        <v>Choose an appropriate method to determine the best/ optimal solution of a model.</v>
      </c>
    </row>
    <row r="370" spans="1:10" x14ac:dyDescent="0.2">
      <c r="A370" s="41" t="s">
        <v>313</v>
      </c>
      <c r="B370" s="26" t="s">
        <v>95</v>
      </c>
      <c r="C370" s="26" t="s">
        <v>53</v>
      </c>
      <c r="D370" s="26" t="s">
        <v>96</v>
      </c>
      <c r="E370" s="27" t="s">
        <v>419</v>
      </c>
      <c r="F370" s="28" t="s">
        <v>59</v>
      </c>
      <c r="G370" s="49" t="str">
        <f t="shared" si="17"/>
        <v>2</v>
      </c>
      <c r="H370" s="49" t="str">
        <f t="shared" si="18"/>
        <v>a</v>
      </c>
      <c r="I370" s="25" t="s">
        <v>570</v>
      </c>
      <c r="J370" s="6" t="str">
        <f t="shared" si="19"/>
        <v>Identify appropriate frameworks for a problem.</v>
      </c>
    </row>
    <row r="371" spans="1:10" x14ac:dyDescent="0.2">
      <c r="A371" s="40" t="s">
        <v>160</v>
      </c>
      <c r="B371" s="23" t="s">
        <v>88</v>
      </c>
      <c r="C371" s="23" t="s">
        <v>53</v>
      </c>
      <c r="D371" s="23" t="s">
        <v>148</v>
      </c>
      <c r="E371" s="27" t="s">
        <v>432</v>
      </c>
      <c r="F371" s="24" t="s">
        <v>59</v>
      </c>
      <c r="G371" s="49" t="str">
        <f t="shared" si="17"/>
        <v>2</v>
      </c>
      <c r="H371" s="49" t="str">
        <f t="shared" si="18"/>
        <v>c</v>
      </c>
      <c r="I371" s="25" t="s">
        <v>576</v>
      </c>
      <c r="J371" s="6" t="str">
        <f t="shared" si="19"/>
        <v>Investigate various alternatives of a framework, model and solution.</v>
      </c>
    </row>
    <row r="372" spans="1:10" x14ac:dyDescent="0.2">
      <c r="A372" s="41" t="s">
        <v>182</v>
      </c>
      <c r="B372" s="26" t="s">
        <v>92</v>
      </c>
      <c r="C372" s="26" t="s">
        <v>54</v>
      </c>
      <c r="D372" s="26" t="s">
        <v>112</v>
      </c>
      <c r="E372" s="27" t="s">
        <v>471</v>
      </c>
      <c r="F372" s="28" t="s">
        <v>59</v>
      </c>
      <c r="G372" s="49" t="str">
        <f t="shared" si="17"/>
        <v>2</v>
      </c>
      <c r="H372" s="49" t="str">
        <f t="shared" si="18"/>
        <v>c</v>
      </c>
      <c r="I372" s="50" t="s">
        <v>576</v>
      </c>
      <c r="J372" s="6" t="str">
        <f t="shared" si="19"/>
        <v>Investigate various alternatives of a framework, model and solution.</v>
      </c>
    </row>
    <row r="373" spans="1:10" x14ac:dyDescent="0.2">
      <c r="A373" s="41" t="s">
        <v>197</v>
      </c>
      <c r="B373" s="26" t="s">
        <v>88</v>
      </c>
      <c r="C373" s="26" t="s">
        <v>53</v>
      </c>
      <c r="D373" s="26" t="s">
        <v>56</v>
      </c>
      <c r="E373" s="27" t="s">
        <v>400</v>
      </c>
      <c r="F373" s="28" t="s">
        <v>59</v>
      </c>
      <c r="G373" s="49" t="str">
        <f t="shared" si="17"/>
        <v>2</v>
      </c>
      <c r="H373" s="49" t="str">
        <f t="shared" si="18"/>
        <v>c</v>
      </c>
      <c r="I373" s="25" t="s">
        <v>576</v>
      </c>
      <c r="J373" s="6" t="str">
        <f t="shared" si="19"/>
        <v>Investigate various alternatives of a framework, model and solution.</v>
      </c>
    </row>
    <row r="374" spans="1:10" x14ac:dyDescent="0.2">
      <c r="A374" s="40" t="s">
        <v>124</v>
      </c>
      <c r="B374" s="23" t="s">
        <v>92</v>
      </c>
      <c r="C374" s="23" t="s">
        <v>54</v>
      </c>
      <c r="D374" s="23" t="s">
        <v>112</v>
      </c>
      <c r="E374" s="27" t="s">
        <v>453</v>
      </c>
      <c r="F374" s="24" t="s">
        <v>59</v>
      </c>
      <c r="G374" s="49" t="str">
        <f t="shared" si="17"/>
        <v>2</v>
      </c>
      <c r="H374" s="49" t="str">
        <f t="shared" si="18"/>
        <v>b</v>
      </c>
      <c r="I374" s="25" t="s">
        <v>574</v>
      </c>
      <c r="J374" s="6" t="str">
        <f t="shared" si="19"/>
        <v>Convert a problem into its abstract model equivalent.</v>
      </c>
    </row>
    <row r="375" spans="1:10" ht="30" x14ac:dyDescent="0.2">
      <c r="A375" s="40" t="s">
        <v>164</v>
      </c>
      <c r="B375" s="23" t="s">
        <v>88</v>
      </c>
      <c r="C375" s="23" t="s">
        <v>53</v>
      </c>
      <c r="D375" s="23" t="s">
        <v>148</v>
      </c>
      <c r="E375" s="27" t="s">
        <v>437</v>
      </c>
      <c r="F375" s="24" t="s">
        <v>59</v>
      </c>
      <c r="G375" s="49" t="str">
        <f t="shared" si="17"/>
        <v>2</v>
      </c>
      <c r="H375" s="49" t="str">
        <f t="shared" si="18"/>
        <v>a</v>
      </c>
      <c r="I375" s="25" t="s">
        <v>570</v>
      </c>
      <c r="J375" s="6" t="str">
        <f t="shared" si="19"/>
        <v>Identify appropriate frameworks for a problem.</v>
      </c>
    </row>
    <row r="376" spans="1:10" ht="30" x14ac:dyDescent="0.2">
      <c r="A376" s="40" t="s">
        <v>115</v>
      </c>
      <c r="B376" s="23" t="s">
        <v>95</v>
      </c>
      <c r="C376" s="23" t="s">
        <v>54</v>
      </c>
      <c r="D376" s="23" t="s">
        <v>106</v>
      </c>
      <c r="E376" s="27" t="s">
        <v>445</v>
      </c>
      <c r="F376" s="24" t="s">
        <v>59</v>
      </c>
      <c r="G376" s="49" t="str">
        <f t="shared" si="17"/>
        <v>2</v>
      </c>
      <c r="H376" s="49" t="str">
        <f t="shared" si="18"/>
        <v>d</v>
      </c>
      <c r="I376" s="25" t="s">
        <v>578</v>
      </c>
      <c r="J376" s="6" t="str">
        <f t="shared" si="19"/>
        <v>Choose an appropriate method to determine the best/ optimal solution of a model.</v>
      </c>
    </row>
    <row r="377" spans="1:10" x14ac:dyDescent="0.2">
      <c r="A377" s="41" t="s">
        <v>142</v>
      </c>
      <c r="B377" s="26" t="s">
        <v>92</v>
      </c>
      <c r="C377" s="26" t="s">
        <v>53</v>
      </c>
      <c r="D377" s="26" t="s">
        <v>98</v>
      </c>
      <c r="E377" s="27" t="s">
        <v>480</v>
      </c>
      <c r="F377" s="28" t="s">
        <v>59</v>
      </c>
      <c r="G377" s="49" t="str">
        <f t="shared" si="17"/>
        <v>2</v>
      </c>
      <c r="H377" s="49" t="str">
        <f t="shared" si="18"/>
        <v>c</v>
      </c>
      <c r="I377" s="25" t="s">
        <v>576</v>
      </c>
      <c r="J377" s="6" t="str">
        <f t="shared" si="19"/>
        <v>Investigate various alternatives of a framework, model and solution.</v>
      </c>
    </row>
    <row r="378" spans="1:10" x14ac:dyDescent="0.2">
      <c r="A378" s="40" t="s">
        <v>147</v>
      </c>
      <c r="B378" s="23" t="s">
        <v>88</v>
      </c>
      <c r="C378" s="23" t="s">
        <v>53</v>
      </c>
      <c r="D378" s="23" t="s">
        <v>148</v>
      </c>
      <c r="E378" s="27" t="s">
        <v>480</v>
      </c>
      <c r="F378" s="24" t="s">
        <v>59</v>
      </c>
      <c r="G378" s="49" t="str">
        <f t="shared" si="17"/>
        <v>2</v>
      </c>
      <c r="H378" s="49" t="str">
        <f t="shared" si="18"/>
        <v>d</v>
      </c>
      <c r="I378" s="25" t="s">
        <v>578</v>
      </c>
      <c r="J378" s="6" t="str">
        <f t="shared" si="19"/>
        <v>Choose an appropriate method to determine the best/ optimal solution of a model.</v>
      </c>
    </row>
    <row r="379" spans="1:10" x14ac:dyDescent="0.2">
      <c r="A379" s="40" t="s">
        <v>151</v>
      </c>
      <c r="B379" s="23" t="s">
        <v>95</v>
      </c>
      <c r="C379" s="23" t="s">
        <v>53</v>
      </c>
      <c r="D379" s="23" t="s">
        <v>106</v>
      </c>
      <c r="E379" s="27" t="s">
        <v>480</v>
      </c>
      <c r="F379" s="24" t="s">
        <v>59</v>
      </c>
      <c r="G379" s="49" t="str">
        <f t="shared" si="17"/>
        <v>2</v>
      </c>
      <c r="H379" s="49" t="str">
        <f t="shared" si="18"/>
        <v>d</v>
      </c>
      <c r="I379" s="25" t="s">
        <v>578</v>
      </c>
      <c r="J379" s="6" t="str">
        <f t="shared" si="19"/>
        <v>Choose an appropriate method to determine the best/ optimal solution of a model.</v>
      </c>
    </row>
    <row r="380" spans="1:10" ht="30" x14ac:dyDescent="0.2">
      <c r="A380" s="40" t="s">
        <v>100</v>
      </c>
      <c r="B380" s="23" t="s">
        <v>92</v>
      </c>
      <c r="C380" s="23" t="s">
        <v>53</v>
      </c>
      <c r="D380" s="23" t="s">
        <v>98</v>
      </c>
      <c r="E380" s="27" t="s">
        <v>435</v>
      </c>
      <c r="F380" s="24" t="s">
        <v>59</v>
      </c>
      <c r="G380" s="49" t="str">
        <f t="shared" si="17"/>
        <v>2</v>
      </c>
      <c r="H380" s="49" t="str">
        <f t="shared" si="18"/>
        <v>d</v>
      </c>
      <c r="I380" s="25" t="s">
        <v>578</v>
      </c>
      <c r="J380" s="6" t="str">
        <f t="shared" si="19"/>
        <v>Choose an appropriate method to determine the best/ optimal solution of a model.</v>
      </c>
    </row>
    <row r="381" spans="1:10" x14ac:dyDescent="0.2">
      <c r="A381" s="40" t="s">
        <v>239</v>
      </c>
      <c r="B381" s="23" t="s">
        <v>88</v>
      </c>
      <c r="C381" s="23" t="s">
        <v>54</v>
      </c>
      <c r="D381" s="23" t="s">
        <v>148</v>
      </c>
      <c r="E381" s="27" t="s">
        <v>447</v>
      </c>
      <c r="F381" s="24" t="s">
        <v>59</v>
      </c>
      <c r="G381" s="49" t="str">
        <f t="shared" si="17"/>
        <v>2</v>
      </c>
      <c r="H381" s="49" t="str">
        <f t="shared" si="18"/>
        <v>c</v>
      </c>
      <c r="I381" s="25" t="s">
        <v>576</v>
      </c>
      <c r="J381" s="6" t="str">
        <f t="shared" si="19"/>
        <v>Investigate various alternatives of a framework, model and solution.</v>
      </c>
    </row>
    <row r="382" spans="1:10" ht="30" x14ac:dyDescent="0.2">
      <c r="A382" s="40" t="s">
        <v>120</v>
      </c>
      <c r="B382" s="23" t="s">
        <v>92</v>
      </c>
      <c r="C382" s="23" t="s">
        <v>54</v>
      </c>
      <c r="D382" s="23" t="s">
        <v>112</v>
      </c>
      <c r="E382" s="27" t="s">
        <v>450</v>
      </c>
      <c r="F382" s="24" t="s">
        <v>59</v>
      </c>
      <c r="G382" s="49" t="str">
        <f t="shared" si="17"/>
        <v>2</v>
      </c>
      <c r="H382" s="49" t="str">
        <f t="shared" si="18"/>
        <v>c</v>
      </c>
      <c r="I382" s="25" t="s">
        <v>576</v>
      </c>
      <c r="J382" s="6" t="str">
        <f t="shared" si="19"/>
        <v>Investigate various alternatives of a framework, model and solution.</v>
      </c>
    </row>
    <row r="383" spans="1:10" ht="30" x14ac:dyDescent="0.2">
      <c r="A383" s="41" t="s">
        <v>105</v>
      </c>
      <c r="B383" s="26" t="s">
        <v>95</v>
      </c>
      <c r="C383" s="26" t="s">
        <v>53</v>
      </c>
      <c r="D383" s="26" t="s">
        <v>106</v>
      </c>
      <c r="E383" s="27" t="s">
        <v>442</v>
      </c>
      <c r="F383" s="28" t="s">
        <v>59</v>
      </c>
      <c r="G383" s="49" t="str">
        <f t="shared" si="17"/>
        <v>2</v>
      </c>
      <c r="H383" s="49" t="str">
        <f t="shared" si="18"/>
        <v>c</v>
      </c>
      <c r="I383" s="50" t="s">
        <v>576</v>
      </c>
      <c r="J383" s="6" t="str">
        <f t="shared" si="19"/>
        <v>Investigate various alternatives of a framework, model and solution.</v>
      </c>
    </row>
    <row r="384" spans="1:10" x14ac:dyDescent="0.2">
      <c r="A384" s="41" t="s">
        <v>197</v>
      </c>
      <c r="B384" s="26" t="s">
        <v>88</v>
      </c>
      <c r="C384" s="26" t="s">
        <v>53</v>
      </c>
      <c r="D384" s="26" t="s">
        <v>56</v>
      </c>
      <c r="E384" s="27" t="s">
        <v>402</v>
      </c>
      <c r="F384" s="28" t="s">
        <v>59</v>
      </c>
      <c r="G384" s="49" t="str">
        <f t="shared" si="17"/>
        <v>2</v>
      </c>
      <c r="H384" s="49" t="str">
        <f t="shared" si="18"/>
        <v>c</v>
      </c>
      <c r="I384" s="25" t="s">
        <v>576</v>
      </c>
      <c r="J384" s="6" t="str">
        <f t="shared" si="19"/>
        <v>Investigate various alternatives of a framework, model and solution.</v>
      </c>
    </row>
    <row r="385" spans="1:10" ht="30" x14ac:dyDescent="0.2">
      <c r="A385" s="40" t="s">
        <v>268</v>
      </c>
      <c r="B385" s="23" t="s">
        <v>88</v>
      </c>
      <c r="C385" s="23" t="s">
        <v>53</v>
      </c>
      <c r="D385" s="23" t="s">
        <v>89</v>
      </c>
      <c r="E385" s="27" t="s">
        <v>392</v>
      </c>
      <c r="F385" s="24" t="s">
        <v>59</v>
      </c>
      <c r="G385" s="49" t="str">
        <f t="shared" si="17"/>
        <v>2</v>
      </c>
      <c r="H385" s="49" t="str">
        <f t="shared" si="18"/>
        <v>d</v>
      </c>
      <c r="I385" s="25" t="s">
        <v>578</v>
      </c>
      <c r="J385" s="6" t="str">
        <f t="shared" si="19"/>
        <v>Choose an appropriate method to determine the best/ optimal solution of a model.</v>
      </c>
    </row>
    <row r="386" spans="1:10" x14ac:dyDescent="0.2">
      <c r="A386" s="41" t="s">
        <v>375</v>
      </c>
      <c r="B386" s="26" t="s">
        <v>92</v>
      </c>
      <c r="C386" s="26" t="s">
        <v>54</v>
      </c>
      <c r="D386" s="26" t="s">
        <v>112</v>
      </c>
      <c r="E386" s="27" t="s">
        <v>475</v>
      </c>
      <c r="F386" s="28" t="s">
        <v>59</v>
      </c>
      <c r="G386" s="49" t="str">
        <f t="shared" ref="G386:G426" si="20">LEFT(I386,1)</f>
        <v>2</v>
      </c>
      <c r="H386" s="49" t="str">
        <f t="shared" ref="H386:H426" si="21">RIGHT(I386,1)</f>
        <v>b</v>
      </c>
      <c r="I386" s="50" t="s">
        <v>574</v>
      </c>
      <c r="J386" s="6" t="str">
        <f t="shared" ref="J386:J426" si="22">IFERROR(VLOOKUP(I386,$N$3:$O$39,2,FALSE),0)</f>
        <v>Convert a problem into its abstract model equivalent.</v>
      </c>
    </row>
    <row r="387" spans="1:10" x14ac:dyDescent="0.2">
      <c r="A387" s="40" t="s">
        <v>249</v>
      </c>
      <c r="B387" s="23" t="s">
        <v>88</v>
      </c>
      <c r="C387" s="23" t="s">
        <v>53</v>
      </c>
      <c r="D387" s="23" t="s">
        <v>56</v>
      </c>
      <c r="E387" s="27" t="s">
        <v>416</v>
      </c>
      <c r="F387" s="24" t="s">
        <v>59</v>
      </c>
      <c r="G387" s="49" t="str">
        <f t="shared" si="20"/>
        <v>2</v>
      </c>
      <c r="H387" s="49" t="str">
        <f t="shared" si="21"/>
        <v>b</v>
      </c>
      <c r="I387" s="25" t="s">
        <v>574</v>
      </c>
      <c r="J387" s="6" t="str">
        <f t="shared" si="22"/>
        <v>Convert a problem into its abstract model equivalent.</v>
      </c>
    </row>
    <row r="388" spans="1:10" x14ac:dyDescent="0.2">
      <c r="A388" s="40" t="s">
        <v>186</v>
      </c>
      <c r="B388" s="23" t="s">
        <v>95</v>
      </c>
      <c r="C388" s="23" t="s">
        <v>54</v>
      </c>
      <c r="D388" s="23"/>
      <c r="E388" s="27" t="s">
        <v>81</v>
      </c>
      <c r="F388" s="24" t="s">
        <v>59</v>
      </c>
      <c r="G388" s="49" t="str">
        <f t="shared" si="20"/>
        <v>2</v>
      </c>
      <c r="H388" s="49" t="str">
        <f t="shared" si="21"/>
        <v>d</v>
      </c>
      <c r="I388" s="25" t="s">
        <v>578</v>
      </c>
      <c r="J388" s="6" t="str">
        <f t="shared" si="22"/>
        <v>Choose an appropriate method to determine the best/ optimal solution of a model.</v>
      </c>
    </row>
    <row r="389" spans="1:10" x14ac:dyDescent="0.2">
      <c r="A389" s="40" t="s">
        <v>102</v>
      </c>
      <c r="B389" s="23" t="s">
        <v>95</v>
      </c>
      <c r="C389" s="23" t="s">
        <v>53</v>
      </c>
      <c r="D389" s="23" t="s">
        <v>96</v>
      </c>
      <c r="E389" s="27" t="s">
        <v>440</v>
      </c>
      <c r="F389" s="24" t="s">
        <v>59</v>
      </c>
      <c r="G389" s="49" t="str">
        <f t="shared" si="20"/>
        <v>2</v>
      </c>
      <c r="H389" s="49" t="str">
        <f t="shared" si="21"/>
        <v>c</v>
      </c>
      <c r="I389" s="25" t="s">
        <v>576</v>
      </c>
      <c r="J389" s="6" t="str">
        <f t="shared" si="22"/>
        <v>Investigate various alternatives of a framework, model and solution.</v>
      </c>
    </row>
    <row r="390" spans="1:10" x14ac:dyDescent="0.2">
      <c r="A390" s="41" t="s">
        <v>164</v>
      </c>
      <c r="B390" s="26" t="s">
        <v>88</v>
      </c>
      <c r="C390" s="26" t="s">
        <v>53</v>
      </c>
      <c r="D390" s="26" t="s">
        <v>148</v>
      </c>
      <c r="E390" s="27" t="s">
        <v>438</v>
      </c>
      <c r="F390" s="28" t="s">
        <v>59</v>
      </c>
      <c r="G390" s="49" t="str">
        <f t="shared" si="20"/>
        <v>2</v>
      </c>
      <c r="H390" s="49" t="str">
        <f t="shared" si="21"/>
        <v>d</v>
      </c>
      <c r="I390" s="25" t="s">
        <v>578</v>
      </c>
      <c r="J390" s="6" t="str">
        <f t="shared" si="22"/>
        <v>Choose an appropriate method to determine the best/ optimal solution of a model.</v>
      </c>
    </row>
    <row r="391" spans="1:10" x14ac:dyDescent="0.2">
      <c r="A391" s="41" t="s">
        <v>272</v>
      </c>
      <c r="B391" s="26" t="s">
        <v>88</v>
      </c>
      <c r="C391" s="26" t="s">
        <v>53</v>
      </c>
      <c r="D391" s="26" t="s">
        <v>89</v>
      </c>
      <c r="E391" s="27" t="s">
        <v>394</v>
      </c>
      <c r="F391" s="28" t="s">
        <v>59</v>
      </c>
      <c r="G391" s="49" t="str">
        <f t="shared" si="20"/>
        <v>2</v>
      </c>
      <c r="H391" s="49" t="str">
        <f t="shared" si="21"/>
        <v>d</v>
      </c>
      <c r="I391" s="25" t="s">
        <v>578</v>
      </c>
      <c r="J391" s="6" t="str">
        <f t="shared" si="22"/>
        <v>Choose an appropriate method to determine the best/ optimal solution of a model.</v>
      </c>
    </row>
    <row r="392" spans="1:10" x14ac:dyDescent="0.2">
      <c r="A392" s="40" t="s">
        <v>209</v>
      </c>
      <c r="B392" s="23" t="s">
        <v>95</v>
      </c>
      <c r="C392" s="23" t="s">
        <v>53</v>
      </c>
      <c r="D392" s="23" t="s">
        <v>96</v>
      </c>
      <c r="E392" s="27" t="s">
        <v>426</v>
      </c>
      <c r="F392" s="24" t="s">
        <v>59</v>
      </c>
      <c r="G392" s="49" t="str">
        <f t="shared" si="20"/>
        <v>2</v>
      </c>
      <c r="H392" s="49" t="str">
        <f t="shared" si="21"/>
        <v>d</v>
      </c>
      <c r="I392" s="25" t="s">
        <v>578</v>
      </c>
      <c r="J392" s="6" t="str">
        <f t="shared" si="22"/>
        <v>Choose an appropriate method to determine the best/ optimal solution of a model.</v>
      </c>
    </row>
    <row r="393" spans="1:10" x14ac:dyDescent="0.2">
      <c r="A393" s="41" t="s">
        <v>124</v>
      </c>
      <c r="B393" s="26" t="s">
        <v>92</v>
      </c>
      <c r="C393" s="26" t="s">
        <v>54</v>
      </c>
      <c r="D393" s="26" t="s">
        <v>112</v>
      </c>
      <c r="E393" s="27" t="s">
        <v>454</v>
      </c>
      <c r="F393" s="28" t="s">
        <v>59</v>
      </c>
      <c r="G393" s="49" t="str">
        <f t="shared" si="20"/>
        <v>2</v>
      </c>
      <c r="H393" s="49" t="str">
        <f t="shared" si="21"/>
        <v>d</v>
      </c>
      <c r="I393" s="25" t="s">
        <v>578</v>
      </c>
      <c r="J393" s="6" t="str">
        <f t="shared" si="22"/>
        <v>Choose an appropriate method to determine the best/ optimal solution of a model.</v>
      </c>
    </row>
    <row r="394" spans="1:10" ht="30" x14ac:dyDescent="0.2">
      <c r="A394" s="40" t="s">
        <v>200</v>
      </c>
      <c r="B394" s="23" t="s">
        <v>88</v>
      </c>
      <c r="C394" s="23" t="s">
        <v>53</v>
      </c>
      <c r="D394" s="23" t="s">
        <v>56</v>
      </c>
      <c r="E394" s="27" t="s">
        <v>404</v>
      </c>
      <c r="F394" s="24" t="s">
        <v>59</v>
      </c>
      <c r="G394" s="49" t="str">
        <f t="shared" si="20"/>
        <v>2</v>
      </c>
      <c r="H394" s="49" t="str">
        <f t="shared" si="21"/>
        <v>d</v>
      </c>
      <c r="I394" s="25" t="s">
        <v>578</v>
      </c>
      <c r="J394" s="6" t="str">
        <f t="shared" si="22"/>
        <v>Choose an appropriate method to determine the best/ optimal solution of a model.</v>
      </c>
    </row>
    <row r="395" spans="1:10" x14ac:dyDescent="0.2">
      <c r="A395" s="40" t="s">
        <v>272</v>
      </c>
      <c r="B395" s="23" t="s">
        <v>88</v>
      </c>
      <c r="C395" s="23" t="s">
        <v>53</v>
      </c>
      <c r="D395" s="23" t="s">
        <v>89</v>
      </c>
      <c r="E395" s="27" t="s">
        <v>393</v>
      </c>
      <c r="F395" s="24" t="s">
        <v>59</v>
      </c>
      <c r="G395" s="49" t="str">
        <f t="shared" si="20"/>
        <v>2</v>
      </c>
      <c r="H395" s="49" t="str">
        <f t="shared" si="21"/>
        <v>d</v>
      </c>
      <c r="I395" s="25" t="s">
        <v>578</v>
      </c>
      <c r="J395" s="6" t="str">
        <f t="shared" si="22"/>
        <v>Choose an appropriate method to determine the best/ optimal solution of a model.</v>
      </c>
    </row>
    <row r="396" spans="1:10" x14ac:dyDescent="0.2">
      <c r="A396" s="41" t="s">
        <v>123</v>
      </c>
      <c r="B396" s="26" t="s">
        <v>95</v>
      </c>
      <c r="C396" s="26" t="s">
        <v>53</v>
      </c>
      <c r="D396" s="26" t="s">
        <v>106</v>
      </c>
      <c r="E396" s="27" t="s">
        <v>451</v>
      </c>
      <c r="F396" s="28" t="s">
        <v>59</v>
      </c>
      <c r="G396" s="49" t="str">
        <f t="shared" si="20"/>
        <v>2</v>
      </c>
      <c r="H396" s="49" t="str">
        <f t="shared" si="21"/>
        <v>d</v>
      </c>
      <c r="I396" s="25" t="s">
        <v>578</v>
      </c>
      <c r="J396" s="6" t="str">
        <f t="shared" si="22"/>
        <v>Choose an appropriate method to determine the best/ optimal solution of a model.</v>
      </c>
    </row>
    <row r="397" spans="1:10" ht="30" x14ac:dyDescent="0.2">
      <c r="A397" s="41" t="s">
        <v>132</v>
      </c>
      <c r="B397" s="26" t="s">
        <v>92</v>
      </c>
      <c r="C397" s="26" t="s">
        <v>54</v>
      </c>
      <c r="D397" s="26" t="s">
        <v>112</v>
      </c>
      <c r="E397" s="27" t="s">
        <v>460</v>
      </c>
      <c r="F397" s="28" t="s">
        <v>59</v>
      </c>
      <c r="G397" s="49" t="str">
        <f t="shared" si="20"/>
        <v>2</v>
      </c>
      <c r="H397" s="49" t="str">
        <f t="shared" si="21"/>
        <v>c</v>
      </c>
      <c r="I397" s="50" t="s">
        <v>576</v>
      </c>
      <c r="J397" s="6" t="str">
        <f t="shared" si="22"/>
        <v>Investigate various alternatives of a framework, model and solution.</v>
      </c>
    </row>
    <row r="398" spans="1:10" x14ac:dyDescent="0.2">
      <c r="A398" s="40" t="s">
        <v>123</v>
      </c>
      <c r="B398" s="23" t="s">
        <v>95</v>
      </c>
      <c r="C398" s="23" t="s">
        <v>53</v>
      </c>
      <c r="D398" s="23" t="s">
        <v>106</v>
      </c>
      <c r="E398" s="27" t="s">
        <v>452</v>
      </c>
      <c r="F398" s="24" t="s">
        <v>59</v>
      </c>
      <c r="G398" s="49" t="str">
        <f t="shared" si="20"/>
        <v>2</v>
      </c>
      <c r="H398" s="49" t="str">
        <f t="shared" si="21"/>
        <v>d</v>
      </c>
      <c r="I398" s="25" t="s">
        <v>578</v>
      </c>
      <c r="J398" s="6" t="str">
        <f t="shared" si="22"/>
        <v>Choose an appropriate method to determine the best/ optimal solution of a model.</v>
      </c>
    </row>
    <row r="399" spans="1:10" x14ac:dyDescent="0.2">
      <c r="A399" s="41" t="s">
        <v>105</v>
      </c>
      <c r="B399" s="26" t="s">
        <v>95</v>
      </c>
      <c r="C399" s="26" t="s">
        <v>53</v>
      </c>
      <c r="D399" s="26" t="s">
        <v>106</v>
      </c>
      <c r="E399" s="27" t="s">
        <v>483</v>
      </c>
      <c r="F399" s="28" t="s">
        <v>62</v>
      </c>
      <c r="G399" s="49" t="str">
        <f t="shared" si="20"/>
        <v>8</v>
      </c>
      <c r="H399" s="49" t="str">
        <f t="shared" si="21"/>
        <v>a</v>
      </c>
      <c r="I399" s="50" t="s">
        <v>609</v>
      </c>
      <c r="J399" s="6" t="str">
        <f t="shared" si="22"/>
        <v>Articulate the importance of professionalism in the workplace.</v>
      </c>
    </row>
    <row r="400" spans="1:10" x14ac:dyDescent="0.2">
      <c r="A400" s="40" t="s">
        <v>111</v>
      </c>
      <c r="B400" s="23" t="s">
        <v>92</v>
      </c>
      <c r="C400" s="23" t="s">
        <v>53</v>
      </c>
      <c r="D400" s="23" t="s">
        <v>112</v>
      </c>
      <c r="E400" s="27" t="s">
        <v>484</v>
      </c>
      <c r="F400" s="24" t="s">
        <v>62</v>
      </c>
      <c r="G400" s="49" t="str">
        <f t="shared" si="20"/>
        <v>8</v>
      </c>
      <c r="H400" s="49" t="str">
        <f t="shared" si="21"/>
        <v>a</v>
      </c>
      <c r="I400" s="25" t="s">
        <v>609</v>
      </c>
      <c r="J400" s="6" t="str">
        <f t="shared" si="22"/>
        <v>Articulate the importance of professionalism in the workplace.</v>
      </c>
    </row>
    <row r="401" spans="1:10" x14ac:dyDescent="0.2">
      <c r="A401" s="40" t="s">
        <v>105</v>
      </c>
      <c r="B401" s="23" t="s">
        <v>95</v>
      </c>
      <c r="C401" s="23" t="s">
        <v>53</v>
      </c>
      <c r="D401" s="23" t="s">
        <v>106</v>
      </c>
      <c r="E401" s="27" t="s">
        <v>79</v>
      </c>
      <c r="F401" s="24" t="s">
        <v>62</v>
      </c>
      <c r="G401" s="49" t="str">
        <f t="shared" si="20"/>
        <v>8</v>
      </c>
      <c r="H401" s="49" t="str">
        <f t="shared" si="21"/>
        <v>a</v>
      </c>
      <c r="I401" s="25" t="s">
        <v>609</v>
      </c>
      <c r="J401" s="6" t="str">
        <f t="shared" si="22"/>
        <v>Articulate the importance of professionalism in the workplace.</v>
      </c>
    </row>
    <row r="402" spans="1:10" x14ac:dyDescent="0.2">
      <c r="A402" s="41" t="s">
        <v>111</v>
      </c>
      <c r="B402" s="26" t="s">
        <v>92</v>
      </c>
      <c r="C402" s="26" t="s">
        <v>53</v>
      </c>
      <c r="D402" s="26" t="s">
        <v>112</v>
      </c>
      <c r="E402" s="27" t="s">
        <v>79</v>
      </c>
      <c r="F402" s="28" t="s">
        <v>62</v>
      </c>
      <c r="G402" s="49" t="str">
        <f t="shared" si="20"/>
        <v>8</v>
      </c>
      <c r="H402" s="49" t="str">
        <f t="shared" si="21"/>
        <v>a</v>
      </c>
      <c r="I402" s="25" t="s">
        <v>609</v>
      </c>
      <c r="J402" s="6" t="str">
        <f t="shared" si="22"/>
        <v>Articulate the importance of professionalism in the workplace.</v>
      </c>
    </row>
    <row r="403" spans="1:10" x14ac:dyDescent="0.2">
      <c r="A403" s="41" t="s">
        <v>100</v>
      </c>
      <c r="B403" s="26" t="s">
        <v>92</v>
      </c>
      <c r="C403" s="26" t="s">
        <v>53</v>
      </c>
      <c r="D403" s="26" t="s">
        <v>98</v>
      </c>
      <c r="E403" s="27" t="s">
        <v>482</v>
      </c>
      <c r="F403" s="28" t="s">
        <v>62</v>
      </c>
      <c r="G403" s="49" t="str">
        <f t="shared" si="20"/>
        <v>8</v>
      </c>
      <c r="H403" s="49" t="str">
        <f t="shared" si="21"/>
        <v>a</v>
      </c>
      <c r="I403" s="49" t="s">
        <v>609</v>
      </c>
      <c r="J403" s="6" t="str">
        <f t="shared" si="22"/>
        <v>Articulate the importance of professionalism in the workplace.</v>
      </c>
    </row>
    <row r="404" spans="1:10" x14ac:dyDescent="0.2">
      <c r="A404" s="40" t="s">
        <v>87</v>
      </c>
      <c r="B404" s="23" t="s">
        <v>88</v>
      </c>
      <c r="C404" s="23" t="s">
        <v>53</v>
      </c>
      <c r="D404" s="23" t="s">
        <v>89</v>
      </c>
      <c r="E404" s="27" t="s">
        <v>481</v>
      </c>
      <c r="F404" s="24" t="s">
        <v>62</v>
      </c>
      <c r="G404" s="49" t="str">
        <f t="shared" si="20"/>
        <v>8</v>
      </c>
      <c r="H404" s="49" t="str">
        <f t="shared" si="21"/>
        <v>a</v>
      </c>
      <c r="I404" s="25" t="s">
        <v>609</v>
      </c>
      <c r="J404" s="6" t="str">
        <f t="shared" si="22"/>
        <v>Articulate the importance of professionalism in the workplace.</v>
      </c>
    </row>
    <row r="405" spans="1:10" x14ac:dyDescent="0.2">
      <c r="A405" s="40" t="s">
        <v>164</v>
      </c>
      <c r="B405" s="23" t="s">
        <v>88</v>
      </c>
      <c r="C405" s="23" t="s">
        <v>53</v>
      </c>
      <c r="D405" s="23" t="s">
        <v>148</v>
      </c>
      <c r="E405" s="27" t="s">
        <v>492</v>
      </c>
      <c r="F405" s="24" t="s">
        <v>486</v>
      </c>
      <c r="G405" s="49" t="str">
        <f t="shared" si="20"/>
        <v>6</v>
      </c>
      <c r="H405" s="49" t="str">
        <f t="shared" si="21"/>
        <v>b</v>
      </c>
      <c r="I405" s="25" t="s">
        <v>603</v>
      </c>
      <c r="J405" s="6" t="str">
        <f t="shared" si="22"/>
        <v>Communicate and collaborate with other team members and Manage and resolve conflicts as they arise.</v>
      </c>
    </row>
    <row r="406" spans="1:10" x14ac:dyDescent="0.2">
      <c r="A406" s="41" t="s">
        <v>164</v>
      </c>
      <c r="B406" s="26" t="s">
        <v>88</v>
      </c>
      <c r="C406" s="26" t="s">
        <v>53</v>
      </c>
      <c r="D406" s="26" t="s">
        <v>148</v>
      </c>
      <c r="E406" s="27" t="s">
        <v>491</v>
      </c>
      <c r="F406" s="28" t="s">
        <v>486</v>
      </c>
      <c r="G406" s="49" t="str">
        <f t="shared" si="20"/>
        <v>6</v>
      </c>
      <c r="H406" s="49" t="str">
        <f t="shared" si="21"/>
        <v>a</v>
      </c>
      <c r="I406" s="25" t="s">
        <v>600</v>
      </c>
      <c r="J406" s="6" t="str">
        <f t="shared" si="22"/>
        <v>Perform as an active contributor to getting tasks completed.</v>
      </c>
    </row>
    <row r="407" spans="1:10" x14ac:dyDescent="0.2">
      <c r="A407" s="40" t="s">
        <v>164</v>
      </c>
      <c r="B407" s="23" t="s">
        <v>88</v>
      </c>
      <c r="C407" s="23" t="s">
        <v>53</v>
      </c>
      <c r="D407" s="23" t="s">
        <v>148</v>
      </c>
      <c r="E407" s="27" t="s">
        <v>494</v>
      </c>
      <c r="F407" s="24" t="s">
        <v>486</v>
      </c>
      <c r="G407" s="49" t="str">
        <f t="shared" si="20"/>
        <v>6</v>
      </c>
      <c r="H407" s="49" t="str">
        <f t="shared" si="21"/>
        <v>b</v>
      </c>
      <c r="I407" s="25" t="s">
        <v>603</v>
      </c>
      <c r="J407" s="6" t="str">
        <f t="shared" si="22"/>
        <v>Communicate and collaborate with other team members and Manage and resolve conflicts as they arise.</v>
      </c>
    </row>
    <row r="408" spans="1:10" x14ac:dyDescent="0.2">
      <c r="A408" s="40" t="s">
        <v>111</v>
      </c>
      <c r="B408" s="23" t="s">
        <v>92</v>
      </c>
      <c r="C408" s="23" t="s">
        <v>53</v>
      </c>
      <c r="D408" s="23" t="s">
        <v>112</v>
      </c>
      <c r="E408" s="27" t="s">
        <v>501</v>
      </c>
      <c r="F408" s="24" t="s">
        <v>486</v>
      </c>
      <c r="G408" s="49" t="str">
        <f t="shared" si="20"/>
        <v>6</v>
      </c>
      <c r="H408" s="49" t="str">
        <f t="shared" si="21"/>
        <v>b</v>
      </c>
      <c r="I408" s="25" t="s">
        <v>603</v>
      </c>
      <c r="J408" s="6" t="str">
        <f t="shared" si="22"/>
        <v>Communicate and collaborate with other team members and Manage and resolve conflicts as they arise.</v>
      </c>
    </row>
    <row r="409" spans="1:10" x14ac:dyDescent="0.2">
      <c r="A409" s="41" t="s">
        <v>105</v>
      </c>
      <c r="B409" s="26" t="s">
        <v>95</v>
      </c>
      <c r="C409" s="26" t="s">
        <v>53</v>
      </c>
      <c r="D409" s="26" t="s">
        <v>106</v>
      </c>
      <c r="E409" s="27" t="s">
        <v>496</v>
      </c>
      <c r="F409" s="28" t="s">
        <v>486</v>
      </c>
      <c r="G409" s="49" t="str">
        <f t="shared" si="20"/>
        <v>6</v>
      </c>
      <c r="H409" s="49" t="str">
        <f t="shared" si="21"/>
        <v>b</v>
      </c>
      <c r="I409" s="25" t="s">
        <v>603</v>
      </c>
      <c r="J409" s="6" t="str">
        <f t="shared" si="22"/>
        <v>Communicate and collaborate with other team members and Manage and resolve conflicts as they arise.</v>
      </c>
    </row>
    <row r="410" spans="1:10" x14ac:dyDescent="0.2">
      <c r="A410" s="40" t="s">
        <v>111</v>
      </c>
      <c r="B410" s="23" t="s">
        <v>92</v>
      </c>
      <c r="C410" s="23" t="s">
        <v>53</v>
      </c>
      <c r="D410" s="23" t="s">
        <v>112</v>
      </c>
      <c r="E410" s="27" t="s">
        <v>503</v>
      </c>
      <c r="F410" s="24" t="s">
        <v>486</v>
      </c>
      <c r="G410" s="49" t="str">
        <f t="shared" si="20"/>
        <v>6</v>
      </c>
      <c r="H410" s="49" t="str">
        <f t="shared" si="21"/>
        <v>b</v>
      </c>
      <c r="I410" s="25" t="s">
        <v>603</v>
      </c>
      <c r="J410" s="6" t="str">
        <f t="shared" si="22"/>
        <v>Communicate and collaborate with other team members and Manage and resolve conflicts as they arise.</v>
      </c>
    </row>
    <row r="411" spans="1:10" x14ac:dyDescent="0.2">
      <c r="A411" s="41" t="s">
        <v>105</v>
      </c>
      <c r="B411" s="26" t="s">
        <v>95</v>
      </c>
      <c r="C411" s="26" t="s">
        <v>53</v>
      </c>
      <c r="D411" s="26" t="s">
        <v>106</v>
      </c>
      <c r="E411" s="27" t="s">
        <v>90</v>
      </c>
      <c r="F411" s="28" t="s">
        <v>486</v>
      </c>
      <c r="G411" s="49" t="str">
        <f t="shared" si="20"/>
        <v>6</v>
      </c>
      <c r="H411" s="49" t="str">
        <f t="shared" si="21"/>
        <v>b</v>
      </c>
      <c r="I411" s="25" t="s">
        <v>603</v>
      </c>
      <c r="J411" s="6" t="str">
        <f t="shared" si="22"/>
        <v>Communicate and collaborate with other team members and Manage and resolve conflicts as they arise.</v>
      </c>
    </row>
    <row r="412" spans="1:10" ht="30" x14ac:dyDescent="0.2">
      <c r="A412" s="40" t="s">
        <v>87</v>
      </c>
      <c r="B412" s="23" t="s">
        <v>88</v>
      </c>
      <c r="C412" s="23" t="s">
        <v>53</v>
      </c>
      <c r="D412" s="23" t="s">
        <v>89</v>
      </c>
      <c r="E412" s="27" t="s">
        <v>487</v>
      </c>
      <c r="F412" s="24" t="s">
        <v>486</v>
      </c>
      <c r="G412" s="49" t="str">
        <f t="shared" si="20"/>
        <v>6</v>
      </c>
      <c r="H412" s="49" t="str">
        <f t="shared" si="21"/>
        <v>a</v>
      </c>
      <c r="I412" s="25" t="s">
        <v>600</v>
      </c>
      <c r="J412" s="6" t="str">
        <f t="shared" si="22"/>
        <v>Perform as an active contributor to getting tasks completed.</v>
      </c>
    </row>
    <row r="413" spans="1:10" x14ac:dyDescent="0.2">
      <c r="A413" s="41" t="s">
        <v>111</v>
      </c>
      <c r="B413" s="26" t="s">
        <v>92</v>
      </c>
      <c r="C413" s="26" t="s">
        <v>53</v>
      </c>
      <c r="D413" s="26" t="s">
        <v>112</v>
      </c>
      <c r="E413" s="27" t="s">
        <v>500</v>
      </c>
      <c r="F413" s="28" t="s">
        <v>486</v>
      </c>
      <c r="G413" s="49" t="str">
        <f t="shared" si="20"/>
        <v>6</v>
      </c>
      <c r="H413" s="49" t="str">
        <f t="shared" si="21"/>
        <v>a</v>
      </c>
      <c r="I413" s="25" t="s">
        <v>600</v>
      </c>
      <c r="J413" s="6" t="str">
        <f t="shared" si="22"/>
        <v>Perform as an active contributor to getting tasks completed.</v>
      </c>
    </row>
    <row r="414" spans="1:10" x14ac:dyDescent="0.2">
      <c r="A414" s="41" t="s">
        <v>111</v>
      </c>
      <c r="B414" s="26" t="s">
        <v>92</v>
      </c>
      <c r="C414" s="26" t="s">
        <v>53</v>
      </c>
      <c r="D414" s="26" t="s">
        <v>112</v>
      </c>
      <c r="E414" s="27" t="s">
        <v>504</v>
      </c>
      <c r="F414" s="28" t="s">
        <v>486</v>
      </c>
      <c r="G414" s="49" t="str">
        <f t="shared" si="20"/>
        <v>6</v>
      </c>
      <c r="H414" s="49" t="str">
        <f t="shared" si="21"/>
        <v>a</v>
      </c>
      <c r="I414" s="25" t="s">
        <v>600</v>
      </c>
      <c r="J414" s="6" t="str">
        <f t="shared" si="22"/>
        <v>Perform as an active contributor to getting tasks completed.</v>
      </c>
    </row>
    <row r="415" spans="1:10" ht="30" x14ac:dyDescent="0.2">
      <c r="A415" s="41" t="s">
        <v>94</v>
      </c>
      <c r="B415" s="26" t="s">
        <v>95</v>
      </c>
      <c r="C415" s="26" t="s">
        <v>53</v>
      </c>
      <c r="D415" s="26" t="s">
        <v>96</v>
      </c>
      <c r="E415" s="27" t="s">
        <v>488</v>
      </c>
      <c r="F415" s="28" t="s">
        <v>486</v>
      </c>
      <c r="G415" s="49" t="str">
        <f t="shared" si="20"/>
        <v>6</v>
      </c>
      <c r="H415" s="49" t="str">
        <f t="shared" si="21"/>
        <v>b</v>
      </c>
      <c r="I415" s="50" t="s">
        <v>603</v>
      </c>
      <c r="J415" s="6" t="str">
        <f t="shared" si="22"/>
        <v>Communicate and collaborate with other team members and Manage and resolve conflicts as they arise.</v>
      </c>
    </row>
    <row r="416" spans="1:10" x14ac:dyDescent="0.2">
      <c r="A416" s="40" t="s">
        <v>105</v>
      </c>
      <c r="B416" s="23" t="s">
        <v>95</v>
      </c>
      <c r="C416" s="23" t="s">
        <v>53</v>
      </c>
      <c r="D416" s="23" t="s">
        <v>106</v>
      </c>
      <c r="E416" s="27" t="s">
        <v>497</v>
      </c>
      <c r="F416" s="24" t="s">
        <v>486</v>
      </c>
      <c r="G416" s="49" t="str">
        <f t="shared" si="20"/>
        <v>6</v>
      </c>
      <c r="H416" s="49" t="str">
        <f t="shared" si="21"/>
        <v>a</v>
      </c>
      <c r="I416" s="25" t="s">
        <v>600</v>
      </c>
      <c r="J416" s="6" t="str">
        <f t="shared" si="22"/>
        <v>Perform as an active contributor to getting tasks completed.</v>
      </c>
    </row>
    <row r="417" spans="1:10" x14ac:dyDescent="0.2">
      <c r="A417" s="41" t="s">
        <v>111</v>
      </c>
      <c r="B417" s="26" t="s">
        <v>92</v>
      </c>
      <c r="C417" s="26" t="s">
        <v>53</v>
      </c>
      <c r="D417" s="26" t="s">
        <v>112</v>
      </c>
      <c r="E417" s="27" t="s">
        <v>502</v>
      </c>
      <c r="F417" s="28" t="s">
        <v>486</v>
      </c>
      <c r="G417" s="49" t="str">
        <f t="shared" si="20"/>
        <v>6</v>
      </c>
      <c r="H417" s="49" t="str">
        <f t="shared" si="21"/>
        <v>a</v>
      </c>
      <c r="I417" s="25" t="s">
        <v>600</v>
      </c>
      <c r="J417" s="6" t="str">
        <f t="shared" si="22"/>
        <v>Perform as an active contributor to getting tasks completed.</v>
      </c>
    </row>
    <row r="418" spans="1:10" x14ac:dyDescent="0.2">
      <c r="A418" s="40" t="s">
        <v>105</v>
      </c>
      <c r="B418" s="23" t="s">
        <v>95</v>
      </c>
      <c r="C418" s="23" t="s">
        <v>53</v>
      </c>
      <c r="D418" s="23" t="s">
        <v>106</v>
      </c>
      <c r="E418" s="27" t="s">
        <v>498</v>
      </c>
      <c r="F418" s="24" t="s">
        <v>486</v>
      </c>
      <c r="G418" s="49" t="str">
        <f t="shared" si="20"/>
        <v>6</v>
      </c>
      <c r="H418" s="49" t="str">
        <f t="shared" si="21"/>
        <v>a</v>
      </c>
      <c r="I418" s="25" t="s">
        <v>600</v>
      </c>
      <c r="J418" s="6" t="str">
        <f t="shared" si="22"/>
        <v>Perform as an active contributor to getting tasks completed.</v>
      </c>
    </row>
    <row r="419" spans="1:10" x14ac:dyDescent="0.2">
      <c r="A419" s="41" t="s">
        <v>87</v>
      </c>
      <c r="B419" s="26" t="s">
        <v>88</v>
      </c>
      <c r="C419" s="26" t="s">
        <v>53</v>
      </c>
      <c r="D419" s="26" t="s">
        <v>89</v>
      </c>
      <c r="E419" s="27" t="s">
        <v>485</v>
      </c>
      <c r="F419" s="28" t="s">
        <v>486</v>
      </c>
      <c r="G419" s="49" t="str">
        <f t="shared" si="20"/>
        <v>6</v>
      </c>
      <c r="H419" s="49" t="str">
        <f t="shared" si="21"/>
        <v>b</v>
      </c>
      <c r="I419" s="50" t="s">
        <v>603</v>
      </c>
      <c r="J419" s="6" t="str">
        <f t="shared" si="22"/>
        <v>Communicate and collaborate with other team members and Manage and resolve conflicts as they arise.</v>
      </c>
    </row>
    <row r="420" spans="1:10" x14ac:dyDescent="0.2">
      <c r="A420" s="40" t="s">
        <v>164</v>
      </c>
      <c r="B420" s="23" t="s">
        <v>88</v>
      </c>
      <c r="C420" s="23" t="s">
        <v>53</v>
      </c>
      <c r="D420" s="23" t="s">
        <v>148</v>
      </c>
      <c r="E420" s="27" t="s">
        <v>490</v>
      </c>
      <c r="F420" s="24" t="s">
        <v>486</v>
      </c>
      <c r="G420" s="49" t="str">
        <f t="shared" si="20"/>
        <v>6</v>
      </c>
      <c r="H420" s="49" t="str">
        <f t="shared" si="21"/>
        <v>a</v>
      </c>
      <c r="I420" s="25" t="s">
        <v>600</v>
      </c>
      <c r="J420" s="6" t="str">
        <f t="shared" si="22"/>
        <v>Perform as an active contributor to getting tasks completed.</v>
      </c>
    </row>
    <row r="421" spans="1:10" x14ac:dyDescent="0.2">
      <c r="A421" s="41" t="s">
        <v>105</v>
      </c>
      <c r="B421" s="26" t="s">
        <v>95</v>
      </c>
      <c r="C421" s="26" t="s">
        <v>53</v>
      </c>
      <c r="D421" s="26" t="s">
        <v>106</v>
      </c>
      <c r="E421" s="27" t="s">
        <v>499</v>
      </c>
      <c r="F421" s="28" t="s">
        <v>486</v>
      </c>
      <c r="G421" s="49" t="str">
        <f t="shared" si="20"/>
        <v>6</v>
      </c>
      <c r="H421" s="49" t="str">
        <f t="shared" si="21"/>
        <v>a</v>
      </c>
      <c r="I421" s="25" t="s">
        <v>600</v>
      </c>
      <c r="J421" s="6" t="str">
        <f t="shared" si="22"/>
        <v>Perform as an active contributor to getting tasks completed.</v>
      </c>
    </row>
    <row r="422" spans="1:10" x14ac:dyDescent="0.2">
      <c r="A422" s="40" t="s">
        <v>105</v>
      </c>
      <c r="B422" s="23" t="s">
        <v>95</v>
      </c>
      <c r="C422" s="23" t="s">
        <v>53</v>
      </c>
      <c r="D422" s="23" t="s">
        <v>106</v>
      </c>
      <c r="E422" s="27" t="s">
        <v>495</v>
      </c>
      <c r="F422" s="24" t="s">
        <v>486</v>
      </c>
      <c r="G422" s="49" t="str">
        <f t="shared" si="20"/>
        <v>6</v>
      </c>
      <c r="H422" s="49" t="str">
        <f t="shared" si="21"/>
        <v>a</v>
      </c>
      <c r="I422" s="25" t="s">
        <v>600</v>
      </c>
      <c r="J422" s="6" t="str">
        <f t="shared" si="22"/>
        <v>Perform as an active contributor to getting tasks completed.</v>
      </c>
    </row>
    <row r="423" spans="1:10" x14ac:dyDescent="0.2">
      <c r="A423" s="41" t="s">
        <v>164</v>
      </c>
      <c r="B423" s="26" t="s">
        <v>88</v>
      </c>
      <c r="C423" s="26" t="s">
        <v>53</v>
      </c>
      <c r="D423" s="26" t="s">
        <v>148</v>
      </c>
      <c r="E423" s="27" t="s">
        <v>493</v>
      </c>
      <c r="F423" s="28" t="s">
        <v>486</v>
      </c>
      <c r="G423" s="49" t="str">
        <f t="shared" si="20"/>
        <v>6</v>
      </c>
      <c r="H423" s="49" t="str">
        <f t="shared" si="21"/>
        <v>b</v>
      </c>
      <c r="I423" s="50" t="s">
        <v>603</v>
      </c>
      <c r="J423" s="6" t="str">
        <f t="shared" si="22"/>
        <v>Communicate and collaborate with other team members and Manage and resolve conflicts as they arise.</v>
      </c>
    </row>
    <row r="424" spans="1:10" x14ac:dyDescent="0.2">
      <c r="A424" s="40" t="s">
        <v>111</v>
      </c>
      <c r="B424" s="23" t="s">
        <v>92</v>
      </c>
      <c r="C424" s="23" t="s">
        <v>53</v>
      </c>
      <c r="D424" s="23" t="s">
        <v>112</v>
      </c>
      <c r="E424" s="27" t="s">
        <v>505</v>
      </c>
      <c r="F424" s="24" t="s">
        <v>486</v>
      </c>
      <c r="G424" s="49" t="str">
        <f t="shared" si="20"/>
        <v>6</v>
      </c>
      <c r="H424" s="49" t="str">
        <f t="shared" si="21"/>
        <v>a</v>
      </c>
      <c r="I424" s="25" t="s">
        <v>600</v>
      </c>
      <c r="J424" s="6" t="str">
        <f t="shared" si="22"/>
        <v>Perform as an active contributor to getting tasks completed.</v>
      </c>
    </row>
    <row r="425" spans="1:10" x14ac:dyDescent="0.2">
      <c r="A425" s="41" t="s">
        <v>126</v>
      </c>
      <c r="B425" s="26" t="s">
        <v>92</v>
      </c>
      <c r="C425" s="26" t="s">
        <v>54</v>
      </c>
      <c r="D425" s="26" t="s">
        <v>112</v>
      </c>
      <c r="E425" s="27" t="s">
        <v>506</v>
      </c>
      <c r="F425" s="28" t="s">
        <v>486</v>
      </c>
      <c r="G425" s="49" t="str">
        <f t="shared" si="20"/>
        <v>6</v>
      </c>
      <c r="H425" s="49" t="str">
        <f t="shared" si="21"/>
        <v>b</v>
      </c>
      <c r="I425" s="49" t="s">
        <v>603</v>
      </c>
      <c r="J425" s="6" t="str">
        <f t="shared" si="22"/>
        <v>Communicate and collaborate with other team members and Manage and resolve conflicts as they arise.</v>
      </c>
    </row>
    <row r="426" spans="1:10" x14ac:dyDescent="0.2">
      <c r="A426" s="41" t="s">
        <v>164</v>
      </c>
      <c r="B426" s="26" t="s">
        <v>88</v>
      </c>
      <c r="C426" s="26" t="s">
        <v>53</v>
      </c>
      <c r="D426" s="26" t="s">
        <v>148</v>
      </c>
      <c r="E426" s="27" t="s">
        <v>489</v>
      </c>
      <c r="F426" s="28" t="s">
        <v>486</v>
      </c>
      <c r="G426" s="49" t="str">
        <f t="shared" si="20"/>
        <v>6</v>
      </c>
      <c r="H426" s="49" t="str">
        <f t="shared" si="21"/>
        <v>a</v>
      </c>
      <c r="I426" s="25" t="s">
        <v>600</v>
      </c>
      <c r="J426" s="6" t="str">
        <f t="shared" si="22"/>
        <v>Perform as an active contributor to getting tasks completed.</v>
      </c>
    </row>
  </sheetData>
  <mergeCells count="12">
    <mergeCell ref="P37:P39"/>
    <mergeCell ref="P3:P8"/>
    <mergeCell ref="P9:P12"/>
    <mergeCell ref="P13:P14"/>
    <mergeCell ref="P15:P17"/>
    <mergeCell ref="P18:P20"/>
    <mergeCell ref="P21:P22"/>
    <mergeCell ref="P23:P25"/>
    <mergeCell ref="P26:P27"/>
    <mergeCell ref="P28:P30"/>
    <mergeCell ref="P31:P33"/>
    <mergeCell ref="P34:P36"/>
  </mergeCells>
  <conditionalFormatting sqref="E2:E42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P1053"/>
  <sheetViews>
    <sheetView tabSelected="1" topLeftCell="B1" zoomScale="75" zoomScaleNormal="80" zoomScalePageLayoutView="80" workbookViewId="0">
      <selection activeCell="P9" sqref="P9"/>
    </sheetView>
  </sheetViews>
  <sheetFormatPr baseColWidth="10" defaultColWidth="8.83203125" defaultRowHeight="15" x14ac:dyDescent="0.2"/>
  <cols>
    <col min="1" max="1" width="10.83203125" bestFit="1" customWidth="1"/>
    <col min="2" max="2" width="37.1640625" bestFit="1" customWidth="1"/>
    <col min="3" max="3" width="65.5" customWidth="1"/>
    <col min="4" max="4" width="14" bestFit="1" customWidth="1"/>
    <col min="5" max="5" width="5.83203125" bestFit="1" customWidth="1"/>
    <col min="6" max="6" width="16.83203125" bestFit="1" customWidth="1"/>
    <col min="7" max="7" width="15" bestFit="1" customWidth="1"/>
    <col min="8" max="8" width="12.83203125" bestFit="1" customWidth="1"/>
    <col min="9" max="9" width="20.6640625" bestFit="1" customWidth="1"/>
    <col min="10" max="10" width="21.1640625" bestFit="1" customWidth="1"/>
    <col min="11" max="11" width="7.1640625" bestFit="1" customWidth="1"/>
    <col min="12" max="12" width="4.83203125" bestFit="1" customWidth="1"/>
    <col min="13" max="13" width="7" bestFit="1" customWidth="1"/>
    <col min="14" max="14" width="7.1640625" bestFit="1" customWidth="1"/>
  </cols>
  <sheetData>
    <row r="1" spans="1:16" ht="35.25" customHeight="1" x14ac:dyDescent="0.2">
      <c r="B1" t="s">
        <v>2</v>
      </c>
      <c r="C1" t="s">
        <v>3</v>
      </c>
      <c r="D1" t="s">
        <v>511</v>
      </c>
      <c r="E1" t="s">
        <v>40</v>
      </c>
      <c r="F1" t="s">
        <v>41</v>
      </c>
      <c r="G1" t="s">
        <v>43</v>
      </c>
      <c r="H1" t="s">
        <v>39</v>
      </c>
      <c r="I1" t="s">
        <v>44</v>
      </c>
      <c r="J1" t="s">
        <v>45</v>
      </c>
      <c r="K1" t="s">
        <v>46</v>
      </c>
      <c r="L1" t="s">
        <v>50</v>
      </c>
      <c r="M1" t="s">
        <v>51</v>
      </c>
      <c r="N1" t="s">
        <v>57</v>
      </c>
    </row>
    <row r="2" spans="1:16" x14ac:dyDescent="0.2">
      <c r="A2">
        <v>598829620</v>
      </c>
      <c r="B2" t="s">
        <v>512</v>
      </c>
      <c r="C2" t="s">
        <v>653</v>
      </c>
      <c r="E2" s="22">
        <v>0.2</v>
      </c>
      <c r="F2" t="s">
        <v>648</v>
      </c>
      <c r="G2" t="s">
        <v>649</v>
      </c>
      <c r="H2" t="s">
        <v>650</v>
      </c>
      <c r="I2" t="s">
        <v>651</v>
      </c>
      <c r="J2" t="s">
        <v>652</v>
      </c>
      <c r="K2" t="s">
        <v>48</v>
      </c>
      <c r="L2">
        <v>2016</v>
      </c>
      <c r="M2" t="s">
        <v>56</v>
      </c>
      <c r="N2" t="s">
        <v>55</v>
      </c>
      <c r="P2" t="s">
        <v>674</v>
      </c>
    </row>
    <row r="3" spans="1:16" x14ac:dyDescent="0.2">
      <c r="A3">
        <v>684014860</v>
      </c>
      <c r="B3" t="s">
        <v>512</v>
      </c>
      <c r="C3" t="s">
        <v>653</v>
      </c>
      <c r="E3" s="22">
        <v>0.54000000000000015</v>
      </c>
      <c r="F3" t="s">
        <v>648</v>
      </c>
      <c r="G3" t="s">
        <v>649</v>
      </c>
      <c r="H3" t="s">
        <v>650</v>
      </c>
      <c r="I3" t="s">
        <v>651</v>
      </c>
      <c r="J3" t="s">
        <v>652</v>
      </c>
      <c r="K3" t="s">
        <v>48</v>
      </c>
      <c r="L3">
        <v>2016</v>
      </c>
      <c r="M3" t="s">
        <v>56</v>
      </c>
      <c r="N3" t="s">
        <v>55</v>
      </c>
      <c r="P3" t="s">
        <v>675</v>
      </c>
    </row>
    <row r="4" spans="1:16" x14ac:dyDescent="0.2">
      <c r="A4">
        <v>843228181</v>
      </c>
      <c r="B4" t="s">
        <v>512</v>
      </c>
      <c r="C4" t="s">
        <v>653</v>
      </c>
      <c r="E4" s="22">
        <v>0.65666666666666673</v>
      </c>
      <c r="F4" t="s">
        <v>648</v>
      </c>
      <c r="G4" t="s">
        <v>649</v>
      </c>
      <c r="H4" t="s">
        <v>650</v>
      </c>
      <c r="I4" t="s">
        <v>651</v>
      </c>
      <c r="J4" t="s">
        <v>652</v>
      </c>
      <c r="K4" t="s">
        <v>48</v>
      </c>
      <c r="L4">
        <v>2016</v>
      </c>
      <c r="M4" t="s">
        <v>56</v>
      </c>
      <c r="N4" t="s">
        <v>55</v>
      </c>
      <c r="P4" t="s">
        <v>676</v>
      </c>
    </row>
    <row r="5" spans="1:16" x14ac:dyDescent="0.2">
      <c r="A5">
        <v>820549378</v>
      </c>
      <c r="B5" t="s">
        <v>512</v>
      </c>
      <c r="C5" t="s">
        <v>653</v>
      </c>
      <c r="E5" s="22">
        <v>0.39666666666666661</v>
      </c>
      <c r="F5" t="s">
        <v>648</v>
      </c>
      <c r="G5" t="s">
        <v>649</v>
      </c>
      <c r="H5" t="s">
        <v>650</v>
      </c>
      <c r="I5" t="s">
        <v>651</v>
      </c>
      <c r="J5" t="s">
        <v>652</v>
      </c>
      <c r="K5" t="s">
        <v>48</v>
      </c>
      <c r="L5">
        <v>2016</v>
      </c>
      <c r="M5" t="s">
        <v>56</v>
      </c>
      <c r="N5" t="s">
        <v>55</v>
      </c>
      <c r="P5" s="6" t="s">
        <v>677</v>
      </c>
    </row>
    <row r="6" spans="1:16" x14ac:dyDescent="0.2">
      <c r="A6">
        <v>533572169</v>
      </c>
      <c r="B6" t="s">
        <v>512</v>
      </c>
      <c r="C6" t="s">
        <v>653</v>
      </c>
      <c r="E6" s="22">
        <v>0.35</v>
      </c>
      <c r="F6" t="s">
        <v>648</v>
      </c>
      <c r="G6" t="s">
        <v>649</v>
      </c>
      <c r="H6" t="s">
        <v>650</v>
      </c>
      <c r="I6" t="s">
        <v>651</v>
      </c>
      <c r="J6" t="s">
        <v>652</v>
      </c>
      <c r="K6" t="s">
        <v>48</v>
      </c>
      <c r="L6">
        <v>2016</v>
      </c>
      <c r="M6" t="s">
        <v>56</v>
      </c>
      <c r="N6" t="s">
        <v>55</v>
      </c>
      <c r="P6" s="6" t="s">
        <v>678</v>
      </c>
    </row>
    <row r="7" spans="1:16" x14ac:dyDescent="0.2">
      <c r="A7">
        <v>975325712</v>
      </c>
      <c r="B7" t="s">
        <v>512</v>
      </c>
      <c r="C7" t="s">
        <v>653</v>
      </c>
      <c r="E7" s="22">
        <v>0.46666666666666667</v>
      </c>
      <c r="F7" t="s">
        <v>648</v>
      </c>
      <c r="G7" t="s">
        <v>649</v>
      </c>
      <c r="H7" t="s">
        <v>650</v>
      </c>
      <c r="I7" t="s">
        <v>651</v>
      </c>
      <c r="J7" t="s">
        <v>652</v>
      </c>
      <c r="K7" t="s">
        <v>48</v>
      </c>
      <c r="L7">
        <v>2016</v>
      </c>
      <c r="M7" t="s">
        <v>56</v>
      </c>
      <c r="N7" t="s">
        <v>55</v>
      </c>
      <c r="P7" s="6" t="s">
        <v>679</v>
      </c>
    </row>
    <row r="8" spans="1:16" x14ac:dyDescent="0.2">
      <c r="A8">
        <v>310082419</v>
      </c>
      <c r="B8" t="s">
        <v>512</v>
      </c>
      <c r="C8" t="s">
        <v>653</v>
      </c>
      <c r="E8" s="22">
        <v>0.17666666666666669</v>
      </c>
      <c r="F8" t="s">
        <v>648</v>
      </c>
      <c r="G8" t="s">
        <v>649</v>
      </c>
      <c r="H8" t="s">
        <v>650</v>
      </c>
      <c r="I8" t="s">
        <v>651</v>
      </c>
      <c r="J8" t="s">
        <v>652</v>
      </c>
      <c r="K8" t="s">
        <v>48</v>
      </c>
      <c r="L8">
        <v>2016</v>
      </c>
      <c r="M8" t="s">
        <v>56</v>
      </c>
      <c r="N8" t="s">
        <v>55</v>
      </c>
      <c r="P8" s="6" t="s">
        <v>680</v>
      </c>
    </row>
    <row r="9" spans="1:16" x14ac:dyDescent="0.2">
      <c r="A9">
        <v>242132470</v>
      </c>
      <c r="B9" t="s">
        <v>512</v>
      </c>
      <c r="C9" t="s">
        <v>653</v>
      </c>
      <c r="E9" s="22">
        <v>0.23999999999999996</v>
      </c>
      <c r="F9" t="s">
        <v>648</v>
      </c>
      <c r="G9" t="s">
        <v>649</v>
      </c>
      <c r="H9" t="s">
        <v>650</v>
      </c>
      <c r="I9" t="s">
        <v>651</v>
      </c>
      <c r="J9" t="s">
        <v>652</v>
      </c>
      <c r="K9" t="s">
        <v>48</v>
      </c>
      <c r="L9">
        <v>2016</v>
      </c>
      <c r="M9" t="s">
        <v>56</v>
      </c>
      <c r="N9" t="s">
        <v>55</v>
      </c>
      <c r="P9" s="6" t="s">
        <v>681</v>
      </c>
    </row>
    <row r="10" spans="1:16" x14ac:dyDescent="0.2">
      <c r="A10">
        <v>208248363</v>
      </c>
      <c r="B10" t="s">
        <v>512</v>
      </c>
      <c r="C10" t="s">
        <v>653</v>
      </c>
      <c r="E10" s="22">
        <v>0.59000000000000008</v>
      </c>
      <c r="F10" t="s">
        <v>648</v>
      </c>
      <c r="G10" t="s">
        <v>649</v>
      </c>
      <c r="H10" t="s">
        <v>650</v>
      </c>
      <c r="I10" t="s">
        <v>651</v>
      </c>
      <c r="J10" t="s">
        <v>652</v>
      </c>
      <c r="K10" t="s">
        <v>48</v>
      </c>
      <c r="L10">
        <v>2016</v>
      </c>
      <c r="M10" t="s">
        <v>56</v>
      </c>
      <c r="N10" t="s">
        <v>55</v>
      </c>
      <c r="P10" s="6" t="s">
        <v>682</v>
      </c>
    </row>
    <row r="11" spans="1:16" x14ac:dyDescent="0.2">
      <c r="A11">
        <v>277055951</v>
      </c>
      <c r="B11" t="s">
        <v>512</v>
      </c>
      <c r="C11" t="s">
        <v>653</v>
      </c>
      <c r="E11" s="22">
        <v>0.33999999999999997</v>
      </c>
      <c r="F11" t="s">
        <v>648</v>
      </c>
      <c r="G11" t="s">
        <v>649</v>
      </c>
      <c r="H11" t="s">
        <v>650</v>
      </c>
      <c r="I11" t="s">
        <v>651</v>
      </c>
      <c r="J11" t="s">
        <v>652</v>
      </c>
      <c r="K11" t="s">
        <v>48</v>
      </c>
      <c r="L11">
        <v>2016</v>
      </c>
      <c r="M11" t="s">
        <v>56</v>
      </c>
      <c r="N11" t="s">
        <v>55</v>
      </c>
      <c r="P11" s="6" t="s">
        <v>683</v>
      </c>
    </row>
    <row r="12" spans="1:16" x14ac:dyDescent="0.2">
      <c r="A12">
        <v>902907559</v>
      </c>
      <c r="B12" t="s">
        <v>512</v>
      </c>
      <c r="C12" t="s">
        <v>653</v>
      </c>
      <c r="E12" s="22">
        <v>0.82333333333333347</v>
      </c>
      <c r="F12" t="s">
        <v>648</v>
      </c>
      <c r="G12" t="s">
        <v>649</v>
      </c>
      <c r="H12" t="s">
        <v>650</v>
      </c>
      <c r="I12" t="s">
        <v>651</v>
      </c>
      <c r="J12" t="s">
        <v>652</v>
      </c>
      <c r="K12" t="s">
        <v>48</v>
      </c>
      <c r="L12">
        <v>2016</v>
      </c>
      <c r="M12" t="s">
        <v>56</v>
      </c>
      <c r="N12" t="s">
        <v>55</v>
      </c>
      <c r="P12" s="6" t="s">
        <v>684</v>
      </c>
    </row>
    <row r="13" spans="1:16" x14ac:dyDescent="0.2">
      <c r="A13">
        <v>528297980</v>
      </c>
      <c r="B13" t="s">
        <v>512</v>
      </c>
      <c r="C13" t="s">
        <v>653</v>
      </c>
      <c r="E13" s="22">
        <v>0.62</v>
      </c>
      <c r="F13" t="s">
        <v>648</v>
      </c>
      <c r="G13" t="s">
        <v>649</v>
      </c>
      <c r="H13" t="s">
        <v>650</v>
      </c>
      <c r="I13" t="s">
        <v>651</v>
      </c>
      <c r="J13" t="s">
        <v>652</v>
      </c>
      <c r="K13" t="s">
        <v>48</v>
      </c>
      <c r="L13">
        <v>2016</v>
      </c>
      <c r="M13" t="s">
        <v>56</v>
      </c>
      <c r="N13" t="s">
        <v>55</v>
      </c>
      <c r="P13" s="6" t="s">
        <v>685</v>
      </c>
    </row>
    <row r="14" spans="1:16" x14ac:dyDescent="0.2">
      <c r="A14">
        <v>444882790</v>
      </c>
      <c r="B14" t="s">
        <v>512</v>
      </c>
      <c r="C14" t="s">
        <v>653</v>
      </c>
      <c r="E14" s="22">
        <v>0.31666666666666665</v>
      </c>
      <c r="F14" t="s">
        <v>648</v>
      </c>
      <c r="G14" t="s">
        <v>649</v>
      </c>
      <c r="H14" t="s">
        <v>650</v>
      </c>
      <c r="I14" t="s">
        <v>651</v>
      </c>
      <c r="J14" t="s">
        <v>652</v>
      </c>
      <c r="K14" t="s">
        <v>48</v>
      </c>
      <c r="L14">
        <v>2016</v>
      </c>
      <c r="M14" t="s">
        <v>56</v>
      </c>
      <c r="N14" t="s">
        <v>55</v>
      </c>
      <c r="P14" s="6" t="s">
        <v>686</v>
      </c>
    </row>
    <row r="15" spans="1:16" x14ac:dyDescent="0.2">
      <c r="A15">
        <v>112085131</v>
      </c>
      <c r="B15" t="s">
        <v>512</v>
      </c>
      <c r="C15" t="s">
        <v>653</v>
      </c>
      <c r="E15" s="22">
        <v>0.15333333333333332</v>
      </c>
      <c r="F15" t="s">
        <v>648</v>
      </c>
      <c r="G15" t="s">
        <v>649</v>
      </c>
      <c r="H15" t="s">
        <v>650</v>
      </c>
      <c r="I15" t="s">
        <v>651</v>
      </c>
      <c r="J15" t="s">
        <v>652</v>
      </c>
      <c r="K15" t="s">
        <v>48</v>
      </c>
      <c r="L15">
        <v>2016</v>
      </c>
      <c r="M15" t="s">
        <v>56</v>
      </c>
      <c r="N15" t="s">
        <v>55</v>
      </c>
      <c r="P15" s="6" t="s">
        <v>687</v>
      </c>
    </row>
    <row r="16" spans="1:16" x14ac:dyDescent="0.2">
      <c r="A16">
        <v>588642518</v>
      </c>
      <c r="B16" t="s">
        <v>512</v>
      </c>
      <c r="C16" t="s">
        <v>653</v>
      </c>
      <c r="E16" s="22">
        <v>0.62666666666666671</v>
      </c>
      <c r="F16" t="s">
        <v>648</v>
      </c>
      <c r="G16" t="s">
        <v>649</v>
      </c>
      <c r="H16" t="s">
        <v>650</v>
      </c>
      <c r="I16" t="s">
        <v>651</v>
      </c>
      <c r="J16" t="s">
        <v>652</v>
      </c>
      <c r="K16" t="s">
        <v>48</v>
      </c>
      <c r="L16">
        <v>2016</v>
      </c>
      <c r="M16" t="s">
        <v>56</v>
      </c>
      <c r="N16" t="s">
        <v>55</v>
      </c>
      <c r="P16" s="6" t="s">
        <v>688</v>
      </c>
    </row>
    <row r="17" spans="1:16" x14ac:dyDescent="0.2">
      <c r="A17">
        <v>414520736</v>
      </c>
      <c r="B17" t="s">
        <v>512</v>
      </c>
      <c r="C17" t="s">
        <v>653</v>
      </c>
      <c r="E17" s="22">
        <v>0.74</v>
      </c>
      <c r="F17" t="s">
        <v>648</v>
      </c>
      <c r="G17" t="s">
        <v>649</v>
      </c>
      <c r="H17" t="s">
        <v>650</v>
      </c>
      <c r="I17" t="s">
        <v>651</v>
      </c>
      <c r="J17" t="s">
        <v>652</v>
      </c>
      <c r="K17" t="s">
        <v>48</v>
      </c>
      <c r="L17">
        <v>2016</v>
      </c>
      <c r="M17" t="s">
        <v>56</v>
      </c>
      <c r="N17" t="s">
        <v>55</v>
      </c>
      <c r="P17" s="6" t="s">
        <v>689</v>
      </c>
    </row>
    <row r="18" spans="1:16" x14ac:dyDescent="0.2">
      <c r="A18">
        <v>356558346</v>
      </c>
      <c r="B18" t="s">
        <v>512</v>
      </c>
      <c r="C18" t="s">
        <v>653</v>
      </c>
      <c r="E18" s="22">
        <v>0.53666666666666674</v>
      </c>
      <c r="F18" t="s">
        <v>648</v>
      </c>
      <c r="G18" t="s">
        <v>649</v>
      </c>
      <c r="H18" t="s">
        <v>650</v>
      </c>
      <c r="I18" t="s">
        <v>651</v>
      </c>
      <c r="J18" t="s">
        <v>652</v>
      </c>
      <c r="K18" t="s">
        <v>48</v>
      </c>
      <c r="L18">
        <v>2016</v>
      </c>
      <c r="M18" t="s">
        <v>56</v>
      </c>
      <c r="N18" t="s">
        <v>55</v>
      </c>
      <c r="P18" s="6" t="s">
        <v>690</v>
      </c>
    </row>
    <row r="19" spans="1:16" x14ac:dyDescent="0.2">
      <c r="A19">
        <v>970698993</v>
      </c>
      <c r="B19" t="s">
        <v>512</v>
      </c>
      <c r="C19" t="s">
        <v>653</v>
      </c>
      <c r="E19" s="22">
        <v>0.83333333333333337</v>
      </c>
      <c r="F19" t="s">
        <v>648</v>
      </c>
      <c r="G19" t="s">
        <v>649</v>
      </c>
      <c r="H19" t="s">
        <v>650</v>
      </c>
      <c r="I19" t="s">
        <v>651</v>
      </c>
      <c r="J19" t="s">
        <v>652</v>
      </c>
      <c r="K19" t="s">
        <v>48</v>
      </c>
      <c r="L19">
        <v>2016</v>
      </c>
      <c r="M19" t="s">
        <v>56</v>
      </c>
      <c r="N19" t="s">
        <v>55</v>
      </c>
      <c r="P19" s="6" t="s">
        <v>691</v>
      </c>
    </row>
    <row r="20" spans="1:16" x14ac:dyDescent="0.2">
      <c r="A20">
        <v>633537205</v>
      </c>
      <c r="B20" t="s">
        <v>512</v>
      </c>
      <c r="C20" t="s">
        <v>653</v>
      </c>
      <c r="E20" s="22">
        <v>0.27333333333333332</v>
      </c>
      <c r="F20" t="s">
        <v>648</v>
      </c>
      <c r="G20" t="s">
        <v>649</v>
      </c>
      <c r="H20" t="s">
        <v>650</v>
      </c>
      <c r="I20" t="s">
        <v>651</v>
      </c>
      <c r="J20" t="s">
        <v>652</v>
      </c>
      <c r="K20" t="s">
        <v>48</v>
      </c>
      <c r="L20">
        <v>2016</v>
      </c>
      <c r="M20" t="s">
        <v>56</v>
      </c>
      <c r="N20" t="s">
        <v>55</v>
      </c>
      <c r="P20" s="6" t="s">
        <v>692</v>
      </c>
    </row>
    <row r="21" spans="1:16" x14ac:dyDescent="0.2">
      <c r="A21">
        <v>534292868</v>
      </c>
      <c r="B21" t="s">
        <v>512</v>
      </c>
      <c r="C21" t="s">
        <v>653</v>
      </c>
      <c r="E21" s="22">
        <v>0.75</v>
      </c>
      <c r="F21" t="s">
        <v>648</v>
      </c>
      <c r="G21" t="s">
        <v>649</v>
      </c>
      <c r="H21" t="s">
        <v>650</v>
      </c>
      <c r="I21" t="s">
        <v>651</v>
      </c>
      <c r="J21" t="s">
        <v>652</v>
      </c>
      <c r="K21" t="s">
        <v>48</v>
      </c>
      <c r="L21">
        <v>2016</v>
      </c>
      <c r="M21" t="s">
        <v>56</v>
      </c>
      <c r="N21" t="s">
        <v>55</v>
      </c>
      <c r="P21" s="6" t="s">
        <v>693</v>
      </c>
    </row>
    <row r="22" spans="1:16" x14ac:dyDescent="0.2">
      <c r="A22">
        <v>816787809</v>
      </c>
      <c r="B22" t="s">
        <v>512</v>
      </c>
      <c r="C22" t="s">
        <v>653</v>
      </c>
      <c r="E22" s="22">
        <v>0.61333333333333329</v>
      </c>
      <c r="F22" t="s">
        <v>648</v>
      </c>
      <c r="G22" t="s">
        <v>649</v>
      </c>
      <c r="H22" t="s">
        <v>650</v>
      </c>
      <c r="I22" t="s">
        <v>651</v>
      </c>
      <c r="J22" t="s">
        <v>652</v>
      </c>
      <c r="K22" t="s">
        <v>48</v>
      </c>
      <c r="L22">
        <v>2016</v>
      </c>
      <c r="M22" t="s">
        <v>56</v>
      </c>
      <c r="N22" t="s">
        <v>55</v>
      </c>
      <c r="P22" s="6" t="s">
        <v>694</v>
      </c>
    </row>
    <row r="23" spans="1:16" x14ac:dyDescent="0.2">
      <c r="A23">
        <v>220052551</v>
      </c>
      <c r="B23" t="s">
        <v>512</v>
      </c>
      <c r="C23" t="s">
        <v>653</v>
      </c>
      <c r="E23" s="22">
        <v>0.71000000000000008</v>
      </c>
      <c r="F23" t="s">
        <v>648</v>
      </c>
      <c r="G23" t="s">
        <v>649</v>
      </c>
      <c r="H23" t="s">
        <v>650</v>
      </c>
      <c r="I23" t="s">
        <v>651</v>
      </c>
      <c r="J23" t="s">
        <v>652</v>
      </c>
      <c r="K23" t="s">
        <v>48</v>
      </c>
      <c r="L23">
        <v>2016</v>
      </c>
      <c r="M23" t="s">
        <v>56</v>
      </c>
      <c r="N23" t="s">
        <v>55</v>
      </c>
      <c r="P23" s="6" t="s">
        <v>695</v>
      </c>
    </row>
    <row r="24" spans="1:16" x14ac:dyDescent="0.2">
      <c r="A24">
        <v>858571733</v>
      </c>
      <c r="B24" t="s">
        <v>512</v>
      </c>
      <c r="C24" t="s">
        <v>653</v>
      </c>
      <c r="E24" s="22">
        <v>0.26</v>
      </c>
      <c r="F24" t="s">
        <v>648</v>
      </c>
      <c r="G24" t="s">
        <v>649</v>
      </c>
      <c r="H24" t="s">
        <v>650</v>
      </c>
      <c r="I24" t="s">
        <v>651</v>
      </c>
      <c r="J24" t="s">
        <v>652</v>
      </c>
      <c r="K24" t="s">
        <v>48</v>
      </c>
      <c r="L24">
        <v>2016</v>
      </c>
      <c r="M24" t="s">
        <v>56</v>
      </c>
      <c r="N24" t="s">
        <v>55</v>
      </c>
      <c r="P24" s="6" t="s">
        <v>696</v>
      </c>
    </row>
    <row r="25" spans="1:16" x14ac:dyDescent="0.2">
      <c r="A25">
        <v>363436152</v>
      </c>
      <c r="B25" t="s">
        <v>512</v>
      </c>
      <c r="C25" t="s">
        <v>653</v>
      </c>
      <c r="E25" s="22">
        <v>0.32333333333333331</v>
      </c>
      <c r="F25" t="s">
        <v>648</v>
      </c>
      <c r="G25" t="s">
        <v>649</v>
      </c>
      <c r="H25" t="s">
        <v>650</v>
      </c>
      <c r="I25" t="s">
        <v>651</v>
      </c>
      <c r="J25" t="s">
        <v>652</v>
      </c>
      <c r="K25" t="s">
        <v>48</v>
      </c>
      <c r="L25">
        <v>2016</v>
      </c>
      <c r="M25" t="s">
        <v>56</v>
      </c>
      <c r="N25" t="s">
        <v>55</v>
      </c>
      <c r="P25" s="6" t="s">
        <v>697</v>
      </c>
    </row>
    <row r="26" spans="1:16" x14ac:dyDescent="0.2">
      <c r="A26">
        <v>393495083</v>
      </c>
      <c r="B26" t="s">
        <v>512</v>
      </c>
      <c r="C26" t="s">
        <v>653</v>
      </c>
      <c r="E26" s="22">
        <v>0.74</v>
      </c>
      <c r="F26" t="s">
        <v>648</v>
      </c>
      <c r="G26" t="s">
        <v>649</v>
      </c>
      <c r="H26" t="s">
        <v>650</v>
      </c>
      <c r="I26" t="s">
        <v>651</v>
      </c>
      <c r="J26" t="s">
        <v>652</v>
      </c>
      <c r="K26" t="s">
        <v>48</v>
      </c>
      <c r="L26">
        <v>2016</v>
      </c>
      <c r="M26" t="s">
        <v>56</v>
      </c>
      <c r="N26" t="s">
        <v>55</v>
      </c>
      <c r="P26" s="6" t="s">
        <v>698</v>
      </c>
    </row>
    <row r="27" spans="1:16" x14ac:dyDescent="0.2">
      <c r="A27">
        <v>769635714</v>
      </c>
      <c r="B27" t="s">
        <v>512</v>
      </c>
      <c r="C27" t="s">
        <v>653</v>
      </c>
      <c r="E27" s="22">
        <v>0.80333333333333334</v>
      </c>
      <c r="F27" t="s">
        <v>648</v>
      </c>
      <c r="G27" t="s">
        <v>649</v>
      </c>
      <c r="H27" t="s">
        <v>650</v>
      </c>
      <c r="I27" t="s">
        <v>651</v>
      </c>
      <c r="J27" t="s">
        <v>652</v>
      </c>
      <c r="K27" t="s">
        <v>48</v>
      </c>
      <c r="L27">
        <v>2016</v>
      </c>
      <c r="M27" t="s">
        <v>56</v>
      </c>
      <c r="N27" t="s">
        <v>55</v>
      </c>
      <c r="P27" s="6" t="s">
        <v>699</v>
      </c>
    </row>
    <row r="28" spans="1:16" x14ac:dyDescent="0.2">
      <c r="A28">
        <v>373048949</v>
      </c>
      <c r="B28" t="s">
        <v>512</v>
      </c>
      <c r="C28" t="s">
        <v>653</v>
      </c>
      <c r="E28" s="22">
        <v>0.76666666666666672</v>
      </c>
      <c r="F28" t="s">
        <v>648</v>
      </c>
      <c r="G28" t="s">
        <v>649</v>
      </c>
      <c r="H28" t="s">
        <v>650</v>
      </c>
      <c r="I28" t="s">
        <v>651</v>
      </c>
      <c r="J28" t="s">
        <v>652</v>
      </c>
      <c r="K28" t="s">
        <v>48</v>
      </c>
      <c r="L28">
        <v>2016</v>
      </c>
      <c r="M28" t="s">
        <v>56</v>
      </c>
      <c r="N28" t="s">
        <v>55</v>
      </c>
      <c r="P28" s="6" t="s">
        <v>700</v>
      </c>
    </row>
    <row r="29" spans="1:16" x14ac:dyDescent="0.2">
      <c r="A29">
        <v>357061292</v>
      </c>
      <c r="B29" t="s">
        <v>512</v>
      </c>
      <c r="C29" t="s">
        <v>653</v>
      </c>
      <c r="E29" s="22">
        <v>0.31666666666666665</v>
      </c>
      <c r="F29" t="s">
        <v>648</v>
      </c>
      <c r="G29" t="s">
        <v>649</v>
      </c>
      <c r="H29" t="s">
        <v>650</v>
      </c>
      <c r="I29" t="s">
        <v>651</v>
      </c>
      <c r="J29" t="s">
        <v>652</v>
      </c>
      <c r="K29" t="s">
        <v>48</v>
      </c>
      <c r="L29">
        <v>2016</v>
      </c>
      <c r="M29" t="s">
        <v>56</v>
      </c>
      <c r="N29" t="s">
        <v>55</v>
      </c>
      <c r="P29" s="6" t="s">
        <v>701</v>
      </c>
    </row>
    <row r="30" spans="1:16" x14ac:dyDescent="0.2">
      <c r="A30">
        <v>837310284</v>
      </c>
      <c r="B30" t="s">
        <v>512</v>
      </c>
      <c r="C30" t="s">
        <v>653</v>
      </c>
      <c r="E30" s="22">
        <v>0.36666666666666664</v>
      </c>
      <c r="F30" t="s">
        <v>648</v>
      </c>
      <c r="G30" t="s">
        <v>649</v>
      </c>
      <c r="H30" t="s">
        <v>650</v>
      </c>
      <c r="I30" t="s">
        <v>651</v>
      </c>
      <c r="J30" t="s">
        <v>652</v>
      </c>
      <c r="K30" t="s">
        <v>48</v>
      </c>
      <c r="L30">
        <v>2016</v>
      </c>
      <c r="M30" t="s">
        <v>56</v>
      </c>
      <c r="N30" t="s">
        <v>55</v>
      </c>
      <c r="P30" s="6" t="s">
        <v>702</v>
      </c>
    </row>
    <row r="31" spans="1:16" x14ac:dyDescent="0.2">
      <c r="A31">
        <v>815854164</v>
      </c>
      <c r="B31" t="s">
        <v>512</v>
      </c>
      <c r="C31" t="s">
        <v>653</v>
      </c>
      <c r="E31" s="22">
        <v>0.67666666666666664</v>
      </c>
      <c r="F31" t="s">
        <v>648</v>
      </c>
      <c r="G31" t="s">
        <v>649</v>
      </c>
      <c r="H31" t="s">
        <v>650</v>
      </c>
      <c r="I31" t="s">
        <v>651</v>
      </c>
      <c r="J31" t="s">
        <v>652</v>
      </c>
      <c r="K31" t="s">
        <v>48</v>
      </c>
      <c r="L31">
        <v>2016</v>
      </c>
      <c r="M31" t="s">
        <v>56</v>
      </c>
      <c r="N31" t="s">
        <v>55</v>
      </c>
      <c r="P31" s="6" t="s">
        <v>703</v>
      </c>
    </row>
    <row r="32" spans="1:16" x14ac:dyDescent="0.2">
      <c r="A32">
        <v>315378369</v>
      </c>
      <c r="B32" t="s">
        <v>512</v>
      </c>
      <c r="C32" t="s">
        <v>653</v>
      </c>
      <c r="E32" s="22">
        <v>0.19666666666666668</v>
      </c>
      <c r="F32" t="s">
        <v>648</v>
      </c>
      <c r="G32" t="s">
        <v>649</v>
      </c>
      <c r="H32" t="s">
        <v>650</v>
      </c>
      <c r="I32" t="s">
        <v>651</v>
      </c>
      <c r="J32" t="s">
        <v>652</v>
      </c>
      <c r="K32" t="s">
        <v>48</v>
      </c>
      <c r="L32">
        <v>2016</v>
      </c>
      <c r="M32" t="s">
        <v>56</v>
      </c>
      <c r="N32" t="s">
        <v>55</v>
      </c>
      <c r="P32" s="6" t="s">
        <v>704</v>
      </c>
    </row>
    <row r="33" spans="1:16" x14ac:dyDescent="0.2">
      <c r="A33">
        <v>564410540</v>
      </c>
      <c r="B33" t="s">
        <v>512</v>
      </c>
      <c r="C33" t="s">
        <v>653</v>
      </c>
      <c r="E33" s="22">
        <v>0.30666666666666664</v>
      </c>
      <c r="F33" t="s">
        <v>648</v>
      </c>
      <c r="G33" t="s">
        <v>649</v>
      </c>
      <c r="H33" t="s">
        <v>650</v>
      </c>
      <c r="I33" t="s">
        <v>651</v>
      </c>
      <c r="J33" t="s">
        <v>652</v>
      </c>
      <c r="K33" t="s">
        <v>48</v>
      </c>
      <c r="L33">
        <v>2016</v>
      </c>
      <c r="M33" t="s">
        <v>56</v>
      </c>
      <c r="N33" t="s">
        <v>55</v>
      </c>
      <c r="P33" s="6" t="s">
        <v>705</v>
      </c>
    </row>
    <row r="34" spans="1:16" x14ac:dyDescent="0.2">
      <c r="A34">
        <v>126539887</v>
      </c>
      <c r="B34" t="s">
        <v>512</v>
      </c>
      <c r="C34" t="s">
        <v>653</v>
      </c>
      <c r="E34" s="22">
        <v>0.28000000000000003</v>
      </c>
      <c r="F34" t="s">
        <v>648</v>
      </c>
      <c r="G34" t="s">
        <v>649</v>
      </c>
      <c r="H34" t="s">
        <v>650</v>
      </c>
      <c r="I34" t="s">
        <v>651</v>
      </c>
      <c r="J34" t="s">
        <v>652</v>
      </c>
      <c r="K34" t="s">
        <v>48</v>
      </c>
      <c r="L34">
        <v>2016</v>
      </c>
      <c r="M34" t="s">
        <v>56</v>
      </c>
      <c r="N34" t="s">
        <v>55</v>
      </c>
      <c r="P34" s="6" t="s">
        <v>706</v>
      </c>
    </row>
    <row r="35" spans="1:16" x14ac:dyDescent="0.2">
      <c r="A35">
        <v>563937624</v>
      </c>
      <c r="B35" t="s">
        <v>512</v>
      </c>
      <c r="C35" t="s">
        <v>653</v>
      </c>
      <c r="E35" s="22">
        <v>0.28333333333333333</v>
      </c>
      <c r="F35" t="s">
        <v>648</v>
      </c>
      <c r="G35" t="s">
        <v>649</v>
      </c>
      <c r="H35" t="s">
        <v>650</v>
      </c>
      <c r="I35" t="s">
        <v>651</v>
      </c>
      <c r="J35" t="s">
        <v>652</v>
      </c>
      <c r="K35" t="s">
        <v>48</v>
      </c>
      <c r="L35">
        <v>2016</v>
      </c>
      <c r="M35" t="s">
        <v>56</v>
      </c>
      <c r="N35" t="s">
        <v>55</v>
      </c>
      <c r="P35" s="6" t="s">
        <v>707</v>
      </c>
    </row>
    <row r="36" spans="1:16" x14ac:dyDescent="0.2">
      <c r="A36">
        <v>684291511</v>
      </c>
      <c r="B36" t="s">
        <v>512</v>
      </c>
      <c r="C36" t="s">
        <v>653</v>
      </c>
      <c r="E36" s="22">
        <v>0.46333333333333326</v>
      </c>
      <c r="F36" t="s">
        <v>648</v>
      </c>
      <c r="G36" t="s">
        <v>649</v>
      </c>
      <c r="H36" t="s">
        <v>650</v>
      </c>
      <c r="I36" t="s">
        <v>651</v>
      </c>
      <c r="J36" t="s">
        <v>652</v>
      </c>
      <c r="K36" t="s">
        <v>48</v>
      </c>
      <c r="L36">
        <v>2016</v>
      </c>
      <c r="M36" t="s">
        <v>56</v>
      </c>
      <c r="N36" t="s">
        <v>55</v>
      </c>
      <c r="P36" s="6" t="s">
        <v>708</v>
      </c>
    </row>
    <row r="37" spans="1:16" x14ac:dyDescent="0.2">
      <c r="A37">
        <v>598829620</v>
      </c>
      <c r="B37" t="s">
        <v>512</v>
      </c>
      <c r="C37" t="s">
        <v>654</v>
      </c>
      <c r="E37" s="22">
        <v>0.32</v>
      </c>
      <c r="F37" t="s">
        <v>648</v>
      </c>
      <c r="G37" t="s">
        <v>649</v>
      </c>
      <c r="H37" t="s">
        <v>650</v>
      </c>
      <c r="I37" t="s">
        <v>651</v>
      </c>
      <c r="J37" t="s">
        <v>652</v>
      </c>
      <c r="K37" t="s">
        <v>48</v>
      </c>
      <c r="L37">
        <v>2016</v>
      </c>
      <c r="M37" t="s">
        <v>56</v>
      </c>
      <c r="N37" t="s">
        <v>55</v>
      </c>
      <c r="P37" s="6" t="s">
        <v>709</v>
      </c>
    </row>
    <row r="38" spans="1:16" x14ac:dyDescent="0.2">
      <c r="A38">
        <v>684014860</v>
      </c>
      <c r="B38" t="s">
        <v>512</v>
      </c>
      <c r="C38" t="s">
        <v>654</v>
      </c>
      <c r="E38" s="22">
        <v>0.65250000000000008</v>
      </c>
      <c r="F38" t="s">
        <v>648</v>
      </c>
      <c r="G38" t="s">
        <v>649</v>
      </c>
      <c r="H38" t="s">
        <v>650</v>
      </c>
      <c r="I38" t="s">
        <v>651</v>
      </c>
      <c r="J38" t="s">
        <v>652</v>
      </c>
      <c r="K38" t="s">
        <v>48</v>
      </c>
      <c r="L38">
        <v>2016</v>
      </c>
      <c r="M38" t="s">
        <v>56</v>
      </c>
      <c r="N38" t="s">
        <v>55</v>
      </c>
      <c r="P38" s="6" t="s">
        <v>710</v>
      </c>
    </row>
    <row r="39" spans="1:16" x14ac:dyDescent="0.2">
      <c r="A39">
        <v>843228181</v>
      </c>
      <c r="B39" t="s">
        <v>512</v>
      </c>
      <c r="C39" t="s">
        <v>654</v>
      </c>
      <c r="E39" s="22">
        <v>0.52250000000000008</v>
      </c>
      <c r="F39" t="s">
        <v>648</v>
      </c>
      <c r="G39" t="s">
        <v>649</v>
      </c>
      <c r="H39" t="s">
        <v>650</v>
      </c>
      <c r="I39" t="s">
        <v>651</v>
      </c>
      <c r="J39" t="s">
        <v>652</v>
      </c>
      <c r="K39" t="s">
        <v>48</v>
      </c>
      <c r="L39">
        <v>2016</v>
      </c>
      <c r="M39" t="s">
        <v>56</v>
      </c>
      <c r="N39" t="s">
        <v>55</v>
      </c>
      <c r="P39" s="6" t="s">
        <v>711</v>
      </c>
    </row>
    <row r="40" spans="1:16" x14ac:dyDescent="0.2">
      <c r="A40">
        <v>820549378</v>
      </c>
      <c r="B40" t="s">
        <v>512</v>
      </c>
      <c r="C40" t="s">
        <v>654</v>
      </c>
      <c r="E40" s="22">
        <v>0.4</v>
      </c>
      <c r="F40" t="s">
        <v>648</v>
      </c>
      <c r="G40" t="s">
        <v>649</v>
      </c>
      <c r="H40" t="s">
        <v>650</v>
      </c>
      <c r="I40" t="s">
        <v>651</v>
      </c>
      <c r="J40" t="s">
        <v>652</v>
      </c>
      <c r="K40" t="s">
        <v>48</v>
      </c>
      <c r="L40">
        <v>2016</v>
      </c>
      <c r="M40" t="s">
        <v>56</v>
      </c>
      <c r="N40" t="s">
        <v>55</v>
      </c>
      <c r="P40" s="6" t="s">
        <v>712</v>
      </c>
    </row>
    <row r="41" spans="1:16" x14ac:dyDescent="0.2">
      <c r="A41">
        <v>533572169</v>
      </c>
      <c r="B41" t="s">
        <v>512</v>
      </c>
      <c r="C41" t="s">
        <v>654</v>
      </c>
      <c r="E41" s="22">
        <v>0.32500000000000001</v>
      </c>
      <c r="F41" t="s">
        <v>648</v>
      </c>
      <c r="G41" t="s">
        <v>649</v>
      </c>
      <c r="H41" t="s">
        <v>650</v>
      </c>
      <c r="I41" t="s">
        <v>651</v>
      </c>
      <c r="J41" t="s">
        <v>652</v>
      </c>
      <c r="K41" t="s">
        <v>48</v>
      </c>
      <c r="L41">
        <v>2016</v>
      </c>
      <c r="M41" t="s">
        <v>56</v>
      </c>
      <c r="N41" t="s">
        <v>55</v>
      </c>
      <c r="P41" s="6" t="s">
        <v>713</v>
      </c>
    </row>
    <row r="42" spans="1:16" x14ac:dyDescent="0.2">
      <c r="A42">
        <v>975325712</v>
      </c>
      <c r="B42" t="s">
        <v>512</v>
      </c>
      <c r="C42" t="s">
        <v>654</v>
      </c>
      <c r="E42" s="22">
        <v>0.40499999999999997</v>
      </c>
      <c r="F42" t="s">
        <v>648</v>
      </c>
      <c r="G42" t="s">
        <v>649</v>
      </c>
      <c r="H42" t="s">
        <v>650</v>
      </c>
      <c r="I42" t="s">
        <v>651</v>
      </c>
      <c r="J42" t="s">
        <v>652</v>
      </c>
      <c r="K42" t="s">
        <v>48</v>
      </c>
      <c r="L42">
        <v>2016</v>
      </c>
      <c r="M42" t="s">
        <v>56</v>
      </c>
      <c r="N42" t="s">
        <v>55</v>
      </c>
      <c r="P42" s="6" t="s">
        <v>714</v>
      </c>
    </row>
    <row r="43" spans="1:16" x14ac:dyDescent="0.2">
      <c r="A43">
        <v>310082419</v>
      </c>
      <c r="B43" t="s">
        <v>512</v>
      </c>
      <c r="C43" t="s">
        <v>654</v>
      </c>
      <c r="E43" s="22">
        <v>0.13500000000000001</v>
      </c>
      <c r="F43" t="s">
        <v>648</v>
      </c>
      <c r="G43" t="s">
        <v>649</v>
      </c>
      <c r="H43" t="s">
        <v>650</v>
      </c>
      <c r="I43" t="s">
        <v>651</v>
      </c>
      <c r="J43" t="s">
        <v>652</v>
      </c>
      <c r="K43" t="s">
        <v>48</v>
      </c>
      <c r="L43">
        <v>2016</v>
      </c>
      <c r="M43" t="s">
        <v>56</v>
      </c>
      <c r="N43" t="s">
        <v>55</v>
      </c>
      <c r="P43" s="6" t="s">
        <v>715</v>
      </c>
    </row>
    <row r="44" spans="1:16" x14ac:dyDescent="0.2">
      <c r="A44">
        <v>242132470</v>
      </c>
      <c r="B44" t="s">
        <v>512</v>
      </c>
      <c r="C44" t="s">
        <v>654</v>
      </c>
      <c r="E44" s="22">
        <v>0.23250000000000001</v>
      </c>
      <c r="F44" t="s">
        <v>648</v>
      </c>
      <c r="G44" t="s">
        <v>649</v>
      </c>
      <c r="H44" t="s">
        <v>650</v>
      </c>
      <c r="I44" t="s">
        <v>651</v>
      </c>
      <c r="J44" t="s">
        <v>652</v>
      </c>
      <c r="K44" t="s">
        <v>48</v>
      </c>
      <c r="L44">
        <v>2016</v>
      </c>
      <c r="M44" t="s">
        <v>56</v>
      </c>
      <c r="N44" t="s">
        <v>55</v>
      </c>
      <c r="P44" s="6" t="s">
        <v>716</v>
      </c>
    </row>
    <row r="45" spans="1:16" x14ac:dyDescent="0.2">
      <c r="A45">
        <v>208248363</v>
      </c>
      <c r="B45" t="s">
        <v>512</v>
      </c>
      <c r="C45" t="s">
        <v>654</v>
      </c>
      <c r="E45" s="22">
        <v>0.44500000000000001</v>
      </c>
      <c r="F45" t="s">
        <v>648</v>
      </c>
      <c r="G45" t="s">
        <v>649</v>
      </c>
      <c r="H45" t="s">
        <v>650</v>
      </c>
      <c r="I45" t="s">
        <v>651</v>
      </c>
      <c r="J45" t="s">
        <v>652</v>
      </c>
      <c r="K45" t="s">
        <v>48</v>
      </c>
      <c r="L45">
        <v>2016</v>
      </c>
      <c r="M45" t="s">
        <v>56</v>
      </c>
      <c r="N45" t="s">
        <v>55</v>
      </c>
      <c r="P45" s="6" t="s">
        <v>717</v>
      </c>
    </row>
    <row r="46" spans="1:16" x14ac:dyDescent="0.2">
      <c r="A46">
        <v>277055951</v>
      </c>
      <c r="B46" t="s">
        <v>512</v>
      </c>
      <c r="C46" t="s">
        <v>654</v>
      </c>
      <c r="E46" s="22">
        <v>0.26500000000000001</v>
      </c>
      <c r="F46" t="s">
        <v>648</v>
      </c>
      <c r="G46" t="s">
        <v>649</v>
      </c>
      <c r="H46" t="s">
        <v>650</v>
      </c>
      <c r="I46" t="s">
        <v>651</v>
      </c>
      <c r="J46" t="s">
        <v>652</v>
      </c>
      <c r="K46" t="s">
        <v>48</v>
      </c>
      <c r="L46">
        <v>2016</v>
      </c>
      <c r="M46" t="s">
        <v>56</v>
      </c>
      <c r="N46" t="s">
        <v>55</v>
      </c>
      <c r="P46" s="6" t="s">
        <v>718</v>
      </c>
    </row>
    <row r="47" spans="1:16" x14ac:dyDescent="0.2">
      <c r="A47">
        <v>902907559</v>
      </c>
      <c r="B47" t="s">
        <v>512</v>
      </c>
      <c r="C47" t="s">
        <v>654</v>
      </c>
      <c r="E47" s="22">
        <v>0.88249999999999995</v>
      </c>
      <c r="F47" t="s">
        <v>648</v>
      </c>
      <c r="G47" t="s">
        <v>649</v>
      </c>
      <c r="H47" t="s">
        <v>650</v>
      </c>
      <c r="I47" t="s">
        <v>651</v>
      </c>
      <c r="J47" t="s">
        <v>652</v>
      </c>
      <c r="K47" t="s">
        <v>48</v>
      </c>
      <c r="L47">
        <v>2016</v>
      </c>
      <c r="M47" t="s">
        <v>56</v>
      </c>
      <c r="N47" t="s">
        <v>55</v>
      </c>
      <c r="P47" s="6" t="s">
        <v>719</v>
      </c>
    </row>
    <row r="48" spans="1:16" x14ac:dyDescent="0.2">
      <c r="A48">
        <v>528297980</v>
      </c>
      <c r="B48" t="s">
        <v>512</v>
      </c>
      <c r="C48" t="s">
        <v>654</v>
      </c>
      <c r="E48" s="22">
        <v>0.62000000000000011</v>
      </c>
      <c r="F48" t="s">
        <v>648</v>
      </c>
      <c r="G48" t="s">
        <v>649</v>
      </c>
      <c r="H48" t="s">
        <v>650</v>
      </c>
      <c r="I48" t="s">
        <v>651</v>
      </c>
      <c r="J48" t="s">
        <v>652</v>
      </c>
      <c r="K48" t="s">
        <v>48</v>
      </c>
      <c r="L48">
        <v>2016</v>
      </c>
      <c r="M48" t="s">
        <v>56</v>
      </c>
      <c r="N48" t="s">
        <v>55</v>
      </c>
      <c r="P48" s="6" t="s">
        <v>720</v>
      </c>
    </row>
    <row r="49" spans="1:16" x14ac:dyDescent="0.2">
      <c r="A49">
        <v>444882790</v>
      </c>
      <c r="B49" t="s">
        <v>512</v>
      </c>
      <c r="C49" t="s">
        <v>654</v>
      </c>
      <c r="E49" s="22">
        <v>0.20499999999999999</v>
      </c>
      <c r="F49" t="s">
        <v>648</v>
      </c>
      <c r="G49" t="s">
        <v>649</v>
      </c>
      <c r="H49" t="s">
        <v>650</v>
      </c>
      <c r="I49" t="s">
        <v>651</v>
      </c>
      <c r="J49" t="s">
        <v>652</v>
      </c>
      <c r="K49" t="s">
        <v>48</v>
      </c>
      <c r="L49">
        <v>2016</v>
      </c>
      <c r="M49" t="s">
        <v>56</v>
      </c>
      <c r="N49" t="s">
        <v>55</v>
      </c>
      <c r="P49" s="6" t="s">
        <v>721</v>
      </c>
    </row>
    <row r="50" spans="1:16" x14ac:dyDescent="0.2">
      <c r="A50">
        <v>112085131</v>
      </c>
      <c r="B50" t="s">
        <v>512</v>
      </c>
      <c r="C50" t="s">
        <v>654</v>
      </c>
      <c r="E50" s="22">
        <v>0.2475</v>
      </c>
      <c r="F50" t="s">
        <v>648</v>
      </c>
      <c r="G50" t="s">
        <v>649</v>
      </c>
      <c r="H50" t="s">
        <v>650</v>
      </c>
      <c r="I50" t="s">
        <v>651</v>
      </c>
      <c r="J50" t="s">
        <v>652</v>
      </c>
      <c r="K50" t="s">
        <v>48</v>
      </c>
      <c r="L50">
        <v>2016</v>
      </c>
      <c r="M50" t="s">
        <v>56</v>
      </c>
      <c r="N50" t="s">
        <v>55</v>
      </c>
      <c r="P50" s="6" t="s">
        <v>722</v>
      </c>
    </row>
    <row r="51" spans="1:16" x14ac:dyDescent="0.2">
      <c r="A51">
        <v>588642518</v>
      </c>
      <c r="B51" t="s">
        <v>512</v>
      </c>
      <c r="C51" t="s">
        <v>654</v>
      </c>
      <c r="E51" s="22">
        <v>0.88500000000000012</v>
      </c>
      <c r="F51" t="s">
        <v>648</v>
      </c>
      <c r="G51" t="s">
        <v>649</v>
      </c>
      <c r="H51" t="s">
        <v>650</v>
      </c>
      <c r="I51" t="s">
        <v>651</v>
      </c>
      <c r="J51" t="s">
        <v>652</v>
      </c>
      <c r="K51" t="s">
        <v>48</v>
      </c>
      <c r="L51">
        <v>2016</v>
      </c>
      <c r="M51" t="s">
        <v>56</v>
      </c>
      <c r="N51" t="s">
        <v>55</v>
      </c>
      <c r="P51" s="6" t="s">
        <v>723</v>
      </c>
    </row>
    <row r="52" spans="1:16" x14ac:dyDescent="0.2">
      <c r="A52">
        <v>414520736</v>
      </c>
      <c r="B52" t="s">
        <v>512</v>
      </c>
      <c r="C52" t="s">
        <v>654</v>
      </c>
      <c r="E52" s="22">
        <v>0.63500000000000001</v>
      </c>
      <c r="F52" t="s">
        <v>648</v>
      </c>
      <c r="G52" t="s">
        <v>649</v>
      </c>
      <c r="H52" t="s">
        <v>650</v>
      </c>
      <c r="I52" t="s">
        <v>651</v>
      </c>
      <c r="J52" t="s">
        <v>652</v>
      </c>
      <c r="K52" t="s">
        <v>48</v>
      </c>
      <c r="L52">
        <v>2016</v>
      </c>
      <c r="M52" t="s">
        <v>56</v>
      </c>
      <c r="N52" t="s">
        <v>55</v>
      </c>
      <c r="P52" s="6" t="s">
        <v>724</v>
      </c>
    </row>
    <row r="53" spans="1:16" x14ac:dyDescent="0.2">
      <c r="A53">
        <v>356558346</v>
      </c>
      <c r="B53" t="s">
        <v>512</v>
      </c>
      <c r="C53" t="s">
        <v>654</v>
      </c>
      <c r="E53" s="22">
        <v>0.44749999999999995</v>
      </c>
      <c r="F53" t="s">
        <v>648</v>
      </c>
      <c r="G53" t="s">
        <v>649</v>
      </c>
      <c r="H53" t="s">
        <v>650</v>
      </c>
      <c r="I53" t="s">
        <v>651</v>
      </c>
      <c r="J53" t="s">
        <v>652</v>
      </c>
      <c r="K53" t="s">
        <v>48</v>
      </c>
      <c r="L53">
        <v>2016</v>
      </c>
      <c r="M53" t="s">
        <v>56</v>
      </c>
      <c r="N53" t="s">
        <v>55</v>
      </c>
      <c r="P53" s="6" t="s">
        <v>725</v>
      </c>
    </row>
    <row r="54" spans="1:16" x14ac:dyDescent="0.2">
      <c r="A54">
        <v>970698993</v>
      </c>
      <c r="B54" t="s">
        <v>512</v>
      </c>
      <c r="C54" t="s">
        <v>654</v>
      </c>
      <c r="E54" s="22">
        <v>0.90749999999999997</v>
      </c>
      <c r="F54" t="s">
        <v>648</v>
      </c>
      <c r="G54" t="s">
        <v>649</v>
      </c>
      <c r="H54" t="s">
        <v>650</v>
      </c>
      <c r="I54" t="s">
        <v>651</v>
      </c>
      <c r="J54" t="s">
        <v>652</v>
      </c>
      <c r="K54" t="s">
        <v>48</v>
      </c>
      <c r="L54">
        <v>2016</v>
      </c>
      <c r="M54" t="s">
        <v>56</v>
      </c>
      <c r="N54" t="s">
        <v>55</v>
      </c>
      <c r="P54" s="6" t="s">
        <v>726</v>
      </c>
    </row>
    <row r="55" spans="1:16" x14ac:dyDescent="0.2">
      <c r="A55">
        <v>633537205</v>
      </c>
      <c r="B55" t="s">
        <v>512</v>
      </c>
      <c r="C55" t="s">
        <v>654</v>
      </c>
      <c r="E55" s="22">
        <v>0.37750000000000006</v>
      </c>
      <c r="F55" t="s">
        <v>648</v>
      </c>
      <c r="G55" t="s">
        <v>649</v>
      </c>
      <c r="H55" t="s">
        <v>650</v>
      </c>
      <c r="I55" t="s">
        <v>651</v>
      </c>
      <c r="J55" t="s">
        <v>652</v>
      </c>
      <c r="K55" t="s">
        <v>48</v>
      </c>
      <c r="L55">
        <v>2016</v>
      </c>
      <c r="M55" t="s">
        <v>56</v>
      </c>
      <c r="N55" t="s">
        <v>55</v>
      </c>
      <c r="P55" s="6" t="s">
        <v>727</v>
      </c>
    </row>
    <row r="56" spans="1:16" x14ac:dyDescent="0.2">
      <c r="A56">
        <v>534292868</v>
      </c>
      <c r="B56" t="s">
        <v>512</v>
      </c>
      <c r="C56" t="s">
        <v>654</v>
      </c>
      <c r="E56" s="22">
        <v>0.89499999999999991</v>
      </c>
      <c r="F56" t="s">
        <v>648</v>
      </c>
      <c r="G56" t="s">
        <v>649</v>
      </c>
      <c r="H56" t="s">
        <v>650</v>
      </c>
      <c r="I56" t="s">
        <v>651</v>
      </c>
      <c r="J56" t="s">
        <v>652</v>
      </c>
      <c r="K56" t="s">
        <v>48</v>
      </c>
      <c r="L56">
        <v>2016</v>
      </c>
      <c r="M56" t="s">
        <v>56</v>
      </c>
      <c r="N56" t="s">
        <v>55</v>
      </c>
      <c r="P56" s="6" t="s">
        <v>728</v>
      </c>
    </row>
    <row r="57" spans="1:16" x14ac:dyDescent="0.2">
      <c r="A57">
        <v>816787809</v>
      </c>
      <c r="B57" t="s">
        <v>512</v>
      </c>
      <c r="C57" t="s">
        <v>654</v>
      </c>
      <c r="E57" s="22">
        <v>0.42249999999999999</v>
      </c>
      <c r="F57" t="s">
        <v>648</v>
      </c>
      <c r="G57" t="s">
        <v>649</v>
      </c>
      <c r="H57" t="s">
        <v>650</v>
      </c>
      <c r="I57" t="s">
        <v>651</v>
      </c>
      <c r="J57" t="s">
        <v>652</v>
      </c>
      <c r="K57" t="s">
        <v>48</v>
      </c>
      <c r="L57">
        <v>2016</v>
      </c>
      <c r="M57" t="s">
        <v>56</v>
      </c>
      <c r="N57" t="s">
        <v>55</v>
      </c>
      <c r="P57" s="6" t="s">
        <v>729</v>
      </c>
    </row>
    <row r="58" spans="1:16" x14ac:dyDescent="0.2">
      <c r="A58">
        <v>220052551</v>
      </c>
      <c r="B58" t="s">
        <v>512</v>
      </c>
      <c r="C58" t="s">
        <v>654</v>
      </c>
      <c r="E58" s="22">
        <v>0.57000000000000006</v>
      </c>
      <c r="F58" t="s">
        <v>648</v>
      </c>
      <c r="G58" t="s">
        <v>649</v>
      </c>
      <c r="H58" t="s">
        <v>650</v>
      </c>
      <c r="I58" t="s">
        <v>651</v>
      </c>
      <c r="J58" t="s">
        <v>652</v>
      </c>
      <c r="K58" t="s">
        <v>48</v>
      </c>
      <c r="L58">
        <v>2016</v>
      </c>
      <c r="M58" t="s">
        <v>56</v>
      </c>
      <c r="N58" t="s">
        <v>55</v>
      </c>
      <c r="P58" s="6" t="s">
        <v>730</v>
      </c>
    </row>
    <row r="59" spans="1:16" x14ac:dyDescent="0.2">
      <c r="A59">
        <v>858571733</v>
      </c>
      <c r="B59" t="s">
        <v>512</v>
      </c>
      <c r="C59" t="s">
        <v>654</v>
      </c>
      <c r="E59" s="22">
        <v>0.33750000000000002</v>
      </c>
      <c r="F59" t="s">
        <v>648</v>
      </c>
      <c r="G59" t="s">
        <v>649</v>
      </c>
      <c r="H59" t="s">
        <v>650</v>
      </c>
      <c r="I59" t="s">
        <v>651</v>
      </c>
      <c r="J59" t="s">
        <v>652</v>
      </c>
      <c r="K59" t="s">
        <v>48</v>
      </c>
      <c r="L59">
        <v>2016</v>
      </c>
      <c r="M59" t="s">
        <v>56</v>
      </c>
      <c r="N59" t="s">
        <v>55</v>
      </c>
      <c r="P59" s="6" t="s">
        <v>731</v>
      </c>
    </row>
    <row r="60" spans="1:16" x14ac:dyDescent="0.2">
      <c r="A60">
        <v>363436152</v>
      </c>
      <c r="B60" t="s">
        <v>512</v>
      </c>
      <c r="C60" t="s">
        <v>654</v>
      </c>
      <c r="E60" s="22">
        <v>0.19750000000000001</v>
      </c>
      <c r="F60" t="s">
        <v>648</v>
      </c>
      <c r="G60" t="s">
        <v>649</v>
      </c>
      <c r="H60" t="s">
        <v>650</v>
      </c>
      <c r="I60" t="s">
        <v>651</v>
      </c>
      <c r="J60" t="s">
        <v>652</v>
      </c>
      <c r="K60" t="s">
        <v>48</v>
      </c>
      <c r="L60">
        <v>2016</v>
      </c>
      <c r="M60" t="s">
        <v>56</v>
      </c>
      <c r="N60" t="s">
        <v>55</v>
      </c>
      <c r="P60" s="6" t="s">
        <v>732</v>
      </c>
    </row>
    <row r="61" spans="1:16" x14ac:dyDescent="0.2">
      <c r="A61">
        <v>393495083</v>
      </c>
      <c r="B61" t="s">
        <v>512</v>
      </c>
      <c r="C61" t="s">
        <v>654</v>
      </c>
      <c r="E61" s="22">
        <v>0.85500000000000009</v>
      </c>
      <c r="F61" t="s">
        <v>648</v>
      </c>
      <c r="G61" t="s">
        <v>649</v>
      </c>
      <c r="H61" t="s">
        <v>650</v>
      </c>
      <c r="I61" t="s">
        <v>651</v>
      </c>
      <c r="J61" t="s">
        <v>652</v>
      </c>
      <c r="K61" t="s">
        <v>48</v>
      </c>
      <c r="L61">
        <v>2016</v>
      </c>
      <c r="M61" t="s">
        <v>56</v>
      </c>
      <c r="N61" t="s">
        <v>55</v>
      </c>
      <c r="P61" s="6" t="s">
        <v>733</v>
      </c>
    </row>
    <row r="62" spans="1:16" x14ac:dyDescent="0.2">
      <c r="A62">
        <v>769635714</v>
      </c>
      <c r="B62" t="s">
        <v>512</v>
      </c>
      <c r="C62" t="s">
        <v>654</v>
      </c>
      <c r="E62" s="22">
        <v>0.84750000000000014</v>
      </c>
      <c r="F62" t="s">
        <v>648</v>
      </c>
      <c r="G62" t="s">
        <v>649</v>
      </c>
      <c r="H62" t="s">
        <v>650</v>
      </c>
      <c r="I62" t="s">
        <v>651</v>
      </c>
      <c r="J62" t="s">
        <v>652</v>
      </c>
      <c r="K62" t="s">
        <v>48</v>
      </c>
      <c r="L62">
        <v>2016</v>
      </c>
      <c r="M62" t="s">
        <v>56</v>
      </c>
      <c r="N62" t="s">
        <v>55</v>
      </c>
      <c r="P62" s="6" t="s">
        <v>734</v>
      </c>
    </row>
    <row r="63" spans="1:16" x14ac:dyDescent="0.2">
      <c r="A63">
        <v>373048949</v>
      </c>
      <c r="B63" t="s">
        <v>512</v>
      </c>
      <c r="C63" t="s">
        <v>654</v>
      </c>
      <c r="E63" s="22">
        <v>0.72</v>
      </c>
      <c r="F63" t="s">
        <v>648</v>
      </c>
      <c r="G63" t="s">
        <v>649</v>
      </c>
      <c r="H63" t="s">
        <v>650</v>
      </c>
      <c r="I63" t="s">
        <v>651</v>
      </c>
      <c r="J63" t="s">
        <v>652</v>
      </c>
      <c r="K63" t="s">
        <v>48</v>
      </c>
      <c r="L63">
        <v>2016</v>
      </c>
      <c r="M63" t="s">
        <v>56</v>
      </c>
      <c r="N63" t="s">
        <v>55</v>
      </c>
      <c r="P63" s="6" t="s">
        <v>735</v>
      </c>
    </row>
    <row r="64" spans="1:16" x14ac:dyDescent="0.2">
      <c r="A64">
        <v>357061292</v>
      </c>
      <c r="B64" t="s">
        <v>512</v>
      </c>
      <c r="C64" t="s">
        <v>654</v>
      </c>
      <c r="E64" s="22">
        <v>9.2499999999999999E-2</v>
      </c>
      <c r="F64" t="s">
        <v>648</v>
      </c>
      <c r="G64" t="s">
        <v>649</v>
      </c>
      <c r="H64" t="s">
        <v>650</v>
      </c>
      <c r="I64" t="s">
        <v>651</v>
      </c>
      <c r="J64" t="s">
        <v>652</v>
      </c>
      <c r="K64" t="s">
        <v>48</v>
      </c>
      <c r="L64">
        <v>2016</v>
      </c>
      <c r="M64" t="s">
        <v>56</v>
      </c>
      <c r="N64" t="s">
        <v>55</v>
      </c>
      <c r="P64" s="6" t="s">
        <v>736</v>
      </c>
    </row>
    <row r="65" spans="1:16" x14ac:dyDescent="0.2">
      <c r="A65">
        <v>837310284</v>
      </c>
      <c r="B65" t="s">
        <v>512</v>
      </c>
      <c r="C65" t="s">
        <v>654</v>
      </c>
      <c r="E65" s="22">
        <v>0.33750000000000002</v>
      </c>
      <c r="F65" t="s">
        <v>648</v>
      </c>
      <c r="G65" t="s">
        <v>649</v>
      </c>
      <c r="H65" t="s">
        <v>650</v>
      </c>
      <c r="I65" t="s">
        <v>651</v>
      </c>
      <c r="J65" t="s">
        <v>652</v>
      </c>
      <c r="K65" t="s">
        <v>48</v>
      </c>
      <c r="L65">
        <v>2016</v>
      </c>
      <c r="M65" t="s">
        <v>56</v>
      </c>
      <c r="N65" t="s">
        <v>55</v>
      </c>
      <c r="P65" s="6" t="s">
        <v>737</v>
      </c>
    </row>
    <row r="66" spans="1:16" x14ac:dyDescent="0.2">
      <c r="A66">
        <v>815854164</v>
      </c>
      <c r="B66" t="s">
        <v>512</v>
      </c>
      <c r="C66" t="s">
        <v>654</v>
      </c>
      <c r="E66" s="22">
        <v>0.91249999999999998</v>
      </c>
      <c r="F66" t="s">
        <v>648</v>
      </c>
      <c r="G66" t="s">
        <v>649</v>
      </c>
      <c r="H66" t="s">
        <v>650</v>
      </c>
      <c r="I66" t="s">
        <v>651</v>
      </c>
      <c r="J66" t="s">
        <v>652</v>
      </c>
      <c r="K66" t="s">
        <v>48</v>
      </c>
      <c r="L66">
        <v>2016</v>
      </c>
      <c r="M66" t="s">
        <v>56</v>
      </c>
      <c r="N66" t="s">
        <v>55</v>
      </c>
      <c r="P66" s="6" t="s">
        <v>738</v>
      </c>
    </row>
    <row r="67" spans="1:16" x14ac:dyDescent="0.2">
      <c r="A67">
        <v>315378369</v>
      </c>
      <c r="B67" t="s">
        <v>512</v>
      </c>
      <c r="C67" t="s">
        <v>654</v>
      </c>
      <c r="E67" s="22">
        <v>0.20500000000000002</v>
      </c>
      <c r="F67" t="s">
        <v>648</v>
      </c>
      <c r="G67" t="s">
        <v>649</v>
      </c>
      <c r="H67" t="s">
        <v>650</v>
      </c>
      <c r="I67" t="s">
        <v>651</v>
      </c>
      <c r="J67" t="s">
        <v>652</v>
      </c>
      <c r="K67" t="s">
        <v>48</v>
      </c>
      <c r="L67">
        <v>2016</v>
      </c>
      <c r="M67" t="s">
        <v>56</v>
      </c>
      <c r="N67" t="s">
        <v>55</v>
      </c>
      <c r="P67" s="6" t="s">
        <v>739</v>
      </c>
    </row>
    <row r="68" spans="1:16" x14ac:dyDescent="0.2">
      <c r="A68">
        <v>564410540</v>
      </c>
      <c r="B68" t="s">
        <v>512</v>
      </c>
      <c r="C68" t="s">
        <v>654</v>
      </c>
      <c r="E68" s="22">
        <v>0.25250000000000006</v>
      </c>
      <c r="F68" t="s">
        <v>648</v>
      </c>
      <c r="G68" t="s">
        <v>649</v>
      </c>
      <c r="H68" t="s">
        <v>650</v>
      </c>
      <c r="I68" t="s">
        <v>651</v>
      </c>
      <c r="J68" t="s">
        <v>652</v>
      </c>
      <c r="K68" t="s">
        <v>48</v>
      </c>
      <c r="L68">
        <v>2016</v>
      </c>
      <c r="M68" t="s">
        <v>56</v>
      </c>
      <c r="N68" t="s">
        <v>55</v>
      </c>
      <c r="P68" s="6" t="s">
        <v>740</v>
      </c>
    </row>
    <row r="69" spans="1:16" x14ac:dyDescent="0.2">
      <c r="A69">
        <v>126539887</v>
      </c>
      <c r="B69" t="s">
        <v>512</v>
      </c>
      <c r="C69" t="s">
        <v>654</v>
      </c>
      <c r="E69" s="22">
        <v>0.29250000000000004</v>
      </c>
      <c r="F69" t="s">
        <v>648</v>
      </c>
      <c r="G69" t="s">
        <v>649</v>
      </c>
      <c r="H69" t="s">
        <v>650</v>
      </c>
      <c r="I69" t="s">
        <v>651</v>
      </c>
      <c r="J69" t="s">
        <v>652</v>
      </c>
      <c r="K69" t="s">
        <v>48</v>
      </c>
      <c r="L69">
        <v>2016</v>
      </c>
      <c r="M69" t="s">
        <v>56</v>
      </c>
      <c r="N69" t="s">
        <v>55</v>
      </c>
      <c r="P69" s="6" t="s">
        <v>741</v>
      </c>
    </row>
    <row r="70" spans="1:16" x14ac:dyDescent="0.2">
      <c r="A70">
        <v>563937624</v>
      </c>
      <c r="B70" t="s">
        <v>512</v>
      </c>
      <c r="C70" t="s">
        <v>654</v>
      </c>
      <c r="E70" s="22">
        <v>0.28500000000000003</v>
      </c>
      <c r="F70" t="s">
        <v>648</v>
      </c>
      <c r="G70" t="s">
        <v>649</v>
      </c>
      <c r="H70" t="s">
        <v>650</v>
      </c>
      <c r="I70" t="s">
        <v>651</v>
      </c>
      <c r="J70" t="s">
        <v>652</v>
      </c>
      <c r="K70" t="s">
        <v>48</v>
      </c>
      <c r="L70">
        <v>2016</v>
      </c>
      <c r="M70" t="s">
        <v>56</v>
      </c>
      <c r="N70" t="s">
        <v>55</v>
      </c>
      <c r="P70" s="6" t="s">
        <v>742</v>
      </c>
    </row>
    <row r="71" spans="1:16" x14ac:dyDescent="0.2">
      <c r="A71">
        <v>684291511</v>
      </c>
      <c r="B71" t="s">
        <v>512</v>
      </c>
      <c r="C71" t="s">
        <v>654</v>
      </c>
      <c r="E71" s="22">
        <v>0.33250000000000002</v>
      </c>
      <c r="F71" t="s">
        <v>648</v>
      </c>
      <c r="G71" t="s">
        <v>649</v>
      </c>
      <c r="H71" t="s">
        <v>650</v>
      </c>
      <c r="I71" t="s">
        <v>651</v>
      </c>
      <c r="J71" t="s">
        <v>652</v>
      </c>
      <c r="K71" t="s">
        <v>48</v>
      </c>
      <c r="L71">
        <v>2016</v>
      </c>
      <c r="M71" t="s">
        <v>56</v>
      </c>
      <c r="N71" t="s">
        <v>55</v>
      </c>
      <c r="P71" s="6" t="s">
        <v>743</v>
      </c>
    </row>
    <row r="72" spans="1:16" x14ac:dyDescent="0.2">
      <c r="A72">
        <v>598829620</v>
      </c>
      <c r="B72" t="s">
        <v>59</v>
      </c>
      <c r="C72" t="s">
        <v>655</v>
      </c>
      <c r="E72" s="22">
        <v>0.15</v>
      </c>
      <c r="F72" t="s">
        <v>648</v>
      </c>
      <c r="G72" t="s">
        <v>649</v>
      </c>
      <c r="H72" t="s">
        <v>650</v>
      </c>
      <c r="I72" t="s">
        <v>651</v>
      </c>
      <c r="J72" t="s">
        <v>652</v>
      </c>
      <c r="K72" t="s">
        <v>48</v>
      </c>
      <c r="L72">
        <v>2016</v>
      </c>
      <c r="M72" t="s">
        <v>56</v>
      </c>
      <c r="N72" t="s">
        <v>55</v>
      </c>
      <c r="P72" s="6" t="s">
        <v>744</v>
      </c>
    </row>
    <row r="73" spans="1:16" x14ac:dyDescent="0.2">
      <c r="A73">
        <v>684014860</v>
      </c>
      <c r="B73" t="s">
        <v>59</v>
      </c>
      <c r="C73" t="s">
        <v>655</v>
      </c>
      <c r="E73" s="22">
        <v>0.56000000000000005</v>
      </c>
      <c r="F73" t="s">
        <v>648</v>
      </c>
      <c r="G73" t="s">
        <v>649</v>
      </c>
      <c r="H73" t="s">
        <v>650</v>
      </c>
      <c r="I73" t="s">
        <v>651</v>
      </c>
      <c r="J73" t="s">
        <v>652</v>
      </c>
      <c r="K73" t="s">
        <v>48</v>
      </c>
      <c r="L73">
        <v>2016</v>
      </c>
      <c r="M73" t="s">
        <v>56</v>
      </c>
      <c r="N73" t="s">
        <v>55</v>
      </c>
      <c r="P73" s="6" t="s">
        <v>745</v>
      </c>
    </row>
    <row r="74" spans="1:16" x14ac:dyDescent="0.2">
      <c r="A74">
        <v>843228181</v>
      </c>
      <c r="B74" t="s">
        <v>59</v>
      </c>
      <c r="C74" t="s">
        <v>655</v>
      </c>
      <c r="E74" s="22">
        <v>0.6100000000000001</v>
      </c>
      <c r="F74" t="s">
        <v>648</v>
      </c>
      <c r="G74" t="s">
        <v>649</v>
      </c>
      <c r="H74" t="s">
        <v>650</v>
      </c>
      <c r="I74" t="s">
        <v>651</v>
      </c>
      <c r="J74" t="s">
        <v>652</v>
      </c>
      <c r="K74" t="s">
        <v>48</v>
      </c>
      <c r="L74">
        <v>2016</v>
      </c>
      <c r="M74" t="s">
        <v>56</v>
      </c>
      <c r="N74" t="s">
        <v>55</v>
      </c>
      <c r="P74" s="6" t="s">
        <v>746</v>
      </c>
    </row>
    <row r="75" spans="1:16" x14ac:dyDescent="0.2">
      <c r="A75">
        <v>820549378</v>
      </c>
      <c r="B75" t="s">
        <v>59</v>
      </c>
      <c r="C75" t="s">
        <v>655</v>
      </c>
      <c r="E75" s="22">
        <v>0.32</v>
      </c>
      <c r="F75" t="s">
        <v>648</v>
      </c>
      <c r="G75" t="s">
        <v>649</v>
      </c>
      <c r="H75" t="s">
        <v>650</v>
      </c>
      <c r="I75" t="s">
        <v>651</v>
      </c>
      <c r="J75" t="s">
        <v>652</v>
      </c>
      <c r="K75" t="s">
        <v>48</v>
      </c>
      <c r="L75">
        <v>2016</v>
      </c>
      <c r="M75" t="s">
        <v>56</v>
      </c>
      <c r="N75" t="s">
        <v>55</v>
      </c>
      <c r="P75" s="6" t="s">
        <v>747</v>
      </c>
    </row>
    <row r="76" spans="1:16" x14ac:dyDescent="0.2">
      <c r="A76">
        <v>533572169</v>
      </c>
      <c r="B76" t="s">
        <v>59</v>
      </c>
      <c r="C76" t="s">
        <v>655</v>
      </c>
      <c r="E76" s="22">
        <v>0.3</v>
      </c>
      <c r="F76" t="s">
        <v>648</v>
      </c>
      <c r="G76" t="s">
        <v>649</v>
      </c>
      <c r="H76" t="s">
        <v>650</v>
      </c>
      <c r="I76" t="s">
        <v>651</v>
      </c>
      <c r="J76" t="s">
        <v>652</v>
      </c>
      <c r="K76" t="s">
        <v>48</v>
      </c>
      <c r="L76">
        <v>2016</v>
      </c>
      <c r="M76" t="s">
        <v>56</v>
      </c>
      <c r="N76" t="s">
        <v>55</v>
      </c>
      <c r="P76" s="6" t="s">
        <v>748</v>
      </c>
    </row>
    <row r="77" spans="1:16" x14ac:dyDescent="0.2">
      <c r="A77">
        <v>975325712</v>
      </c>
      <c r="B77" t="s">
        <v>59</v>
      </c>
      <c r="C77" t="s">
        <v>655</v>
      </c>
      <c r="E77" s="22">
        <v>0.4</v>
      </c>
      <c r="F77" t="s">
        <v>648</v>
      </c>
      <c r="G77" t="s">
        <v>649</v>
      </c>
      <c r="H77" t="s">
        <v>650</v>
      </c>
      <c r="I77" t="s">
        <v>651</v>
      </c>
      <c r="J77" t="s">
        <v>652</v>
      </c>
      <c r="K77" t="s">
        <v>48</v>
      </c>
      <c r="L77">
        <v>2016</v>
      </c>
      <c r="M77" t="s">
        <v>56</v>
      </c>
      <c r="N77" t="s">
        <v>55</v>
      </c>
      <c r="P77" s="6" t="s">
        <v>749</v>
      </c>
    </row>
    <row r="78" spans="1:16" x14ac:dyDescent="0.2">
      <c r="A78">
        <v>310082419</v>
      </c>
      <c r="B78" t="s">
        <v>59</v>
      </c>
      <c r="C78" t="s">
        <v>655</v>
      </c>
      <c r="E78" s="22">
        <v>0.04</v>
      </c>
      <c r="F78" t="s">
        <v>648</v>
      </c>
      <c r="G78" t="s">
        <v>649</v>
      </c>
      <c r="H78" t="s">
        <v>650</v>
      </c>
      <c r="I78" t="s">
        <v>651</v>
      </c>
      <c r="J78" t="s">
        <v>652</v>
      </c>
      <c r="K78" t="s">
        <v>48</v>
      </c>
      <c r="L78">
        <v>2016</v>
      </c>
      <c r="M78" t="s">
        <v>56</v>
      </c>
      <c r="N78" t="s">
        <v>55</v>
      </c>
      <c r="P78" s="6" t="s">
        <v>750</v>
      </c>
    </row>
    <row r="79" spans="1:16" x14ac:dyDescent="0.2">
      <c r="A79">
        <v>242132470</v>
      </c>
      <c r="B79" t="s">
        <v>59</v>
      </c>
      <c r="C79" t="s">
        <v>655</v>
      </c>
      <c r="E79" s="22">
        <v>0.11000000000000001</v>
      </c>
      <c r="F79" t="s">
        <v>648</v>
      </c>
      <c r="G79" t="s">
        <v>649</v>
      </c>
      <c r="H79" t="s">
        <v>650</v>
      </c>
      <c r="I79" t="s">
        <v>651</v>
      </c>
      <c r="J79" t="s">
        <v>652</v>
      </c>
      <c r="K79" t="s">
        <v>48</v>
      </c>
      <c r="L79">
        <v>2016</v>
      </c>
      <c r="M79" t="s">
        <v>56</v>
      </c>
      <c r="N79" t="s">
        <v>55</v>
      </c>
      <c r="P79" s="6" t="s">
        <v>751</v>
      </c>
    </row>
    <row r="80" spans="1:16" x14ac:dyDescent="0.2">
      <c r="A80">
        <v>208248363</v>
      </c>
      <c r="B80" t="s">
        <v>59</v>
      </c>
      <c r="C80" t="s">
        <v>655</v>
      </c>
      <c r="E80" s="22">
        <v>0.51</v>
      </c>
      <c r="F80" t="s">
        <v>648</v>
      </c>
      <c r="G80" t="s">
        <v>649</v>
      </c>
      <c r="H80" t="s">
        <v>650</v>
      </c>
      <c r="I80" t="s">
        <v>651</v>
      </c>
      <c r="J80" t="s">
        <v>652</v>
      </c>
      <c r="K80" t="s">
        <v>48</v>
      </c>
      <c r="L80">
        <v>2016</v>
      </c>
      <c r="M80" t="s">
        <v>56</v>
      </c>
      <c r="N80" t="s">
        <v>55</v>
      </c>
      <c r="P80" s="6" t="s">
        <v>752</v>
      </c>
    </row>
    <row r="81" spans="1:16" x14ac:dyDescent="0.2">
      <c r="A81">
        <v>277055951</v>
      </c>
      <c r="B81" t="s">
        <v>59</v>
      </c>
      <c r="C81" t="s">
        <v>655</v>
      </c>
      <c r="E81" s="22">
        <v>0.26</v>
      </c>
      <c r="F81" t="s">
        <v>648</v>
      </c>
      <c r="G81" t="s">
        <v>649</v>
      </c>
      <c r="H81" t="s">
        <v>650</v>
      </c>
      <c r="I81" t="s">
        <v>651</v>
      </c>
      <c r="J81" t="s">
        <v>652</v>
      </c>
      <c r="K81" t="s">
        <v>48</v>
      </c>
      <c r="L81">
        <v>2016</v>
      </c>
      <c r="M81" t="s">
        <v>56</v>
      </c>
      <c r="N81" t="s">
        <v>55</v>
      </c>
      <c r="P81" s="6" t="s">
        <v>753</v>
      </c>
    </row>
    <row r="82" spans="1:16" x14ac:dyDescent="0.2">
      <c r="A82">
        <v>902907559</v>
      </c>
      <c r="B82" t="s">
        <v>59</v>
      </c>
      <c r="C82" t="s">
        <v>655</v>
      </c>
      <c r="E82" s="22">
        <v>0.86</v>
      </c>
      <c r="F82" t="s">
        <v>648</v>
      </c>
      <c r="G82" t="s">
        <v>649</v>
      </c>
      <c r="H82" t="s">
        <v>650</v>
      </c>
      <c r="I82" t="s">
        <v>651</v>
      </c>
      <c r="J82" t="s">
        <v>652</v>
      </c>
      <c r="K82" t="s">
        <v>48</v>
      </c>
      <c r="L82">
        <v>2016</v>
      </c>
      <c r="M82" t="s">
        <v>56</v>
      </c>
      <c r="N82" t="s">
        <v>55</v>
      </c>
      <c r="P82" s="6" t="s">
        <v>754</v>
      </c>
    </row>
    <row r="83" spans="1:16" x14ac:dyDescent="0.2">
      <c r="A83">
        <v>528297980</v>
      </c>
      <c r="B83" t="s">
        <v>59</v>
      </c>
      <c r="C83" t="s">
        <v>655</v>
      </c>
      <c r="E83" s="22">
        <v>0.58000000000000007</v>
      </c>
      <c r="F83" t="s">
        <v>648</v>
      </c>
      <c r="G83" t="s">
        <v>649</v>
      </c>
      <c r="H83" t="s">
        <v>650</v>
      </c>
      <c r="I83" t="s">
        <v>651</v>
      </c>
      <c r="J83" t="s">
        <v>652</v>
      </c>
      <c r="K83" t="s">
        <v>48</v>
      </c>
      <c r="L83">
        <v>2016</v>
      </c>
      <c r="M83" t="s">
        <v>56</v>
      </c>
      <c r="N83" t="s">
        <v>55</v>
      </c>
      <c r="P83" s="6" t="s">
        <v>755</v>
      </c>
    </row>
    <row r="84" spans="1:16" x14ac:dyDescent="0.2">
      <c r="A84">
        <v>444882790</v>
      </c>
      <c r="B84" t="s">
        <v>59</v>
      </c>
      <c r="C84" t="s">
        <v>655</v>
      </c>
      <c r="E84" s="22">
        <v>0.05</v>
      </c>
      <c r="F84" t="s">
        <v>648</v>
      </c>
      <c r="G84" t="s">
        <v>649</v>
      </c>
      <c r="H84" t="s">
        <v>650</v>
      </c>
      <c r="I84" t="s">
        <v>651</v>
      </c>
      <c r="J84" t="s">
        <v>652</v>
      </c>
      <c r="K84" t="s">
        <v>48</v>
      </c>
      <c r="L84">
        <v>2016</v>
      </c>
      <c r="M84" t="s">
        <v>56</v>
      </c>
      <c r="N84" t="s">
        <v>55</v>
      </c>
      <c r="P84" s="6" t="s">
        <v>756</v>
      </c>
    </row>
    <row r="85" spans="1:16" x14ac:dyDescent="0.2">
      <c r="A85">
        <v>112085131</v>
      </c>
      <c r="B85" t="s">
        <v>59</v>
      </c>
      <c r="C85" t="s">
        <v>655</v>
      </c>
      <c r="E85" s="22">
        <v>0.13</v>
      </c>
      <c r="F85" t="s">
        <v>648</v>
      </c>
      <c r="G85" t="s">
        <v>649</v>
      </c>
      <c r="H85" t="s">
        <v>650</v>
      </c>
      <c r="I85" t="s">
        <v>651</v>
      </c>
      <c r="J85" t="s">
        <v>652</v>
      </c>
      <c r="K85" t="s">
        <v>48</v>
      </c>
      <c r="L85">
        <v>2016</v>
      </c>
      <c r="M85" t="s">
        <v>56</v>
      </c>
      <c r="N85" t="s">
        <v>55</v>
      </c>
      <c r="P85" s="6" t="s">
        <v>757</v>
      </c>
    </row>
    <row r="86" spans="1:16" x14ac:dyDescent="0.2">
      <c r="A86">
        <v>588642518</v>
      </c>
      <c r="B86" t="s">
        <v>59</v>
      </c>
      <c r="C86" t="s">
        <v>655</v>
      </c>
      <c r="E86" s="22">
        <v>0.94000000000000006</v>
      </c>
      <c r="F86" t="s">
        <v>648</v>
      </c>
      <c r="G86" t="s">
        <v>649</v>
      </c>
      <c r="H86" t="s">
        <v>650</v>
      </c>
      <c r="I86" t="s">
        <v>651</v>
      </c>
      <c r="J86" t="s">
        <v>652</v>
      </c>
      <c r="K86" t="s">
        <v>48</v>
      </c>
      <c r="L86">
        <v>2016</v>
      </c>
      <c r="M86" t="s">
        <v>56</v>
      </c>
      <c r="N86" t="s">
        <v>55</v>
      </c>
      <c r="P86" s="6" t="s">
        <v>758</v>
      </c>
    </row>
    <row r="87" spans="1:16" x14ac:dyDescent="0.2">
      <c r="A87">
        <v>414520736</v>
      </c>
      <c r="B87" t="s">
        <v>59</v>
      </c>
      <c r="C87" t="s">
        <v>655</v>
      </c>
      <c r="E87" s="22">
        <v>0.80999999999999994</v>
      </c>
      <c r="F87" t="s">
        <v>648</v>
      </c>
      <c r="G87" t="s">
        <v>649</v>
      </c>
      <c r="H87" t="s">
        <v>650</v>
      </c>
      <c r="I87" t="s">
        <v>651</v>
      </c>
      <c r="J87" t="s">
        <v>652</v>
      </c>
      <c r="K87" t="s">
        <v>48</v>
      </c>
      <c r="L87">
        <v>2016</v>
      </c>
      <c r="M87" t="s">
        <v>56</v>
      </c>
      <c r="N87" t="s">
        <v>55</v>
      </c>
      <c r="P87" s="6" t="s">
        <v>759</v>
      </c>
    </row>
    <row r="88" spans="1:16" x14ac:dyDescent="0.2">
      <c r="A88">
        <v>356558346</v>
      </c>
      <c r="B88" t="s">
        <v>59</v>
      </c>
      <c r="C88" t="s">
        <v>655</v>
      </c>
      <c r="E88" s="22">
        <v>0.43</v>
      </c>
      <c r="F88" t="s">
        <v>648</v>
      </c>
      <c r="G88" t="s">
        <v>649</v>
      </c>
      <c r="H88" t="s">
        <v>650</v>
      </c>
      <c r="I88" t="s">
        <v>651</v>
      </c>
      <c r="J88" t="s">
        <v>652</v>
      </c>
      <c r="K88" t="s">
        <v>48</v>
      </c>
      <c r="L88">
        <v>2016</v>
      </c>
      <c r="M88" t="s">
        <v>56</v>
      </c>
      <c r="N88" t="s">
        <v>55</v>
      </c>
      <c r="P88" s="6" t="s">
        <v>760</v>
      </c>
    </row>
    <row r="89" spans="1:16" x14ac:dyDescent="0.2">
      <c r="A89">
        <v>970698993</v>
      </c>
      <c r="B89" t="s">
        <v>59</v>
      </c>
      <c r="C89" t="s">
        <v>655</v>
      </c>
      <c r="E89" s="22">
        <v>0.95</v>
      </c>
      <c r="F89" t="s">
        <v>648</v>
      </c>
      <c r="G89" t="s">
        <v>649</v>
      </c>
      <c r="H89" t="s">
        <v>650</v>
      </c>
      <c r="I89" t="s">
        <v>651</v>
      </c>
      <c r="J89" t="s">
        <v>652</v>
      </c>
      <c r="K89" t="s">
        <v>48</v>
      </c>
      <c r="L89">
        <v>2016</v>
      </c>
      <c r="M89" t="s">
        <v>56</v>
      </c>
      <c r="N89" t="s">
        <v>55</v>
      </c>
      <c r="P89" s="6" t="s">
        <v>761</v>
      </c>
    </row>
    <row r="90" spans="1:16" x14ac:dyDescent="0.2">
      <c r="A90">
        <v>633537205</v>
      </c>
      <c r="B90" t="s">
        <v>59</v>
      </c>
      <c r="C90" t="s">
        <v>655</v>
      </c>
      <c r="E90" s="22">
        <v>0.36</v>
      </c>
      <c r="F90" t="s">
        <v>648</v>
      </c>
      <c r="G90" t="s">
        <v>649</v>
      </c>
      <c r="H90" t="s">
        <v>650</v>
      </c>
      <c r="I90" t="s">
        <v>651</v>
      </c>
      <c r="J90" t="s">
        <v>652</v>
      </c>
      <c r="K90" t="s">
        <v>48</v>
      </c>
      <c r="L90">
        <v>2016</v>
      </c>
      <c r="M90" t="s">
        <v>56</v>
      </c>
      <c r="N90" t="s">
        <v>55</v>
      </c>
      <c r="P90" s="6" t="s">
        <v>762</v>
      </c>
    </row>
    <row r="91" spans="1:16" x14ac:dyDescent="0.2">
      <c r="A91">
        <v>534292868</v>
      </c>
      <c r="B91" t="s">
        <v>59</v>
      </c>
      <c r="C91" t="s">
        <v>655</v>
      </c>
      <c r="E91" s="22">
        <v>0.9</v>
      </c>
      <c r="F91" t="s">
        <v>648</v>
      </c>
      <c r="G91" t="s">
        <v>649</v>
      </c>
      <c r="H91" t="s">
        <v>650</v>
      </c>
      <c r="I91" t="s">
        <v>651</v>
      </c>
      <c r="J91" t="s">
        <v>652</v>
      </c>
      <c r="K91" t="s">
        <v>48</v>
      </c>
      <c r="L91">
        <v>2016</v>
      </c>
      <c r="M91" t="s">
        <v>56</v>
      </c>
      <c r="N91" t="s">
        <v>55</v>
      </c>
      <c r="P91" s="6" t="s">
        <v>763</v>
      </c>
    </row>
    <row r="92" spans="1:16" x14ac:dyDescent="0.2">
      <c r="A92">
        <v>816787809</v>
      </c>
      <c r="B92" t="s">
        <v>59</v>
      </c>
      <c r="C92" t="s">
        <v>655</v>
      </c>
      <c r="E92" s="22">
        <v>0.47000000000000003</v>
      </c>
      <c r="F92" t="s">
        <v>648</v>
      </c>
      <c r="G92" t="s">
        <v>649</v>
      </c>
      <c r="H92" t="s">
        <v>650</v>
      </c>
      <c r="I92" t="s">
        <v>651</v>
      </c>
      <c r="J92" t="s">
        <v>652</v>
      </c>
      <c r="K92" t="s">
        <v>48</v>
      </c>
      <c r="L92">
        <v>2016</v>
      </c>
      <c r="M92" t="s">
        <v>56</v>
      </c>
      <c r="N92" t="s">
        <v>55</v>
      </c>
      <c r="P92" s="6" t="s">
        <v>764</v>
      </c>
    </row>
    <row r="93" spans="1:16" x14ac:dyDescent="0.2">
      <c r="A93">
        <v>220052551</v>
      </c>
      <c r="B93" t="s">
        <v>59</v>
      </c>
      <c r="C93" t="s">
        <v>655</v>
      </c>
      <c r="E93" s="22">
        <v>0.74</v>
      </c>
      <c r="F93" t="s">
        <v>648</v>
      </c>
      <c r="G93" t="s">
        <v>649</v>
      </c>
      <c r="H93" t="s">
        <v>650</v>
      </c>
      <c r="I93" t="s">
        <v>651</v>
      </c>
      <c r="J93" t="s">
        <v>652</v>
      </c>
      <c r="K93" t="s">
        <v>48</v>
      </c>
      <c r="L93">
        <v>2016</v>
      </c>
      <c r="M93" t="s">
        <v>56</v>
      </c>
      <c r="N93" t="s">
        <v>55</v>
      </c>
      <c r="P93" s="6" t="s">
        <v>765</v>
      </c>
    </row>
    <row r="94" spans="1:16" x14ac:dyDescent="0.2">
      <c r="A94">
        <v>858571733</v>
      </c>
      <c r="B94" t="s">
        <v>59</v>
      </c>
      <c r="C94" t="s">
        <v>655</v>
      </c>
      <c r="E94" s="22">
        <v>0.19</v>
      </c>
      <c r="F94" t="s">
        <v>648</v>
      </c>
      <c r="G94" t="s">
        <v>649</v>
      </c>
      <c r="H94" t="s">
        <v>650</v>
      </c>
      <c r="I94" t="s">
        <v>651</v>
      </c>
      <c r="J94" t="s">
        <v>652</v>
      </c>
      <c r="K94" t="s">
        <v>48</v>
      </c>
      <c r="L94">
        <v>2016</v>
      </c>
      <c r="M94" t="s">
        <v>56</v>
      </c>
      <c r="N94" t="s">
        <v>55</v>
      </c>
      <c r="P94" s="6" t="s">
        <v>766</v>
      </c>
    </row>
    <row r="95" spans="1:16" x14ac:dyDescent="0.2">
      <c r="A95">
        <v>363436152</v>
      </c>
      <c r="B95" t="s">
        <v>59</v>
      </c>
      <c r="C95" t="s">
        <v>655</v>
      </c>
      <c r="E95" s="22">
        <v>0.21000000000000002</v>
      </c>
      <c r="F95" t="s">
        <v>648</v>
      </c>
      <c r="G95" t="s">
        <v>649</v>
      </c>
      <c r="H95" t="s">
        <v>650</v>
      </c>
      <c r="I95" t="s">
        <v>651</v>
      </c>
      <c r="J95" t="s">
        <v>652</v>
      </c>
      <c r="K95" t="s">
        <v>48</v>
      </c>
      <c r="L95">
        <v>2016</v>
      </c>
      <c r="M95" t="s">
        <v>56</v>
      </c>
      <c r="N95" t="s">
        <v>55</v>
      </c>
      <c r="P95" s="6" t="s">
        <v>767</v>
      </c>
    </row>
    <row r="96" spans="1:16" x14ac:dyDescent="0.2">
      <c r="A96">
        <v>393495083</v>
      </c>
      <c r="B96" t="s">
        <v>59</v>
      </c>
      <c r="C96" t="s">
        <v>655</v>
      </c>
      <c r="E96" s="22">
        <v>0.90999999999999992</v>
      </c>
      <c r="F96" t="s">
        <v>648</v>
      </c>
      <c r="G96" t="s">
        <v>649</v>
      </c>
      <c r="H96" t="s">
        <v>650</v>
      </c>
      <c r="I96" t="s">
        <v>651</v>
      </c>
      <c r="J96" t="s">
        <v>652</v>
      </c>
      <c r="K96" t="s">
        <v>48</v>
      </c>
      <c r="L96">
        <v>2016</v>
      </c>
      <c r="M96" t="s">
        <v>56</v>
      </c>
      <c r="N96" t="s">
        <v>55</v>
      </c>
      <c r="P96" s="6" t="s">
        <v>768</v>
      </c>
    </row>
    <row r="97" spans="1:16" x14ac:dyDescent="0.2">
      <c r="A97">
        <v>769635714</v>
      </c>
      <c r="B97" t="s">
        <v>59</v>
      </c>
      <c r="C97" t="s">
        <v>655</v>
      </c>
      <c r="E97" s="22">
        <v>0.88000000000000012</v>
      </c>
      <c r="F97" t="s">
        <v>648</v>
      </c>
      <c r="G97" t="s">
        <v>649</v>
      </c>
      <c r="H97" t="s">
        <v>650</v>
      </c>
      <c r="I97" t="s">
        <v>651</v>
      </c>
      <c r="J97" t="s">
        <v>652</v>
      </c>
      <c r="K97" t="s">
        <v>48</v>
      </c>
      <c r="L97">
        <v>2016</v>
      </c>
      <c r="M97" t="s">
        <v>56</v>
      </c>
      <c r="N97" t="s">
        <v>55</v>
      </c>
      <c r="P97" s="6" t="s">
        <v>769</v>
      </c>
    </row>
    <row r="98" spans="1:16" x14ac:dyDescent="0.2">
      <c r="A98">
        <v>373048949</v>
      </c>
      <c r="B98" t="s">
        <v>59</v>
      </c>
      <c r="C98" t="s">
        <v>655</v>
      </c>
      <c r="E98" s="22">
        <v>0.8</v>
      </c>
      <c r="F98" t="s">
        <v>648</v>
      </c>
      <c r="G98" t="s">
        <v>649</v>
      </c>
      <c r="H98" t="s">
        <v>650</v>
      </c>
      <c r="I98" t="s">
        <v>651</v>
      </c>
      <c r="J98" t="s">
        <v>652</v>
      </c>
      <c r="K98" t="s">
        <v>48</v>
      </c>
      <c r="L98">
        <v>2016</v>
      </c>
      <c r="M98" t="s">
        <v>56</v>
      </c>
      <c r="N98" t="s">
        <v>55</v>
      </c>
      <c r="P98" s="6" t="s">
        <v>770</v>
      </c>
    </row>
    <row r="99" spans="1:16" x14ac:dyDescent="0.2">
      <c r="A99">
        <v>357061292</v>
      </c>
      <c r="B99" t="s">
        <v>59</v>
      </c>
      <c r="C99" t="s">
        <v>655</v>
      </c>
      <c r="E99" s="22">
        <v>0.1</v>
      </c>
      <c r="F99" t="s">
        <v>648</v>
      </c>
      <c r="G99" t="s">
        <v>649</v>
      </c>
      <c r="H99" t="s">
        <v>650</v>
      </c>
      <c r="I99" t="s">
        <v>651</v>
      </c>
      <c r="J99" t="s">
        <v>652</v>
      </c>
      <c r="K99" t="s">
        <v>48</v>
      </c>
      <c r="L99">
        <v>2016</v>
      </c>
      <c r="M99" t="s">
        <v>56</v>
      </c>
      <c r="N99" t="s">
        <v>55</v>
      </c>
      <c r="P99" s="6" t="s">
        <v>771</v>
      </c>
    </row>
    <row r="100" spans="1:16" x14ac:dyDescent="0.2">
      <c r="A100">
        <v>837310284</v>
      </c>
      <c r="B100" t="s">
        <v>59</v>
      </c>
      <c r="C100" t="s">
        <v>655</v>
      </c>
      <c r="E100" s="22">
        <v>0.45</v>
      </c>
      <c r="F100" t="s">
        <v>648</v>
      </c>
      <c r="G100" t="s">
        <v>649</v>
      </c>
      <c r="H100" t="s">
        <v>650</v>
      </c>
      <c r="I100" t="s">
        <v>651</v>
      </c>
      <c r="J100" t="s">
        <v>652</v>
      </c>
      <c r="K100" t="s">
        <v>48</v>
      </c>
      <c r="L100">
        <v>2016</v>
      </c>
      <c r="M100" t="s">
        <v>56</v>
      </c>
      <c r="N100" t="s">
        <v>55</v>
      </c>
      <c r="P100" s="6" t="s">
        <v>772</v>
      </c>
    </row>
    <row r="101" spans="1:16" x14ac:dyDescent="0.2">
      <c r="A101">
        <v>815854164</v>
      </c>
      <c r="B101" t="s">
        <v>59</v>
      </c>
      <c r="C101" t="s">
        <v>655</v>
      </c>
      <c r="E101" s="22">
        <v>0.89</v>
      </c>
      <c r="F101" t="s">
        <v>648</v>
      </c>
      <c r="G101" t="s">
        <v>649</v>
      </c>
      <c r="H101" t="s">
        <v>650</v>
      </c>
      <c r="I101" t="s">
        <v>651</v>
      </c>
      <c r="J101" t="s">
        <v>652</v>
      </c>
      <c r="K101" t="s">
        <v>48</v>
      </c>
      <c r="L101">
        <v>2016</v>
      </c>
      <c r="M101" t="s">
        <v>56</v>
      </c>
      <c r="N101" t="s">
        <v>55</v>
      </c>
      <c r="P101" s="6" t="s">
        <v>773</v>
      </c>
    </row>
    <row r="102" spans="1:16" x14ac:dyDescent="0.2">
      <c r="A102">
        <v>315378369</v>
      </c>
      <c r="B102" t="s">
        <v>59</v>
      </c>
      <c r="C102" t="s">
        <v>655</v>
      </c>
      <c r="E102" s="22">
        <v>0.12000000000000002</v>
      </c>
      <c r="F102" t="s">
        <v>648</v>
      </c>
      <c r="G102" t="s">
        <v>649</v>
      </c>
      <c r="H102" t="s">
        <v>650</v>
      </c>
      <c r="I102" t="s">
        <v>651</v>
      </c>
      <c r="J102" t="s">
        <v>652</v>
      </c>
      <c r="K102" t="s">
        <v>48</v>
      </c>
      <c r="L102">
        <v>2016</v>
      </c>
      <c r="M102" t="s">
        <v>56</v>
      </c>
      <c r="N102" t="s">
        <v>55</v>
      </c>
      <c r="P102" s="6" t="s">
        <v>774</v>
      </c>
    </row>
    <row r="103" spans="1:16" x14ac:dyDescent="0.2">
      <c r="A103">
        <v>564410540</v>
      </c>
      <c r="B103" t="s">
        <v>59</v>
      </c>
      <c r="C103" t="s">
        <v>655</v>
      </c>
      <c r="E103" s="22">
        <v>0.21000000000000002</v>
      </c>
      <c r="F103" t="s">
        <v>648</v>
      </c>
      <c r="G103" t="s">
        <v>649</v>
      </c>
      <c r="H103" t="s">
        <v>650</v>
      </c>
      <c r="I103" t="s">
        <v>651</v>
      </c>
      <c r="J103" t="s">
        <v>652</v>
      </c>
      <c r="K103" t="s">
        <v>48</v>
      </c>
      <c r="L103">
        <v>2016</v>
      </c>
      <c r="M103" t="s">
        <v>56</v>
      </c>
      <c r="N103" t="s">
        <v>55</v>
      </c>
      <c r="P103" s="6" t="s">
        <v>775</v>
      </c>
    </row>
    <row r="104" spans="1:16" x14ac:dyDescent="0.2">
      <c r="A104">
        <v>126539887</v>
      </c>
      <c r="B104" t="s">
        <v>59</v>
      </c>
      <c r="C104" t="s">
        <v>655</v>
      </c>
      <c r="E104" s="22">
        <v>7.0000000000000007E-2</v>
      </c>
      <c r="F104" t="s">
        <v>648</v>
      </c>
      <c r="G104" t="s">
        <v>649</v>
      </c>
      <c r="H104" t="s">
        <v>650</v>
      </c>
      <c r="I104" t="s">
        <v>651</v>
      </c>
      <c r="J104" t="s">
        <v>652</v>
      </c>
      <c r="K104" t="s">
        <v>48</v>
      </c>
      <c r="L104">
        <v>2016</v>
      </c>
      <c r="M104" t="s">
        <v>56</v>
      </c>
      <c r="N104" t="s">
        <v>55</v>
      </c>
      <c r="P104" s="6" t="s">
        <v>776</v>
      </c>
    </row>
    <row r="105" spans="1:16" x14ac:dyDescent="0.2">
      <c r="A105">
        <v>563937624</v>
      </c>
      <c r="B105" t="s">
        <v>59</v>
      </c>
      <c r="C105" t="s">
        <v>655</v>
      </c>
      <c r="E105" s="22">
        <v>0.05</v>
      </c>
      <c r="F105" t="s">
        <v>648</v>
      </c>
      <c r="G105" t="s">
        <v>649</v>
      </c>
      <c r="H105" t="s">
        <v>650</v>
      </c>
      <c r="I105" t="s">
        <v>651</v>
      </c>
      <c r="J105" t="s">
        <v>652</v>
      </c>
      <c r="K105" t="s">
        <v>48</v>
      </c>
      <c r="L105">
        <v>2016</v>
      </c>
      <c r="M105" t="s">
        <v>56</v>
      </c>
      <c r="N105" t="s">
        <v>55</v>
      </c>
      <c r="P105" s="6" t="s">
        <v>777</v>
      </c>
    </row>
    <row r="106" spans="1:16" x14ac:dyDescent="0.2">
      <c r="A106">
        <v>684291511</v>
      </c>
      <c r="B106" t="s">
        <v>59</v>
      </c>
      <c r="C106" t="s">
        <v>655</v>
      </c>
      <c r="E106" s="22">
        <v>0.37</v>
      </c>
      <c r="F106" t="s">
        <v>648</v>
      </c>
      <c r="G106" t="s">
        <v>649</v>
      </c>
      <c r="H106" t="s">
        <v>650</v>
      </c>
      <c r="I106" t="s">
        <v>651</v>
      </c>
      <c r="J106" t="s">
        <v>652</v>
      </c>
      <c r="K106" t="s">
        <v>48</v>
      </c>
      <c r="L106">
        <v>2016</v>
      </c>
      <c r="M106" t="s">
        <v>56</v>
      </c>
      <c r="N106" t="s">
        <v>55</v>
      </c>
      <c r="P106" s="6" t="s">
        <v>778</v>
      </c>
    </row>
    <row r="107" spans="1:16" x14ac:dyDescent="0.2">
      <c r="A107">
        <v>598829620</v>
      </c>
      <c r="B107" t="s">
        <v>59</v>
      </c>
      <c r="C107" t="s">
        <v>656</v>
      </c>
      <c r="E107" s="22">
        <v>0.23333333333333334</v>
      </c>
      <c r="F107" t="s">
        <v>648</v>
      </c>
      <c r="G107" t="s">
        <v>649</v>
      </c>
      <c r="H107" t="s">
        <v>650</v>
      </c>
      <c r="I107" t="s">
        <v>651</v>
      </c>
      <c r="J107" t="s">
        <v>652</v>
      </c>
      <c r="K107" t="s">
        <v>48</v>
      </c>
      <c r="L107">
        <v>2016</v>
      </c>
      <c r="M107" t="s">
        <v>56</v>
      </c>
      <c r="N107" t="s">
        <v>55</v>
      </c>
      <c r="P107" s="6" t="s">
        <v>779</v>
      </c>
    </row>
    <row r="108" spans="1:16" x14ac:dyDescent="0.2">
      <c r="A108">
        <v>684014860</v>
      </c>
      <c r="B108" t="s">
        <v>59</v>
      </c>
      <c r="C108" t="s">
        <v>656</v>
      </c>
      <c r="E108" s="22">
        <v>0.28333333333333333</v>
      </c>
      <c r="F108" t="s">
        <v>648</v>
      </c>
      <c r="G108" t="s">
        <v>649</v>
      </c>
      <c r="H108" t="s">
        <v>650</v>
      </c>
      <c r="I108" t="s">
        <v>651</v>
      </c>
      <c r="J108" t="s">
        <v>652</v>
      </c>
      <c r="K108" t="s">
        <v>48</v>
      </c>
      <c r="L108">
        <v>2016</v>
      </c>
      <c r="M108" t="s">
        <v>56</v>
      </c>
      <c r="N108" t="s">
        <v>55</v>
      </c>
      <c r="P108" s="6" t="s">
        <v>780</v>
      </c>
    </row>
    <row r="109" spans="1:16" x14ac:dyDescent="0.2">
      <c r="A109">
        <v>843228181</v>
      </c>
      <c r="B109" t="s">
        <v>59</v>
      </c>
      <c r="C109" t="s">
        <v>656</v>
      </c>
      <c r="E109" s="22">
        <v>0.43333333333333335</v>
      </c>
      <c r="F109" t="s">
        <v>648</v>
      </c>
      <c r="G109" t="s">
        <v>649</v>
      </c>
      <c r="H109" t="s">
        <v>650</v>
      </c>
      <c r="I109" t="s">
        <v>651</v>
      </c>
      <c r="J109" t="s">
        <v>652</v>
      </c>
      <c r="K109" t="s">
        <v>48</v>
      </c>
      <c r="L109">
        <v>2016</v>
      </c>
      <c r="M109" t="s">
        <v>56</v>
      </c>
      <c r="N109" t="s">
        <v>55</v>
      </c>
      <c r="P109" s="6" t="s">
        <v>781</v>
      </c>
    </row>
    <row r="110" spans="1:16" x14ac:dyDescent="0.2">
      <c r="A110">
        <v>820549378</v>
      </c>
      <c r="B110" t="s">
        <v>59</v>
      </c>
      <c r="C110" t="s">
        <v>656</v>
      </c>
      <c r="E110" s="22">
        <v>0.47000000000000003</v>
      </c>
      <c r="F110" t="s">
        <v>648</v>
      </c>
      <c r="G110" t="s">
        <v>649</v>
      </c>
      <c r="H110" t="s">
        <v>650</v>
      </c>
      <c r="I110" t="s">
        <v>651</v>
      </c>
      <c r="J110" t="s">
        <v>652</v>
      </c>
      <c r="K110" t="s">
        <v>48</v>
      </c>
      <c r="L110">
        <v>2016</v>
      </c>
      <c r="M110" t="s">
        <v>56</v>
      </c>
      <c r="N110" t="s">
        <v>55</v>
      </c>
      <c r="P110" s="6" t="s">
        <v>782</v>
      </c>
    </row>
    <row r="111" spans="1:16" x14ac:dyDescent="0.2">
      <c r="A111">
        <v>533572169</v>
      </c>
      <c r="B111" t="s">
        <v>59</v>
      </c>
      <c r="C111" t="s">
        <v>656</v>
      </c>
      <c r="E111" s="22">
        <v>0.69333333333333336</v>
      </c>
      <c r="F111" t="s">
        <v>648</v>
      </c>
      <c r="G111" t="s">
        <v>649</v>
      </c>
      <c r="H111" t="s">
        <v>650</v>
      </c>
      <c r="I111" t="s">
        <v>651</v>
      </c>
      <c r="J111" t="s">
        <v>652</v>
      </c>
      <c r="K111" t="s">
        <v>48</v>
      </c>
      <c r="L111">
        <v>2016</v>
      </c>
      <c r="M111" t="s">
        <v>56</v>
      </c>
      <c r="N111" t="s">
        <v>55</v>
      </c>
      <c r="P111" s="6" t="s">
        <v>783</v>
      </c>
    </row>
    <row r="112" spans="1:16" x14ac:dyDescent="0.2">
      <c r="A112">
        <v>975325712</v>
      </c>
      <c r="B112" t="s">
        <v>59</v>
      </c>
      <c r="C112" t="s">
        <v>656</v>
      </c>
      <c r="E112" s="22">
        <v>0.61</v>
      </c>
      <c r="F112" t="s">
        <v>648</v>
      </c>
      <c r="G112" t="s">
        <v>649</v>
      </c>
      <c r="H112" t="s">
        <v>650</v>
      </c>
      <c r="I112" t="s">
        <v>651</v>
      </c>
      <c r="J112" t="s">
        <v>652</v>
      </c>
      <c r="K112" t="s">
        <v>48</v>
      </c>
      <c r="L112">
        <v>2016</v>
      </c>
      <c r="M112" t="s">
        <v>56</v>
      </c>
      <c r="N112" t="s">
        <v>55</v>
      </c>
      <c r="P112" s="6" t="s">
        <v>784</v>
      </c>
    </row>
    <row r="113" spans="1:16" x14ac:dyDescent="0.2">
      <c r="A113">
        <v>310082419</v>
      </c>
      <c r="B113" t="s">
        <v>59</v>
      </c>
      <c r="C113" t="s">
        <v>656</v>
      </c>
      <c r="E113" s="22">
        <v>0.39</v>
      </c>
      <c r="F113" t="s">
        <v>648</v>
      </c>
      <c r="G113" t="s">
        <v>649</v>
      </c>
      <c r="H113" t="s">
        <v>650</v>
      </c>
      <c r="I113" t="s">
        <v>651</v>
      </c>
      <c r="J113" t="s">
        <v>652</v>
      </c>
      <c r="K113" t="s">
        <v>48</v>
      </c>
      <c r="L113">
        <v>2016</v>
      </c>
      <c r="M113" t="s">
        <v>56</v>
      </c>
      <c r="N113" t="s">
        <v>55</v>
      </c>
      <c r="P113" s="6" t="s">
        <v>785</v>
      </c>
    </row>
    <row r="114" spans="1:16" x14ac:dyDescent="0.2">
      <c r="A114">
        <v>242132470</v>
      </c>
      <c r="B114" t="s">
        <v>59</v>
      </c>
      <c r="C114" t="s">
        <v>656</v>
      </c>
      <c r="E114" s="22">
        <v>0.55333333333333334</v>
      </c>
      <c r="F114" t="s">
        <v>648</v>
      </c>
      <c r="G114" t="s">
        <v>649</v>
      </c>
      <c r="H114" t="s">
        <v>650</v>
      </c>
      <c r="I114" t="s">
        <v>651</v>
      </c>
      <c r="J114" t="s">
        <v>652</v>
      </c>
      <c r="K114" t="s">
        <v>48</v>
      </c>
      <c r="L114">
        <v>2016</v>
      </c>
      <c r="M114" t="s">
        <v>56</v>
      </c>
      <c r="N114" t="s">
        <v>55</v>
      </c>
      <c r="P114" s="6" t="s">
        <v>786</v>
      </c>
    </row>
    <row r="115" spans="1:16" x14ac:dyDescent="0.2">
      <c r="A115">
        <v>208248363</v>
      </c>
      <c r="B115" t="s">
        <v>59</v>
      </c>
      <c r="C115" t="s">
        <v>656</v>
      </c>
      <c r="E115" s="22">
        <v>0.59666666666666679</v>
      </c>
      <c r="F115" t="s">
        <v>648</v>
      </c>
      <c r="G115" t="s">
        <v>649</v>
      </c>
      <c r="H115" t="s">
        <v>650</v>
      </c>
      <c r="I115" t="s">
        <v>651</v>
      </c>
      <c r="J115" t="s">
        <v>652</v>
      </c>
      <c r="K115" t="s">
        <v>48</v>
      </c>
      <c r="L115">
        <v>2016</v>
      </c>
      <c r="M115" t="s">
        <v>56</v>
      </c>
      <c r="N115" t="s">
        <v>55</v>
      </c>
      <c r="P115" s="6" t="s">
        <v>787</v>
      </c>
    </row>
    <row r="116" spans="1:16" x14ac:dyDescent="0.2">
      <c r="A116">
        <v>277055951</v>
      </c>
      <c r="B116" t="s">
        <v>59</v>
      </c>
      <c r="C116" t="s">
        <v>656</v>
      </c>
      <c r="E116" s="22">
        <v>0.6066666666666668</v>
      </c>
      <c r="F116" t="s">
        <v>648</v>
      </c>
      <c r="G116" t="s">
        <v>649</v>
      </c>
      <c r="H116" t="s">
        <v>650</v>
      </c>
      <c r="I116" t="s">
        <v>651</v>
      </c>
      <c r="J116" t="s">
        <v>652</v>
      </c>
      <c r="K116" t="s">
        <v>48</v>
      </c>
      <c r="L116">
        <v>2016</v>
      </c>
      <c r="M116" t="s">
        <v>56</v>
      </c>
      <c r="N116" t="s">
        <v>55</v>
      </c>
      <c r="P116" s="6" t="s">
        <v>788</v>
      </c>
    </row>
    <row r="117" spans="1:16" x14ac:dyDescent="0.2">
      <c r="A117">
        <v>902907559</v>
      </c>
      <c r="B117" t="s">
        <v>59</v>
      </c>
      <c r="C117" t="s">
        <v>656</v>
      </c>
      <c r="E117" s="22">
        <v>0.55333333333333334</v>
      </c>
      <c r="F117" t="s">
        <v>648</v>
      </c>
      <c r="G117" t="s">
        <v>649</v>
      </c>
      <c r="H117" t="s">
        <v>650</v>
      </c>
      <c r="I117" t="s">
        <v>651</v>
      </c>
      <c r="J117" t="s">
        <v>652</v>
      </c>
      <c r="K117" t="s">
        <v>48</v>
      </c>
      <c r="L117">
        <v>2016</v>
      </c>
      <c r="M117" t="s">
        <v>56</v>
      </c>
      <c r="N117" t="s">
        <v>55</v>
      </c>
      <c r="P117" s="6" t="s">
        <v>789</v>
      </c>
    </row>
    <row r="118" spans="1:16" x14ac:dyDescent="0.2">
      <c r="A118">
        <v>528297980</v>
      </c>
      <c r="B118" t="s">
        <v>59</v>
      </c>
      <c r="C118" t="s">
        <v>656</v>
      </c>
      <c r="E118" s="22">
        <v>0.72000000000000008</v>
      </c>
      <c r="F118" t="s">
        <v>648</v>
      </c>
      <c r="G118" t="s">
        <v>649</v>
      </c>
      <c r="H118" t="s">
        <v>650</v>
      </c>
      <c r="I118" t="s">
        <v>651</v>
      </c>
      <c r="J118" t="s">
        <v>652</v>
      </c>
      <c r="K118" t="s">
        <v>48</v>
      </c>
      <c r="L118">
        <v>2016</v>
      </c>
      <c r="M118" t="s">
        <v>56</v>
      </c>
      <c r="N118" t="s">
        <v>55</v>
      </c>
      <c r="P118" s="6" t="s">
        <v>790</v>
      </c>
    </row>
    <row r="119" spans="1:16" x14ac:dyDescent="0.2">
      <c r="A119">
        <v>444882790</v>
      </c>
      <c r="B119" t="s">
        <v>59</v>
      </c>
      <c r="C119" t="s">
        <v>656</v>
      </c>
      <c r="E119" s="22">
        <v>0.38666666666666666</v>
      </c>
      <c r="F119" t="s">
        <v>648</v>
      </c>
      <c r="G119" t="s">
        <v>649</v>
      </c>
      <c r="H119" t="s">
        <v>650</v>
      </c>
      <c r="I119" t="s">
        <v>651</v>
      </c>
      <c r="J119" t="s">
        <v>652</v>
      </c>
      <c r="K119" t="s">
        <v>48</v>
      </c>
      <c r="L119">
        <v>2016</v>
      </c>
      <c r="M119" t="s">
        <v>56</v>
      </c>
      <c r="N119" t="s">
        <v>55</v>
      </c>
      <c r="P119" s="6" t="s">
        <v>791</v>
      </c>
    </row>
    <row r="120" spans="1:16" x14ac:dyDescent="0.2">
      <c r="A120">
        <v>112085131</v>
      </c>
      <c r="B120" t="s">
        <v>59</v>
      </c>
      <c r="C120" t="s">
        <v>656</v>
      </c>
      <c r="E120" s="22">
        <v>0.40666666666666668</v>
      </c>
      <c r="F120" t="s">
        <v>648</v>
      </c>
      <c r="G120" t="s">
        <v>649</v>
      </c>
      <c r="H120" t="s">
        <v>650</v>
      </c>
      <c r="I120" t="s">
        <v>651</v>
      </c>
      <c r="J120" t="s">
        <v>652</v>
      </c>
      <c r="K120" t="s">
        <v>48</v>
      </c>
      <c r="L120">
        <v>2016</v>
      </c>
      <c r="M120" t="s">
        <v>56</v>
      </c>
      <c r="N120" t="s">
        <v>55</v>
      </c>
      <c r="P120" s="6" t="s">
        <v>792</v>
      </c>
    </row>
    <row r="121" spans="1:16" x14ac:dyDescent="0.2">
      <c r="A121">
        <v>588642518</v>
      </c>
      <c r="B121" t="s">
        <v>59</v>
      </c>
      <c r="C121" t="s">
        <v>656</v>
      </c>
      <c r="E121" s="22">
        <v>0.40333333333333338</v>
      </c>
      <c r="F121" t="s">
        <v>648</v>
      </c>
      <c r="G121" t="s">
        <v>649</v>
      </c>
      <c r="H121" t="s">
        <v>650</v>
      </c>
      <c r="I121" t="s">
        <v>651</v>
      </c>
      <c r="J121" t="s">
        <v>652</v>
      </c>
      <c r="K121" t="s">
        <v>48</v>
      </c>
      <c r="L121">
        <v>2016</v>
      </c>
      <c r="M121" t="s">
        <v>56</v>
      </c>
      <c r="N121" t="s">
        <v>55</v>
      </c>
      <c r="P121" s="6" t="s">
        <v>793</v>
      </c>
    </row>
    <row r="122" spans="1:16" x14ac:dyDescent="0.2">
      <c r="A122">
        <v>414520736</v>
      </c>
      <c r="B122" t="s">
        <v>59</v>
      </c>
      <c r="C122" t="s">
        <v>656</v>
      </c>
      <c r="E122" s="22">
        <v>0.81666666666666665</v>
      </c>
      <c r="F122" t="s">
        <v>648</v>
      </c>
      <c r="G122" t="s">
        <v>649</v>
      </c>
      <c r="H122" t="s">
        <v>650</v>
      </c>
      <c r="I122" t="s">
        <v>651</v>
      </c>
      <c r="J122" t="s">
        <v>652</v>
      </c>
      <c r="K122" t="s">
        <v>48</v>
      </c>
      <c r="L122">
        <v>2016</v>
      </c>
      <c r="M122" t="s">
        <v>56</v>
      </c>
      <c r="N122" t="s">
        <v>55</v>
      </c>
      <c r="P122" s="6" t="s">
        <v>794</v>
      </c>
    </row>
    <row r="123" spans="1:16" x14ac:dyDescent="0.2">
      <c r="A123">
        <v>356558346</v>
      </c>
      <c r="B123" t="s">
        <v>59</v>
      </c>
      <c r="C123" t="s">
        <v>656</v>
      </c>
      <c r="E123" s="22">
        <v>0.59666666666666657</v>
      </c>
      <c r="F123" t="s">
        <v>648</v>
      </c>
      <c r="G123" t="s">
        <v>649</v>
      </c>
      <c r="H123" t="s">
        <v>650</v>
      </c>
      <c r="I123" t="s">
        <v>651</v>
      </c>
      <c r="J123" t="s">
        <v>652</v>
      </c>
      <c r="K123" t="s">
        <v>48</v>
      </c>
      <c r="L123">
        <v>2016</v>
      </c>
      <c r="M123" t="s">
        <v>56</v>
      </c>
      <c r="N123" t="s">
        <v>55</v>
      </c>
      <c r="P123" s="6" t="s">
        <v>795</v>
      </c>
    </row>
    <row r="124" spans="1:16" x14ac:dyDescent="0.2">
      <c r="A124">
        <v>970698993</v>
      </c>
      <c r="B124" t="s">
        <v>59</v>
      </c>
      <c r="C124" t="s">
        <v>656</v>
      </c>
      <c r="E124" s="22">
        <v>0.6333333333333333</v>
      </c>
      <c r="F124" t="s">
        <v>648</v>
      </c>
      <c r="G124" t="s">
        <v>649</v>
      </c>
      <c r="H124" t="s">
        <v>650</v>
      </c>
      <c r="I124" t="s">
        <v>651</v>
      </c>
      <c r="J124" t="s">
        <v>652</v>
      </c>
      <c r="K124" t="s">
        <v>48</v>
      </c>
      <c r="L124">
        <v>2016</v>
      </c>
      <c r="M124" t="s">
        <v>56</v>
      </c>
      <c r="N124" t="s">
        <v>55</v>
      </c>
      <c r="P124" s="6" t="s">
        <v>796</v>
      </c>
    </row>
    <row r="125" spans="1:16" x14ac:dyDescent="0.2">
      <c r="A125">
        <v>633537205</v>
      </c>
      <c r="B125" t="s">
        <v>59</v>
      </c>
      <c r="C125" t="s">
        <v>656</v>
      </c>
      <c r="E125" s="22">
        <v>0.37</v>
      </c>
      <c r="F125" t="s">
        <v>648</v>
      </c>
      <c r="G125" t="s">
        <v>649</v>
      </c>
      <c r="H125" t="s">
        <v>650</v>
      </c>
      <c r="I125" t="s">
        <v>651</v>
      </c>
      <c r="J125" t="s">
        <v>652</v>
      </c>
      <c r="K125" t="s">
        <v>48</v>
      </c>
      <c r="L125">
        <v>2016</v>
      </c>
      <c r="M125" t="s">
        <v>56</v>
      </c>
      <c r="N125" t="s">
        <v>55</v>
      </c>
      <c r="P125" s="6" t="s">
        <v>797</v>
      </c>
    </row>
    <row r="126" spans="1:16" x14ac:dyDescent="0.2">
      <c r="A126">
        <v>534292868</v>
      </c>
      <c r="B126" t="s">
        <v>59</v>
      </c>
      <c r="C126" t="s">
        <v>656</v>
      </c>
      <c r="E126" s="22">
        <v>0.5066666666666666</v>
      </c>
      <c r="F126" t="s">
        <v>648</v>
      </c>
      <c r="G126" t="s">
        <v>649</v>
      </c>
      <c r="H126" t="s">
        <v>650</v>
      </c>
      <c r="I126" t="s">
        <v>651</v>
      </c>
      <c r="J126" t="s">
        <v>652</v>
      </c>
      <c r="K126" t="s">
        <v>48</v>
      </c>
      <c r="L126">
        <v>2016</v>
      </c>
      <c r="M126" t="s">
        <v>56</v>
      </c>
      <c r="N126" t="s">
        <v>55</v>
      </c>
      <c r="P126" s="6" t="s">
        <v>798</v>
      </c>
    </row>
    <row r="127" spans="1:16" x14ac:dyDescent="0.2">
      <c r="A127">
        <v>816787809</v>
      </c>
      <c r="B127" t="s">
        <v>59</v>
      </c>
      <c r="C127" t="s">
        <v>656</v>
      </c>
      <c r="E127" s="22">
        <v>0.55000000000000004</v>
      </c>
      <c r="F127" t="s">
        <v>648</v>
      </c>
      <c r="G127" t="s">
        <v>649</v>
      </c>
      <c r="H127" t="s">
        <v>650</v>
      </c>
      <c r="I127" t="s">
        <v>651</v>
      </c>
      <c r="J127" t="s">
        <v>652</v>
      </c>
      <c r="K127" t="s">
        <v>48</v>
      </c>
      <c r="L127">
        <v>2016</v>
      </c>
      <c r="M127" t="s">
        <v>56</v>
      </c>
      <c r="N127" t="s">
        <v>55</v>
      </c>
      <c r="P127" s="6" t="s">
        <v>799</v>
      </c>
    </row>
    <row r="128" spans="1:16" x14ac:dyDescent="0.2">
      <c r="A128">
        <v>220052551</v>
      </c>
      <c r="B128" t="s">
        <v>59</v>
      </c>
      <c r="C128" t="s">
        <v>656</v>
      </c>
      <c r="E128" s="22">
        <v>0.77999999999999992</v>
      </c>
      <c r="F128" t="s">
        <v>648</v>
      </c>
      <c r="G128" t="s">
        <v>649</v>
      </c>
      <c r="H128" t="s">
        <v>650</v>
      </c>
      <c r="I128" t="s">
        <v>651</v>
      </c>
      <c r="J128" t="s">
        <v>652</v>
      </c>
      <c r="K128" t="s">
        <v>48</v>
      </c>
      <c r="L128">
        <v>2016</v>
      </c>
      <c r="M128" t="s">
        <v>56</v>
      </c>
      <c r="N128" t="s">
        <v>55</v>
      </c>
      <c r="P128" s="6" t="s">
        <v>800</v>
      </c>
    </row>
    <row r="129" spans="1:16" x14ac:dyDescent="0.2">
      <c r="A129">
        <v>858571733</v>
      </c>
      <c r="B129" t="s">
        <v>59</v>
      </c>
      <c r="C129" t="s">
        <v>656</v>
      </c>
      <c r="E129" s="22">
        <v>0.36333333333333334</v>
      </c>
      <c r="F129" t="s">
        <v>648</v>
      </c>
      <c r="G129" t="s">
        <v>649</v>
      </c>
      <c r="H129" t="s">
        <v>650</v>
      </c>
      <c r="I129" t="s">
        <v>651</v>
      </c>
      <c r="J129" t="s">
        <v>652</v>
      </c>
      <c r="K129" t="s">
        <v>48</v>
      </c>
      <c r="L129">
        <v>2016</v>
      </c>
      <c r="M129" t="s">
        <v>56</v>
      </c>
      <c r="N129" t="s">
        <v>55</v>
      </c>
      <c r="P129" s="6" t="s">
        <v>801</v>
      </c>
    </row>
    <row r="130" spans="1:16" x14ac:dyDescent="0.2">
      <c r="A130">
        <v>363436152</v>
      </c>
      <c r="B130" t="s">
        <v>59</v>
      </c>
      <c r="C130" t="s">
        <v>656</v>
      </c>
      <c r="E130" s="22">
        <v>0.52</v>
      </c>
      <c r="F130" t="s">
        <v>648</v>
      </c>
      <c r="G130" t="s">
        <v>649</v>
      </c>
      <c r="H130" t="s">
        <v>650</v>
      </c>
      <c r="I130" t="s">
        <v>651</v>
      </c>
      <c r="J130" t="s">
        <v>652</v>
      </c>
      <c r="K130" t="s">
        <v>48</v>
      </c>
      <c r="L130">
        <v>2016</v>
      </c>
      <c r="M130" t="s">
        <v>56</v>
      </c>
      <c r="N130" t="s">
        <v>55</v>
      </c>
      <c r="P130" s="6" t="s">
        <v>802</v>
      </c>
    </row>
    <row r="131" spans="1:16" x14ac:dyDescent="0.2">
      <c r="A131">
        <v>393495083</v>
      </c>
      <c r="B131" t="s">
        <v>59</v>
      </c>
      <c r="C131" t="s">
        <v>656</v>
      </c>
      <c r="E131" s="22">
        <v>0.6166666666666667</v>
      </c>
      <c r="F131" t="s">
        <v>648</v>
      </c>
      <c r="G131" t="s">
        <v>649</v>
      </c>
      <c r="H131" t="s">
        <v>650</v>
      </c>
      <c r="I131" t="s">
        <v>651</v>
      </c>
      <c r="J131" t="s">
        <v>652</v>
      </c>
      <c r="K131" t="s">
        <v>48</v>
      </c>
      <c r="L131">
        <v>2016</v>
      </c>
      <c r="M131" t="s">
        <v>56</v>
      </c>
      <c r="N131" t="s">
        <v>55</v>
      </c>
      <c r="P131" s="6" t="s">
        <v>803</v>
      </c>
    </row>
    <row r="132" spans="1:16" x14ac:dyDescent="0.2">
      <c r="A132">
        <v>769635714</v>
      </c>
      <c r="B132" t="s">
        <v>59</v>
      </c>
      <c r="C132" t="s">
        <v>656</v>
      </c>
      <c r="E132" s="22">
        <v>0.65666666666666673</v>
      </c>
      <c r="F132" t="s">
        <v>648</v>
      </c>
      <c r="G132" t="s">
        <v>649</v>
      </c>
      <c r="H132" t="s">
        <v>650</v>
      </c>
      <c r="I132" t="s">
        <v>651</v>
      </c>
      <c r="J132" t="s">
        <v>652</v>
      </c>
      <c r="K132" t="s">
        <v>48</v>
      </c>
      <c r="L132">
        <v>2016</v>
      </c>
      <c r="M132" t="s">
        <v>56</v>
      </c>
      <c r="N132" t="s">
        <v>55</v>
      </c>
      <c r="P132" s="6" t="s">
        <v>804</v>
      </c>
    </row>
    <row r="133" spans="1:16" x14ac:dyDescent="0.2">
      <c r="A133">
        <v>373048949</v>
      </c>
      <c r="B133" t="s">
        <v>59</v>
      </c>
      <c r="C133" t="s">
        <v>656</v>
      </c>
      <c r="E133" s="22">
        <v>0.67666666666666664</v>
      </c>
      <c r="F133" t="s">
        <v>648</v>
      </c>
      <c r="G133" t="s">
        <v>649</v>
      </c>
      <c r="H133" t="s">
        <v>650</v>
      </c>
      <c r="I133" t="s">
        <v>651</v>
      </c>
      <c r="J133" t="s">
        <v>652</v>
      </c>
      <c r="K133" t="s">
        <v>48</v>
      </c>
      <c r="L133">
        <v>2016</v>
      </c>
      <c r="M133" t="s">
        <v>56</v>
      </c>
      <c r="N133" t="s">
        <v>55</v>
      </c>
      <c r="P133" s="6" t="s">
        <v>805</v>
      </c>
    </row>
    <row r="134" spans="1:16" x14ac:dyDescent="0.2">
      <c r="A134">
        <v>357061292</v>
      </c>
      <c r="B134" t="s">
        <v>59</v>
      </c>
      <c r="C134" t="s">
        <v>656</v>
      </c>
      <c r="E134" s="22">
        <v>0.48666666666666664</v>
      </c>
      <c r="F134" t="s">
        <v>648</v>
      </c>
      <c r="G134" t="s">
        <v>649</v>
      </c>
      <c r="H134" t="s">
        <v>650</v>
      </c>
      <c r="I134" t="s">
        <v>651</v>
      </c>
      <c r="J134" t="s">
        <v>652</v>
      </c>
      <c r="K134" t="s">
        <v>48</v>
      </c>
      <c r="L134">
        <v>2016</v>
      </c>
      <c r="M134" t="s">
        <v>56</v>
      </c>
      <c r="N134" t="s">
        <v>55</v>
      </c>
      <c r="P134" s="6" t="s">
        <v>806</v>
      </c>
    </row>
    <row r="135" spans="1:16" x14ac:dyDescent="0.2">
      <c r="A135">
        <v>837310284</v>
      </c>
      <c r="B135" t="s">
        <v>59</v>
      </c>
      <c r="C135" t="s">
        <v>656</v>
      </c>
      <c r="E135" s="22">
        <v>0.4366666666666667</v>
      </c>
      <c r="F135" t="s">
        <v>648</v>
      </c>
      <c r="G135" t="s">
        <v>649</v>
      </c>
      <c r="H135" t="s">
        <v>650</v>
      </c>
      <c r="I135" t="s">
        <v>651</v>
      </c>
      <c r="J135" t="s">
        <v>652</v>
      </c>
      <c r="K135" t="s">
        <v>48</v>
      </c>
      <c r="L135">
        <v>2016</v>
      </c>
      <c r="M135" t="s">
        <v>56</v>
      </c>
      <c r="N135" t="s">
        <v>55</v>
      </c>
      <c r="P135" s="6" t="s">
        <v>807</v>
      </c>
    </row>
    <row r="136" spans="1:16" x14ac:dyDescent="0.2">
      <c r="A136">
        <v>815854164</v>
      </c>
      <c r="B136" t="s">
        <v>59</v>
      </c>
      <c r="C136" t="s">
        <v>656</v>
      </c>
      <c r="E136" s="22">
        <v>0.47</v>
      </c>
      <c r="F136" t="s">
        <v>648</v>
      </c>
      <c r="G136" t="s">
        <v>649</v>
      </c>
      <c r="H136" t="s">
        <v>650</v>
      </c>
      <c r="I136" t="s">
        <v>651</v>
      </c>
      <c r="J136" t="s">
        <v>652</v>
      </c>
      <c r="K136" t="s">
        <v>48</v>
      </c>
      <c r="L136">
        <v>2016</v>
      </c>
      <c r="M136" t="s">
        <v>56</v>
      </c>
      <c r="N136" t="s">
        <v>55</v>
      </c>
      <c r="P136" s="6" t="s">
        <v>808</v>
      </c>
    </row>
    <row r="137" spans="1:16" x14ac:dyDescent="0.2">
      <c r="A137">
        <v>315378369</v>
      </c>
      <c r="B137" t="s">
        <v>59</v>
      </c>
      <c r="C137" t="s">
        <v>656</v>
      </c>
      <c r="E137" s="22">
        <v>0.24333333333333335</v>
      </c>
      <c r="F137" t="s">
        <v>648</v>
      </c>
      <c r="G137" t="s">
        <v>649</v>
      </c>
      <c r="H137" t="s">
        <v>650</v>
      </c>
      <c r="I137" t="s">
        <v>651</v>
      </c>
      <c r="J137" t="s">
        <v>652</v>
      </c>
      <c r="K137" t="s">
        <v>48</v>
      </c>
      <c r="L137">
        <v>2016</v>
      </c>
      <c r="M137" t="s">
        <v>56</v>
      </c>
      <c r="N137" t="s">
        <v>55</v>
      </c>
      <c r="P137" s="6" t="s">
        <v>809</v>
      </c>
    </row>
    <row r="138" spans="1:16" x14ac:dyDescent="0.2">
      <c r="A138">
        <v>564410540</v>
      </c>
      <c r="B138" t="s">
        <v>59</v>
      </c>
      <c r="C138" t="s">
        <v>656</v>
      </c>
      <c r="E138" s="22">
        <v>0.48333333333333334</v>
      </c>
      <c r="F138" t="s">
        <v>648</v>
      </c>
      <c r="G138" t="s">
        <v>649</v>
      </c>
      <c r="H138" t="s">
        <v>650</v>
      </c>
      <c r="I138" t="s">
        <v>651</v>
      </c>
      <c r="J138" t="s">
        <v>652</v>
      </c>
      <c r="K138" t="s">
        <v>48</v>
      </c>
      <c r="L138">
        <v>2016</v>
      </c>
      <c r="M138" t="s">
        <v>56</v>
      </c>
      <c r="N138" t="s">
        <v>55</v>
      </c>
      <c r="P138" s="6" t="s">
        <v>810</v>
      </c>
    </row>
    <row r="139" spans="1:16" x14ac:dyDescent="0.2">
      <c r="A139">
        <v>126539887</v>
      </c>
      <c r="B139" t="s">
        <v>59</v>
      </c>
      <c r="C139" t="s">
        <v>656</v>
      </c>
      <c r="E139" s="22">
        <v>0.57000000000000006</v>
      </c>
      <c r="F139" t="s">
        <v>648</v>
      </c>
      <c r="G139" t="s">
        <v>649</v>
      </c>
      <c r="H139" t="s">
        <v>650</v>
      </c>
      <c r="I139" t="s">
        <v>651</v>
      </c>
      <c r="J139" t="s">
        <v>652</v>
      </c>
      <c r="K139" t="s">
        <v>48</v>
      </c>
      <c r="L139">
        <v>2016</v>
      </c>
      <c r="M139" t="s">
        <v>56</v>
      </c>
      <c r="N139" t="s">
        <v>55</v>
      </c>
      <c r="P139" s="6" t="s">
        <v>811</v>
      </c>
    </row>
    <row r="140" spans="1:16" x14ac:dyDescent="0.2">
      <c r="A140">
        <v>563937624</v>
      </c>
      <c r="B140" t="s">
        <v>59</v>
      </c>
      <c r="C140" t="s">
        <v>656</v>
      </c>
      <c r="E140" s="22">
        <v>0.57333333333333347</v>
      </c>
      <c r="F140" t="s">
        <v>648</v>
      </c>
      <c r="G140" t="s">
        <v>649</v>
      </c>
      <c r="H140" t="s">
        <v>650</v>
      </c>
      <c r="I140" t="s">
        <v>651</v>
      </c>
      <c r="J140" t="s">
        <v>652</v>
      </c>
      <c r="K140" t="s">
        <v>48</v>
      </c>
      <c r="L140">
        <v>2016</v>
      </c>
      <c r="M140" t="s">
        <v>56</v>
      </c>
      <c r="N140" t="s">
        <v>55</v>
      </c>
      <c r="P140" s="6" t="s">
        <v>812</v>
      </c>
    </row>
    <row r="141" spans="1:16" x14ac:dyDescent="0.2">
      <c r="A141">
        <v>684291511</v>
      </c>
      <c r="B141" t="s">
        <v>59</v>
      </c>
      <c r="C141" t="s">
        <v>656</v>
      </c>
      <c r="E141" s="22">
        <v>0.69666666666666677</v>
      </c>
      <c r="F141" t="s">
        <v>648</v>
      </c>
      <c r="G141" t="s">
        <v>649</v>
      </c>
      <c r="H141" t="s">
        <v>650</v>
      </c>
      <c r="I141" t="s">
        <v>651</v>
      </c>
      <c r="J141" t="s">
        <v>652</v>
      </c>
      <c r="K141" t="s">
        <v>48</v>
      </c>
      <c r="L141">
        <v>2016</v>
      </c>
      <c r="M141" t="s">
        <v>56</v>
      </c>
      <c r="N141" t="s">
        <v>55</v>
      </c>
      <c r="P141" s="6" t="s">
        <v>813</v>
      </c>
    </row>
    <row r="142" spans="1:16" x14ac:dyDescent="0.2">
      <c r="A142">
        <v>598829620</v>
      </c>
      <c r="B142" t="s">
        <v>60</v>
      </c>
      <c r="C142" t="s">
        <v>657</v>
      </c>
      <c r="E142" s="22">
        <v>0.21249999999999999</v>
      </c>
      <c r="F142" t="s">
        <v>648</v>
      </c>
      <c r="G142" t="s">
        <v>649</v>
      </c>
      <c r="H142" t="s">
        <v>650</v>
      </c>
      <c r="I142" t="s">
        <v>651</v>
      </c>
      <c r="J142" t="s">
        <v>652</v>
      </c>
      <c r="K142" t="s">
        <v>48</v>
      </c>
      <c r="L142">
        <v>2016</v>
      </c>
      <c r="M142" t="s">
        <v>56</v>
      </c>
      <c r="N142" t="s">
        <v>55</v>
      </c>
      <c r="P142" s="6" t="s">
        <v>814</v>
      </c>
    </row>
    <row r="143" spans="1:16" x14ac:dyDescent="0.2">
      <c r="A143">
        <v>684014860</v>
      </c>
      <c r="B143" t="s">
        <v>60</v>
      </c>
      <c r="C143" t="s">
        <v>657</v>
      </c>
      <c r="E143" s="22">
        <v>0.56000000000000005</v>
      </c>
      <c r="F143" t="s">
        <v>648</v>
      </c>
      <c r="G143" t="s">
        <v>649</v>
      </c>
      <c r="H143" t="s">
        <v>650</v>
      </c>
      <c r="I143" t="s">
        <v>651</v>
      </c>
      <c r="J143" t="s">
        <v>652</v>
      </c>
      <c r="K143" t="s">
        <v>48</v>
      </c>
      <c r="L143">
        <v>2016</v>
      </c>
      <c r="M143" t="s">
        <v>56</v>
      </c>
      <c r="N143" t="s">
        <v>55</v>
      </c>
      <c r="P143" s="6" t="s">
        <v>815</v>
      </c>
    </row>
    <row r="144" spans="1:16" x14ac:dyDescent="0.2">
      <c r="A144">
        <v>843228181</v>
      </c>
      <c r="B144" t="s">
        <v>60</v>
      </c>
      <c r="C144" t="s">
        <v>657</v>
      </c>
      <c r="E144" s="22">
        <v>0.5625</v>
      </c>
      <c r="F144" t="s">
        <v>648</v>
      </c>
      <c r="G144" t="s">
        <v>649</v>
      </c>
      <c r="H144" t="s">
        <v>650</v>
      </c>
      <c r="I144" t="s">
        <v>651</v>
      </c>
      <c r="J144" t="s">
        <v>652</v>
      </c>
      <c r="K144" t="s">
        <v>48</v>
      </c>
      <c r="L144">
        <v>2016</v>
      </c>
      <c r="M144" t="s">
        <v>56</v>
      </c>
      <c r="N144" t="s">
        <v>55</v>
      </c>
      <c r="P144" s="6" t="s">
        <v>816</v>
      </c>
    </row>
    <row r="145" spans="1:16" x14ac:dyDescent="0.2">
      <c r="A145">
        <v>820549378</v>
      </c>
      <c r="B145" t="s">
        <v>60</v>
      </c>
      <c r="C145" t="s">
        <v>657</v>
      </c>
      <c r="E145" s="22">
        <v>0.30500000000000005</v>
      </c>
      <c r="F145" t="s">
        <v>648</v>
      </c>
      <c r="G145" t="s">
        <v>649</v>
      </c>
      <c r="H145" t="s">
        <v>650</v>
      </c>
      <c r="I145" t="s">
        <v>651</v>
      </c>
      <c r="J145" t="s">
        <v>652</v>
      </c>
      <c r="K145" t="s">
        <v>48</v>
      </c>
      <c r="L145">
        <v>2016</v>
      </c>
      <c r="M145" t="s">
        <v>56</v>
      </c>
      <c r="N145" t="s">
        <v>55</v>
      </c>
      <c r="P145" s="6" t="s">
        <v>817</v>
      </c>
    </row>
    <row r="146" spans="1:16" x14ac:dyDescent="0.2">
      <c r="A146">
        <v>533572169</v>
      </c>
      <c r="B146" t="s">
        <v>60</v>
      </c>
      <c r="C146" t="s">
        <v>657</v>
      </c>
      <c r="E146" s="22">
        <v>0.23500000000000001</v>
      </c>
      <c r="F146" t="s">
        <v>648</v>
      </c>
      <c r="G146" t="s">
        <v>649</v>
      </c>
      <c r="H146" t="s">
        <v>650</v>
      </c>
      <c r="I146" t="s">
        <v>651</v>
      </c>
      <c r="J146" t="s">
        <v>652</v>
      </c>
      <c r="K146" t="s">
        <v>48</v>
      </c>
      <c r="L146">
        <v>2016</v>
      </c>
      <c r="M146" t="s">
        <v>56</v>
      </c>
      <c r="N146" t="s">
        <v>55</v>
      </c>
      <c r="P146" s="6" t="s">
        <v>818</v>
      </c>
    </row>
    <row r="147" spans="1:16" x14ac:dyDescent="0.2">
      <c r="A147">
        <v>975325712</v>
      </c>
      <c r="B147" t="s">
        <v>60</v>
      </c>
      <c r="C147" t="s">
        <v>657</v>
      </c>
      <c r="E147" s="22">
        <v>0.39</v>
      </c>
      <c r="F147" t="s">
        <v>648</v>
      </c>
      <c r="G147" t="s">
        <v>649</v>
      </c>
      <c r="H147" t="s">
        <v>650</v>
      </c>
      <c r="I147" t="s">
        <v>651</v>
      </c>
      <c r="J147" t="s">
        <v>652</v>
      </c>
      <c r="K147" t="s">
        <v>48</v>
      </c>
      <c r="L147">
        <v>2016</v>
      </c>
      <c r="M147" t="s">
        <v>56</v>
      </c>
      <c r="N147" t="s">
        <v>55</v>
      </c>
      <c r="P147" s="6" t="s">
        <v>819</v>
      </c>
    </row>
    <row r="148" spans="1:16" x14ac:dyDescent="0.2">
      <c r="A148">
        <v>310082419</v>
      </c>
      <c r="B148" t="s">
        <v>60</v>
      </c>
      <c r="C148" t="s">
        <v>657</v>
      </c>
      <c r="E148" s="22">
        <v>8.5000000000000006E-2</v>
      </c>
      <c r="F148" t="s">
        <v>648</v>
      </c>
      <c r="G148" t="s">
        <v>649</v>
      </c>
      <c r="H148" t="s">
        <v>650</v>
      </c>
      <c r="I148" t="s">
        <v>651</v>
      </c>
      <c r="J148" t="s">
        <v>652</v>
      </c>
      <c r="K148" t="s">
        <v>48</v>
      </c>
      <c r="L148">
        <v>2016</v>
      </c>
      <c r="M148" t="s">
        <v>56</v>
      </c>
      <c r="N148" t="s">
        <v>55</v>
      </c>
      <c r="P148" s="6" t="s">
        <v>820</v>
      </c>
    </row>
    <row r="149" spans="1:16" x14ac:dyDescent="0.2">
      <c r="A149">
        <v>242132470</v>
      </c>
      <c r="B149" t="s">
        <v>60</v>
      </c>
      <c r="C149" t="s">
        <v>657</v>
      </c>
      <c r="E149" s="22">
        <v>0.22250000000000006</v>
      </c>
      <c r="F149" t="s">
        <v>648</v>
      </c>
      <c r="G149" t="s">
        <v>649</v>
      </c>
      <c r="H149" t="s">
        <v>650</v>
      </c>
      <c r="I149" t="s">
        <v>651</v>
      </c>
      <c r="J149" t="s">
        <v>652</v>
      </c>
      <c r="K149" t="s">
        <v>48</v>
      </c>
      <c r="L149">
        <v>2016</v>
      </c>
      <c r="M149" t="s">
        <v>56</v>
      </c>
      <c r="N149" t="s">
        <v>55</v>
      </c>
      <c r="P149" s="6" t="s">
        <v>821</v>
      </c>
    </row>
    <row r="150" spans="1:16" x14ac:dyDescent="0.2">
      <c r="A150">
        <v>208248363</v>
      </c>
      <c r="B150" t="s">
        <v>60</v>
      </c>
      <c r="C150" t="s">
        <v>657</v>
      </c>
      <c r="E150" s="22">
        <v>0.4825000000000001</v>
      </c>
      <c r="F150" t="s">
        <v>648</v>
      </c>
      <c r="G150" t="s">
        <v>649</v>
      </c>
      <c r="H150" t="s">
        <v>650</v>
      </c>
      <c r="I150" t="s">
        <v>651</v>
      </c>
      <c r="J150" t="s">
        <v>652</v>
      </c>
      <c r="K150" t="s">
        <v>48</v>
      </c>
      <c r="L150">
        <v>2016</v>
      </c>
      <c r="M150" t="s">
        <v>56</v>
      </c>
      <c r="N150" t="s">
        <v>55</v>
      </c>
      <c r="P150" s="6" t="s">
        <v>822</v>
      </c>
    </row>
    <row r="151" spans="1:16" x14ac:dyDescent="0.2">
      <c r="A151">
        <v>277055951</v>
      </c>
      <c r="B151" t="s">
        <v>60</v>
      </c>
      <c r="C151" t="s">
        <v>657</v>
      </c>
      <c r="E151" s="22">
        <v>0.19500000000000001</v>
      </c>
      <c r="F151" t="s">
        <v>648</v>
      </c>
      <c r="G151" t="s">
        <v>649</v>
      </c>
      <c r="H151" t="s">
        <v>650</v>
      </c>
      <c r="I151" t="s">
        <v>651</v>
      </c>
      <c r="J151" t="s">
        <v>652</v>
      </c>
      <c r="K151" t="s">
        <v>48</v>
      </c>
      <c r="L151">
        <v>2016</v>
      </c>
      <c r="M151" t="s">
        <v>56</v>
      </c>
      <c r="N151" t="s">
        <v>55</v>
      </c>
      <c r="P151" s="6" t="s">
        <v>823</v>
      </c>
    </row>
    <row r="152" spans="1:16" x14ac:dyDescent="0.2">
      <c r="A152">
        <v>902907559</v>
      </c>
      <c r="B152" t="s">
        <v>60</v>
      </c>
      <c r="C152" t="s">
        <v>657</v>
      </c>
      <c r="E152" s="22">
        <v>0.67500000000000004</v>
      </c>
      <c r="F152" t="s">
        <v>648</v>
      </c>
      <c r="G152" t="s">
        <v>649</v>
      </c>
      <c r="H152" t="s">
        <v>650</v>
      </c>
      <c r="I152" t="s">
        <v>651</v>
      </c>
      <c r="J152" t="s">
        <v>652</v>
      </c>
      <c r="K152" t="s">
        <v>48</v>
      </c>
      <c r="L152">
        <v>2016</v>
      </c>
      <c r="M152" t="s">
        <v>56</v>
      </c>
      <c r="N152" t="s">
        <v>55</v>
      </c>
      <c r="P152" s="6" t="s">
        <v>824</v>
      </c>
    </row>
    <row r="153" spans="1:16" x14ac:dyDescent="0.2">
      <c r="A153">
        <v>528297980</v>
      </c>
      <c r="B153" t="s">
        <v>60</v>
      </c>
      <c r="C153" t="s">
        <v>657</v>
      </c>
      <c r="E153" s="22">
        <v>0.59000000000000008</v>
      </c>
      <c r="F153" t="s">
        <v>648</v>
      </c>
      <c r="G153" t="s">
        <v>649</v>
      </c>
      <c r="H153" t="s">
        <v>650</v>
      </c>
      <c r="I153" t="s">
        <v>651</v>
      </c>
      <c r="J153" t="s">
        <v>652</v>
      </c>
      <c r="K153" t="s">
        <v>48</v>
      </c>
      <c r="L153">
        <v>2016</v>
      </c>
      <c r="M153" t="s">
        <v>56</v>
      </c>
      <c r="N153" t="s">
        <v>55</v>
      </c>
      <c r="P153" s="6" t="s">
        <v>825</v>
      </c>
    </row>
    <row r="154" spans="1:16" x14ac:dyDescent="0.2">
      <c r="A154">
        <v>444882790</v>
      </c>
      <c r="B154" t="s">
        <v>60</v>
      </c>
      <c r="C154" t="s">
        <v>657</v>
      </c>
      <c r="E154" s="22">
        <v>7.2500000000000009E-2</v>
      </c>
      <c r="F154" t="s">
        <v>648</v>
      </c>
      <c r="G154" t="s">
        <v>649</v>
      </c>
      <c r="H154" t="s">
        <v>650</v>
      </c>
      <c r="I154" t="s">
        <v>651</v>
      </c>
      <c r="J154" t="s">
        <v>652</v>
      </c>
      <c r="K154" t="s">
        <v>48</v>
      </c>
      <c r="L154">
        <v>2016</v>
      </c>
      <c r="M154" t="s">
        <v>56</v>
      </c>
      <c r="N154" t="s">
        <v>55</v>
      </c>
      <c r="P154" s="6" t="s">
        <v>826</v>
      </c>
    </row>
    <row r="155" spans="1:16" x14ac:dyDescent="0.2">
      <c r="A155">
        <v>112085131</v>
      </c>
      <c r="B155" t="s">
        <v>60</v>
      </c>
      <c r="C155" t="s">
        <v>657</v>
      </c>
      <c r="E155" s="22">
        <v>0.14250000000000002</v>
      </c>
      <c r="F155" t="s">
        <v>648</v>
      </c>
      <c r="G155" t="s">
        <v>649</v>
      </c>
      <c r="H155" t="s">
        <v>650</v>
      </c>
      <c r="I155" t="s">
        <v>651</v>
      </c>
      <c r="J155" t="s">
        <v>652</v>
      </c>
      <c r="K155" t="s">
        <v>48</v>
      </c>
      <c r="L155">
        <v>2016</v>
      </c>
      <c r="M155" t="s">
        <v>56</v>
      </c>
      <c r="N155" t="s">
        <v>55</v>
      </c>
      <c r="P155" s="6" t="s">
        <v>827</v>
      </c>
    </row>
    <row r="156" spans="1:16" x14ac:dyDescent="0.2">
      <c r="A156">
        <v>588642518</v>
      </c>
      <c r="B156" t="s">
        <v>60</v>
      </c>
      <c r="C156" t="s">
        <v>657</v>
      </c>
      <c r="E156" s="22">
        <v>0.875</v>
      </c>
      <c r="F156" t="s">
        <v>648</v>
      </c>
      <c r="G156" t="s">
        <v>649</v>
      </c>
      <c r="H156" t="s">
        <v>650</v>
      </c>
      <c r="I156" t="s">
        <v>651</v>
      </c>
      <c r="J156" t="s">
        <v>652</v>
      </c>
      <c r="K156" t="s">
        <v>48</v>
      </c>
      <c r="L156">
        <v>2016</v>
      </c>
      <c r="M156" t="s">
        <v>56</v>
      </c>
      <c r="N156" t="s">
        <v>55</v>
      </c>
      <c r="P156" s="6" t="s">
        <v>828</v>
      </c>
    </row>
    <row r="157" spans="1:16" x14ac:dyDescent="0.2">
      <c r="A157">
        <v>414520736</v>
      </c>
      <c r="B157" t="s">
        <v>60</v>
      </c>
      <c r="C157" t="s">
        <v>657</v>
      </c>
      <c r="E157" s="22">
        <v>0.64249999999999996</v>
      </c>
      <c r="F157" t="s">
        <v>648</v>
      </c>
      <c r="G157" t="s">
        <v>649</v>
      </c>
      <c r="H157" t="s">
        <v>650</v>
      </c>
      <c r="I157" t="s">
        <v>651</v>
      </c>
      <c r="J157" t="s">
        <v>652</v>
      </c>
      <c r="K157" t="s">
        <v>48</v>
      </c>
      <c r="L157">
        <v>2016</v>
      </c>
      <c r="M157" t="s">
        <v>56</v>
      </c>
      <c r="N157" t="s">
        <v>55</v>
      </c>
      <c r="P157" s="6" t="s">
        <v>829</v>
      </c>
    </row>
    <row r="158" spans="1:16" x14ac:dyDescent="0.2">
      <c r="A158">
        <v>356558346</v>
      </c>
      <c r="B158" t="s">
        <v>60</v>
      </c>
      <c r="C158" t="s">
        <v>657</v>
      </c>
      <c r="E158" s="22">
        <v>0.33250000000000002</v>
      </c>
      <c r="F158" t="s">
        <v>648</v>
      </c>
      <c r="G158" t="s">
        <v>649</v>
      </c>
      <c r="H158" t="s">
        <v>650</v>
      </c>
      <c r="I158" t="s">
        <v>651</v>
      </c>
      <c r="J158" t="s">
        <v>652</v>
      </c>
      <c r="K158" t="s">
        <v>48</v>
      </c>
      <c r="L158">
        <v>2016</v>
      </c>
      <c r="M158" t="s">
        <v>56</v>
      </c>
      <c r="N158" t="s">
        <v>55</v>
      </c>
      <c r="P158" s="6" t="s">
        <v>830</v>
      </c>
    </row>
    <row r="159" spans="1:16" x14ac:dyDescent="0.2">
      <c r="A159">
        <v>970698993</v>
      </c>
      <c r="B159" t="s">
        <v>60</v>
      </c>
      <c r="C159" t="s">
        <v>657</v>
      </c>
      <c r="E159" s="22">
        <v>0.73250000000000004</v>
      </c>
      <c r="F159" t="s">
        <v>648</v>
      </c>
      <c r="G159" t="s">
        <v>649</v>
      </c>
      <c r="H159" t="s">
        <v>650</v>
      </c>
      <c r="I159" t="s">
        <v>651</v>
      </c>
      <c r="J159" t="s">
        <v>652</v>
      </c>
      <c r="K159" t="s">
        <v>48</v>
      </c>
      <c r="L159">
        <v>2016</v>
      </c>
      <c r="M159" t="s">
        <v>56</v>
      </c>
      <c r="N159" t="s">
        <v>55</v>
      </c>
      <c r="P159" s="6" t="s">
        <v>831</v>
      </c>
    </row>
    <row r="160" spans="1:16" x14ac:dyDescent="0.2">
      <c r="A160">
        <v>633537205</v>
      </c>
      <c r="B160" t="s">
        <v>60</v>
      </c>
      <c r="C160" t="s">
        <v>657</v>
      </c>
      <c r="E160" s="22">
        <v>0.29500000000000004</v>
      </c>
      <c r="F160" t="s">
        <v>648</v>
      </c>
      <c r="G160" t="s">
        <v>649</v>
      </c>
      <c r="H160" t="s">
        <v>650</v>
      </c>
      <c r="I160" t="s">
        <v>651</v>
      </c>
      <c r="J160" t="s">
        <v>652</v>
      </c>
      <c r="K160" t="s">
        <v>48</v>
      </c>
      <c r="L160">
        <v>2016</v>
      </c>
      <c r="M160" t="s">
        <v>56</v>
      </c>
      <c r="N160" t="s">
        <v>55</v>
      </c>
      <c r="P160" s="6" t="s">
        <v>832</v>
      </c>
    </row>
    <row r="161" spans="1:16" x14ac:dyDescent="0.2">
      <c r="A161">
        <v>534292868</v>
      </c>
      <c r="B161" t="s">
        <v>60</v>
      </c>
      <c r="C161" t="s">
        <v>657</v>
      </c>
      <c r="E161" s="22">
        <v>0.69500000000000006</v>
      </c>
      <c r="F161" t="s">
        <v>648</v>
      </c>
      <c r="G161" t="s">
        <v>649</v>
      </c>
      <c r="H161" t="s">
        <v>650</v>
      </c>
      <c r="I161" t="s">
        <v>651</v>
      </c>
      <c r="J161" t="s">
        <v>652</v>
      </c>
      <c r="K161" t="s">
        <v>48</v>
      </c>
      <c r="L161">
        <v>2016</v>
      </c>
      <c r="M161" t="s">
        <v>56</v>
      </c>
      <c r="N161" t="s">
        <v>55</v>
      </c>
      <c r="P161" s="6" t="s">
        <v>833</v>
      </c>
    </row>
    <row r="162" spans="1:16" x14ac:dyDescent="0.2">
      <c r="A162">
        <v>816787809</v>
      </c>
      <c r="B162" t="s">
        <v>60</v>
      </c>
      <c r="C162" t="s">
        <v>657</v>
      </c>
      <c r="E162" s="22">
        <v>0.51249999999999996</v>
      </c>
      <c r="F162" t="s">
        <v>648</v>
      </c>
      <c r="G162" t="s">
        <v>649</v>
      </c>
      <c r="H162" t="s">
        <v>650</v>
      </c>
      <c r="I162" t="s">
        <v>651</v>
      </c>
      <c r="J162" t="s">
        <v>652</v>
      </c>
      <c r="K162" t="s">
        <v>48</v>
      </c>
      <c r="L162">
        <v>2016</v>
      </c>
      <c r="M162" t="s">
        <v>56</v>
      </c>
      <c r="N162" t="s">
        <v>55</v>
      </c>
      <c r="P162" s="6" t="s">
        <v>834</v>
      </c>
    </row>
    <row r="163" spans="1:16" x14ac:dyDescent="0.2">
      <c r="A163">
        <v>220052551</v>
      </c>
      <c r="B163" t="s">
        <v>60</v>
      </c>
      <c r="C163" t="s">
        <v>657</v>
      </c>
      <c r="E163" s="22">
        <v>0.59000000000000008</v>
      </c>
      <c r="F163" t="s">
        <v>648</v>
      </c>
      <c r="G163" t="s">
        <v>649</v>
      </c>
      <c r="H163" t="s">
        <v>650</v>
      </c>
      <c r="I163" t="s">
        <v>651</v>
      </c>
      <c r="J163" t="s">
        <v>652</v>
      </c>
      <c r="K163" t="s">
        <v>48</v>
      </c>
      <c r="L163">
        <v>2016</v>
      </c>
      <c r="M163" t="s">
        <v>56</v>
      </c>
      <c r="N163" t="s">
        <v>55</v>
      </c>
      <c r="P163" s="6" t="s">
        <v>835</v>
      </c>
    </row>
    <row r="164" spans="1:16" x14ac:dyDescent="0.2">
      <c r="A164">
        <v>858571733</v>
      </c>
      <c r="B164" t="s">
        <v>60</v>
      </c>
      <c r="C164" t="s">
        <v>657</v>
      </c>
      <c r="E164" s="22">
        <v>0.18250000000000002</v>
      </c>
      <c r="F164" t="s">
        <v>648</v>
      </c>
      <c r="G164" t="s">
        <v>649</v>
      </c>
      <c r="H164" t="s">
        <v>650</v>
      </c>
      <c r="I164" t="s">
        <v>651</v>
      </c>
      <c r="J164" t="s">
        <v>652</v>
      </c>
      <c r="K164" t="s">
        <v>48</v>
      </c>
      <c r="L164">
        <v>2016</v>
      </c>
      <c r="M164" t="s">
        <v>56</v>
      </c>
      <c r="N164" t="s">
        <v>55</v>
      </c>
      <c r="P164" s="6" t="s">
        <v>836</v>
      </c>
    </row>
    <row r="165" spans="1:16" x14ac:dyDescent="0.2">
      <c r="A165">
        <v>363436152</v>
      </c>
      <c r="B165" t="s">
        <v>60</v>
      </c>
      <c r="C165" t="s">
        <v>657</v>
      </c>
      <c r="E165" s="22">
        <v>0.27250000000000008</v>
      </c>
      <c r="F165" t="s">
        <v>648</v>
      </c>
      <c r="G165" t="s">
        <v>649</v>
      </c>
      <c r="H165" t="s">
        <v>650</v>
      </c>
      <c r="I165" t="s">
        <v>651</v>
      </c>
      <c r="J165" t="s">
        <v>652</v>
      </c>
      <c r="K165" t="s">
        <v>48</v>
      </c>
      <c r="L165">
        <v>2016</v>
      </c>
      <c r="M165" t="s">
        <v>56</v>
      </c>
      <c r="N165" t="s">
        <v>55</v>
      </c>
      <c r="P165" s="6" t="s">
        <v>837</v>
      </c>
    </row>
    <row r="166" spans="1:16" x14ac:dyDescent="0.2">
      <c r="A166">
        <v>393495083</v>
      </c>
      <c r="B166" t="s">
        <v>60</v>
      </c>
      <c r="C166" t="s">
        <v>657</v>
      </c>
      <c r="E166" s="22">
        <v>0.72750000000000004</v>
      </c>
      <c r="F166" t="s">
        <v>648</v>
      </c>
      <c r="G166" t="s">
        <v>649</v>
      </c>
      <c r="H166" t="s">
        <v>650</v>
      </c>
      <c r="I166" t="s">
        <v>651</v>
      </c>
      <c r="J166" t="s">
        <v>652</v>
      </c>
      <c r="K166" t="s">
        <v>48</v>
      </c>
      <c r="L166">
        <v>2016</v>
      </c>
      <c r="M166" t="s">
        <v>56</v>
      </c>
      <c r="N166" t="s">
        <v>55</v>
      </c>
      <c r="P166" s="6" t="s">
        <v>838</v>
      </c>
    </row>
    <row r="167" spans="1:16" x14ac:dyDescent="0.2">
      <c r="A167">
        <v>769635714</v>
      </c>
      <c r="B167" t="s">
        <v>60</v>
      </c>
      <c r="C167" t="s">
        <v>657</v>
      </c>
      <c r="E167" s="22">
        <v>0.82000000000000006</v>
      </c>
      <c r="F167" t="s">
        <v>648</v>
      </c>
      <c r="G167" t="s">
        <v>649</v>
      </c>
      <c r="H167" t="s">
        <v>650</v>
      </c>
      <c r="I167" t="s">
        <v>651</v>
      </c>
      <c r="J167" t="s">
        <v>652</v>
      </c>
      <c r="K167" t="s">
        <v>48</v>
      </c>
      <c r="L167">
        <v>2016</v>
      </c>
      <c r="M167" t="s">
        <v>56</v>
      </c>
      <c r="N167" t="s">
        <v>55</v>
      </c>
      <c r="P167" s="6" t="s">
        <v>839</v>
      </c>
    </row>
    <row r="168" spans="1:16" x14ac:dyDescent="0.2">
      <c r="A168">
        <v>373048949</v>
      </c>
      <c r="B168" t="s">
        <v>60</v>
      </c>
      <c r="C168" t="s">
        <v>657</v>
      </c>
      <c r="E168" s="22">
        <v>0.67500000000000004</v>
      </c>
      <c r="F168" t="s">
        <v>648</v>
      </c>
      <c r="G168" t="s">
        <v>649</v>
      </c>
      <c r="H168" t="s">
        <v>650</v>
      </c>
      <c r="I168" t="s">
        <v>651</v>
      </c>
      <c r="J168" t="s">
        <v>652</v>
      </c>
      <c r="K168" t="s">
        <v>48</v>
      </c>
      <c r="L168">
        <v>2016</v>
      </c>
      <c r="M168" t="s">
        <v>56</v>
      </c>
      <c r="N168" t="s">
        <v>55</v>
      </c>
      <c r="P168" s="6" t="s">
        <v>840</v>
      </c>
    </row>
    <row r="169" spans="1:16" x14ac:dyDescent="0.2">
      <c r="A169">
        <v>357061292</v>
      </c>
      <c r="B169" t="s">
        <v>60</v>
      </c>
      <c r="C169" t="s">
        <v>657</v>
      </c>
      <c r="E169" s="22">
        <v>0.2</v>
      </c>
      <c r="F169" t="s">
        <v>648</v>
      </c>
      <c r="G169" t="s">
        <v>649</v>
      </c>
      <c r="H169" t="s">
        <v>650</v>
      </c>
      <c r="I169" t="s">
        <v>651</v>
      </c>
      <c r="J169" t="s">
        <v>652</v>
      </c>
      <c r="K169" t="s">
        <v>48</v>
      </c>
      <c r="L169">
        <v>2016</v>
      </c>
      <c r="M169" t="s">
        <v>56</v>
      </c>
      <c r="N169" t="s">
        <v>55</v>
      </c>
      <c r="P169" s="6" t="s">
        <v>841</v>
      </c>
    </row>
    <row r="170" spans="1:16" x14ac:dyDescent="0.2">
      <c r="A170">
        <v>837310284</v>
      </c>
      <c r="B170" t="s">
        <v>60</v>
      </c>
      <c r="C170" t="s">
        <v>657</v>
      </c>
      <c r="E170" s="22">
        <v>0.42750000000000005</v>
      </c>
      <c r="F170" t="s">
        <v>648</v>
      </c>
      <c r="G170" t="s">
        <v>649</v>
      </c>
      <c r="H170" t="s">
        <v>650</v>
      </c>
      <c r="I170" t="s">
        <v>651</v>
      </c>
      <c r="J170" t="s">
        <v>652</v>
      </c>
      <c r="K170" t="s">
        <v>48</v>
      </c>
      <c r="L170">
        <v>2016</v>
      </c>
      <c r="M170" t="s">
        <v>56</v>
      </c>
      <c r="N170" t="s">
        <v>55</v>
      </c>
      <c r="P170" s="6" t="s">
        <v>842</v>
      </c>
    </row>
    <row r="171" spans="1:16" x14ac:dyDescent="0.2">
      <c r="A171">
        <v>815854164</v>
      </c>
      <c r="B171" t="s">
        <v>60</v>
      </c>
      <c r="C171" t="s">
        <v>657</v>
      </c>
      <c r="E171" s="22">
        <v>0.82250000000000012</v>
      </c>
      <c r="F171" t="s">
        <v>648</v>
      </c>
      <c r="G171" t="s">
        <v>649</v>
      </c>
      <c r="H171" t="s">
        <v>650</v>
      </c>
      <c r="I171" t="s">
        <v>651</v>
      </c>
      <c r="J171" t="s">
        <v>652</v>
      </c>
      <c r="K171" t="s">
        <v>48</v>
      </c>
      <c r="L171">
        <v>2016</v>
      </c>
      <c r="M171" t="s">
        <v>56</v>
      </c>
      <c r="N171" t="s">
        <v>55</v>
      </c>
      <c r="P171" s="6" t="s">
        <v>843</v>
      </c>
    </row>
    <row r="172" spans="1:16" x14ac:dyDescent="0.2">
      <c r="A172">
        <v>315378369</v>
      </c>
      <c r="B172" t="s">
        <v>60</v>
      </c>
      <c r="C172" t="s">
        <v>657</v>
      </c>
      <c r="E172" s="22">
        <v>0.18000000000000002</v>
      </c>
      <c r="F172" t="s">
        <v>648</v>
      </c>
      <c r="G172" t="s">
        <v>649</v>
      </c>
      <c r="H172" t="s">
        <v>650</v>
      </c>
      <c r="I172" t="s">
        <v>651</v>
      </c>
      <c r="J172" t="s">
        <v>652</v>
      </c>
      <c r="K172" t="s">
        <v>48</v>
      </c>
      <c r="L172">
        <v>2016</v>
      </c>
      <c r="M172" t="s">
        <v>56</v>
      </c>
      <c r="N172" t="s">
        <v>55</v>
      </c>
      <c r="P172" s="6" t="s">
        <v>844</v>
      </c>
    </row>
    <row r="173" spans="1:16" x14ac:dyDescent="0.2">
      <c r="A173">
        <v>564410540</v>
      </c>
      <c r="B173" t="s">
        <v>60</v>
      </c>
      <c r="C173" t="s">
        <v>657</v>
      </c>
      <c r="E173" s="22">
        <v>0.33750000000000002</v>
      </c>
      <c r="F173" t="s">
        <v>648</v>
      </c>
      <c r="G173" t="s">
        <v>649</v>
      </c>
      <c r="H173" t="s">
        <v>650</v>
      </c>
      <c r="I173" t="s">
        <v>651</v>
      </c>
      <c r="J173" t="s">
        <v>652</v>
      </c>
      <c r="K173" t="s">
        <v>48</v>
      </c>
      <c r="L173">
        <v>2016</v>
      </c>
      <c r="M173" t="s">
        <v>56</v>
      </c>
      <c r="N173" t="s">
        <v>55</v>
      </c>
      <c r="P173" s="6" t="s">
        <v>845</v>
      </c>
    </row>
    <row r="174" spans="1:16" x14ac:dyDescent="0.2">
      <c r="A174">
        <v>126539887</v>
      </c>
      <c r="B174" t="s">
        <v>60</v>
      </c>
      <c r="C174" t="s">
        <v>657</v>
      </c>
      <c r="E174" s="22">
        <v>0.20750000000000002</v>
      </c>
      <c r="F174" t="s">
        <v>648</v>
      </c>
      <c r="G174" t="s">
        <v>649</v>
      </c>
      <c r="H174" t="s">
        <v>650</v>
      </c>
      <c r="I174" t="s">
        <v>651</v>
      </c>
      <c r="J174" t="s">
        <v>652</v>
      </c>
      <c r="K174" t="s">
        <v>48</v>
      </c>
      <c r="L174">
        <v>2016</v>
      </c>
      <c r="M174" t="s">
        <v>56</v>
      </c>
      <c r="N174" t="s">
        <v>55</v>
      </c>
      <c r="P174" s="6" t="s">
        <v>846</v>
      </c>
    </row>
    <row r="175" spans="1:16" x14ac:dyDescent="0.2">
      <c r="A175">
        <v>563937624</v>
      </c>
      <c r="B175" t="s">
        <v>60</v>
      </c>
      <c r="C175" t="s">
        <v>657</v>
      </c>
      <c r="E175" s="22">
        <v>8.7499999999999994E-2</v>
      </c>
      <c r="F175" t="s">
        <v>648</v>
      </c>
      <c r="G175" t="s">
        <v>649</v>
      </c>
      <c r="H175" t="s">
        <v>650</v>
      </c>
      <c r="I175" t="s">
        <v>651</v>
      </c>
      <c r="J175" t="s">
        <v>652</v>
      </c>
      <c r="K175" t="s">
        <v>48</v>
      </c>
      <c r="L175">
        <v>2016</v>
      </c>
      <c r="M175" t="s">
        <v>56</v>
      </c>
      <c r="N175" t="s">
        <v>55</v>
      </c>
      <c r="P175" s="6" t="s">
        <v>847</v>
      </c>
    </row>
    <row r="176" spans="1:16" x14ac:dyDescent="0.2">
      <c r="A176">
        <v>684291511</v>
      </c>
      <c r="B176" t="s">
        <v>60</v>
      </c>
      <c r="C176" t="s">
        <v>657</v>
      </c>
      <c r="E176" s="22">
        <v>0.40750000000000003</v>
      </c>
      <c r="F176" t="s">
        <v>648</v>
      </c>
      <c r="G176" t="s">
        <v>649</v>
      </c>
      <c r="H176" t="s">
        <v>650</v>
      </c>
      <c r="I176" t="s">
        <v>651</v>
      </c>
      <c r="J176" t="s">
        <v>652</v>
      </c>
      <c r="K176" t="s">
        <v>48</v>
      </c>
      <c r="L176">
        <v>2016</v>
      </c>
      <c r="M176" t="s">
        <v>56</v>
      </c>
      <c r="N176" t="s">
        <v>55</v>
      </c>
      <c r="P176" s="6" t="s">
        <v>848</v>
      </c>
    </row>
    <row r="177" spans="1:16" x14ac:dyDescent="0.2">
      <c r="A177">
        <v>598829620</v>
      </c>
      <c r="B177" t="s">
        <v>60</v>
      </c>
      <c r="C177" t="s">
        <v>73</v>
      </c>
      <c r="E177" s="22">
        <v>0.27500000000000002</v>
      </c>
      <c r="F177" t="s">
        <v>648</v>
      </c>
      <c r="G177" t="s">
        <v>649</v>
      </c>
      <c r="H177" t="s">
        <v>650</v>
      </c>
      <c r="I177" t="s">
        <v>651</v>
      </c>
      <c r="J177" t="s">
        <v>652</v>
      </c>
      <c r="K177" t="s">
        <v>48</v>
      </c>
      <c r="L177">
        <v>2016</v>
      </c>
      <c r="M177" t="s">
        <v>56</v>
      </c>
      <c r="N177" t="s">
        <v>55</v>
      </c>
      <c r="P177" s="6" t="s">
        <v>849</v>
      </c>
    </row>
    <row r="178" spans="1:16" x14ac:dyDescent="0.2">
      <c r="A178">
        <v>684014860</v>
      </c>
      <c r="B178" t="s">
        <v>60</v>
      </c>
      <c r="C178" t="s">
        <v>73</v>
      </c>
      <c r="E178" s="22">
        <v>0.42166666666666675</v>
      </c>
      <c r="F178" t="s">
        <v>648</v>
      </c>
      <c r="G178" t="s">
        <v>649</v>
      </c>
      <c r="H178" t="s">
        <v>650</v>
      </c>
      <c r="I178" t="s">
        <v>651</v>
      </c>
      <c r="J178" t="s">
        <v>652</v>
      </c>
      <c r="K178" t="s">
        <v>48</v>
      </c>
      <c r="L178">
        <v>2016</v>
      </c>
      <c r="M178" t="s">
        <v>56</v>
      </c>
      <c r="N178" t="s">
        <v>55</v>
      </c>
      <c r="P178" s="6" t="s">
        <v>850</v>
      </c>
    </row>
    <row r="179" spans="1:16" x14ac:dyDescent="0.2">
      <c r="A179">
        <v>843228181</v>
      </c>
      <c r="B179" t="s">
        <v>60</v>
      </c>
      <c r="C179" t="s">
        <v>73</v>
      </c>
      <c r="E179" s="22">
        <v>0.45833333333333331</v>
      </c>
      <c r="F179" t="s">
        <v>648</v>
      </c>
      <c r="G179" t="s">
        <v>649</v>
      </c>
      <c r="H179" t="s">
        <v>650</v>
      </c>
      <c r="I179" t="s">
        <v>651</v>
      </c>
      <c r="J179" t="s">
        <v>652</v>
      </c>
      <c r="K179" t="s">
        <v>48</v>
      </c>
      <c r="L179">
        <v>2016</v>
      </c>
      <c r="M179" t="s">
        <v>56</v>
      </c>
      <c r="N179" t="s">
        <v>55</v>
      </c>
      <c r="P179" s="6" t="s">
        <v>851</v>
      </c>
    </row>
    <row r="180" spans="1:16" x14ac:dyDescent="0.2">
      <c r="A180">
        <v>820549378</v>
      </c>
      <c r="B180" t="s">
        <v>60</v>
      </c>
      <c r="C180" t="s">
        <v>73</v>
      </c>
      <c r="E180" s="22">
        <v>0.375</v>
      </c>
      <c r="F180" t="s">
        <v>648</v>
      </c>
      <c r="G180" t="s">
        <v>649</v>
      </c>
      <c r="H180" t="s">
        <v>650</v>
      </c>
      <c r="I180" t="s">
        <v>651</v>
      </c>
      <c r="J180" t="s">
        <v>652</v>
      </c>
      <c r="K180" t="s">
        <v>48</v>
      </c>
      <c r="L180">
        <v>2016</v>
      </c>
      <c r="M180" t="s">
        <v>56</v>
      </c>
      <c r="N180" t="s">
        <v>55</v>
      </c>
      <c r="P180" s="6" t="s">
        <v>852</v>
      </c>
    </row>
    <row r="181" spans="1:16" x14ac:dyDescent="0.2">
      <c r="A181">
        <v>533572169</v>
      </c>
      <c r="B181" t="s">
        <v>60</v>
      </c>
      <c r="C181" t="s">
        <v>73</v>
      </c>
      <c r="E181" s="22">
        <v>0.41000000000000003</v>
      </c>
      <c r="F181" t="s">
        <v>648</v>
      </c>
      <c r="G181" t="s">
        <v>649</v>
      </c>
      <c r="H181" t="s">
        <v>650</v>
      </c>
      <c r="I181" t="s">
        <v>651</v>
      </c>
      <c r="J181" t="s">
        <v>652</v>
      </c>
      <c r="K181" t="s">
        <v>48</v>
      </c>
      <c r="L181">
        <v>2016</v>
      </c>
      <c r="M181" t="s">
        <v>56</v>
      </c>
      <c r="N181" t="s">
        <v>55</v>
      </c>
      <c r="P181" s="6" t="s">
        <v>853</v>
      </c>
    </row>
    <row r="182" spans="1:16" x14ac:dyDescent="0.2">
      <c r="A182">
        <v>975325712</v>
      </c>
      <c r="B182" t="s">
        <v>60</v>
      </c>
      <c r="C182" t="s">
        <v>73</v>
      </c>
      <c r="E182" s="22">
        <v>0.49166666666666664</v>
      </c>
      <c r="F182" t="s">
        <v>648</v>
      </c>
      <c r="G182" t="s">
        <v>649</v>
      </c>
      <c r="H182" t="s">
        <v>650</v>
      </c>
      <c r="I182" t="s">
        <v>651</v>
      </c>
      <c r="J182" t="s">
        <v>652</v>
      </c>
      <c r="K182" t="s">
        <v>48</v>
      </c>
      <c r="L182">
        <v>2016</v>
      </c>
      <c r="M182" t="s">
        <v>56</v>
      </c>
      <c r="N182" t="s">
        <v>55</v>
      </c>
      <c r="P182" s="6" t="s">
        <v>854</v>
      </c>
    </row>
    <row r="183" spans="1:16" x14ac:dyDescent="0.2">
      <c r="A183">
        <v>310082419</v>
      </c>
      <c r="B183" t="s">
        <v>60</v>
      </c>
      <c r="C183" t="s">
        <v>73</v>
      </c>
      <c r="E183" s="22">
        <v>0.27500000000000002</v>
      </c>
      <c r="F183" t="s">
        <v>648</v>
      </c>
      <c r="G183" t="s">
        <v>649</v>
      </c>
      <c r="H183" t="s">
        <v>650</v>
      </c>
      <c r="I183" t="s">
        <v>651</v>
      </c>
      <c r="J183" t="s">
        <v>652</v>
      </c>
      <c r="K183" t="s">
        <v>48</v>
      </c>
      <c r="L183">
        <v>2016</v>
      </c>
      <c r="M183" t="s">
        <v>56</v>
      </c>
      <c r="N183" t="s">
        <v>55</v>
      </c>
      <c r="P183" s="6" t="s">
        <v>855</v>
      </c>
    </row>
    <row r="184" spans="1:16" x14ac:dyDescent="0.2">
      <c r="A184">
        <v>242132470</v>
      </c>
      <c r="B184" t="s">
        <v>60</v>
      </c>
      <c r="C184" t="s">
        <v>73</v>
      </c>
      <c r="E184" s="22">
        <v>0.48166666666666669</v>
      </c>
      <c r="F184" t="s">
        <v>648</v>
      </c>
      <c r="G184" t="s">
        <v>649</v>
      </c>
      <c r="H184" t="s">
        <v>650</v>
      </c>
      <c r="I184" t="s">
        <v>651</v>
      </c>
      <c r="J184" t="s">
        <v>652</v>
      </c>
      <c r="K184" t="s">
        <v>48</v>
      </c>
      <c r="L184">
        <v>2016</v>
      </c>
      <c r="M184" t="s">
        <v>56</v>
      </c>
      <c r="N184" t="s">
        <v>55</v>
      </c>
      <c r="P184" s="6" t="s">
        <v>856</v>
      </c>
    </row>
    <row r="185" spans="1:16" x14ac:dyDescent="0.2">
      <c r="A185">
        <v>208248363</v>
      </c>
      <c r="B185" t="s">
        <v>60</v>
      </c>
      <c r="C185" t="s">
        <v>73</v>
      </c>
      <c r="E185" s="22">
        <v>0.51666666666666672</v>
      </c>
      <c r="F185" t="s">
        <v>648</v>
      </c>
      <c r="G185" t="s">
        <v>649</v>
      </c>
      <c r="H185" t="s">
        <v>650</v>
      </c>
      <c r="I185" t="s">
        <v>651</v>
      </c>
      <c r="J185" t="s">
        <v>652</v>
      </c>
      <c r="K185" t="s">
        <v>48</v>
      </c>
      <c r="L185">
        <v>2016</v>
      </c>
      <c r="M185" t="s">
        <v>56</v>
      </c>
      <c r="N185" t="s">
        <v>55</v>
      </c>
      <c r="P185" s="6" t="s">
        <v>857</v>
      </c>
    </row>
    <row r="186" spans="1:16" x14ac:dyDescent="0.2">
      <c r="A186">
        <v>277055951</v>
      </c>
      <c r="B186" t="s">
        <v>60</v>
      </c>
      <c r="C186" t="s">
        <v>73</v>
      </c>
      <c r="E186" s="22">
        <v>0.34666666666666668</v>
      </c>
      <c r="F186" t="s">
        <v>648</v>
      </c>
      <c r="G186" t="s">
        <v>649</v>
      </c>
      <c r="H186" t="s">
        <v>650</v>
      </c>
      <c r="I186" t="s">
        <v>651</v>
      </c>
      <c r="J186" t="s">
        <v>652</v>
      </c>
      <c r="K186" t="s">
        <v>48</v>
      </c>
      <c r="L186">
        <v>2016</v>
      </c>
      <c r="M186" t="s">
        <v>56</v>
      </c>
      <c r="N186" t="s">
        <v>55</v>
      </c>
      <c r="P186" s="6" t="s">
        <v>858</v>
      </c>
    </row>
    <row r="187" spans="1:16" x14ac:dyDescent="0.2">
      <c r="A187">
        <v>902907559</v>
      </c>
      <c r="B187" t="s">
        <v>60</v>
      </c>
      <c r="C187" t="s">
        <v>73</v>
      </c>
      <c r="E187" s="22">
        <v>0.46</v>
      </c>
      <c r="F187" t="s">
        <v>648</v>
      </c>
      <c r="G187" t="s">
        <v>649</v>
      </c>
      <c r="H187" t="s">
        <v>650</v>
      </c>
      <c r="I187" t="s">
        <v>651</v>
      </c>
      <c r="J187" t="s">
        <v>652</v>
      </c>
      <c r="K187" t="s">
        <v>48</v>
      </c>
      <c r="L187">
        <v>2016</v>
      </c>
      <c r="M187" t="s">
        <v>56</v>
      </c>
      <c r="N187" t="s">
        <v>55</v>
      </c>
      <c r="P187" s="6" t="s">
        <v>859</v>
      </c>
    </row>
    <row r="188" spans="1:16" x14ac:dyDescent="0.2">
      <c r="A188">
        <v>528297980</v>
      </c>
      <c r="B188" t="s">
        <v>60</v>
      </c>
      <c r="C188" t="s">
        <v>73</v>
      </c>
      <c r="E188" s="22">
        <v>0.66333333333333344</v>
      </c>
      <c r="F188" t="s">
        <v>648</v>
      </c>
      <c r="G188" t="s">
        <v>649</v>
      </c>
      <c r="H188" t="s">
        <v>650</v>
      </c>
      <c r="I188" t="s">
        <v>651</v>
      </c>
      <c r="J188" t="s">
        <v>652</v>
      </c>
      <c r="K188" t="s">
        <v>48</v>
      </c>
      <c r="L188">
        <v>2016</v>
      </c>
      <c r="M188" t="s">
        <v>56</v>
      </c>
      <c r="N188" t="s">
        <v>55</v>
      </c>
      <c r="P188" s="6" t="s">
        <v>860</v>
      </c>
    </row>
    <row r="189" spans="1:16" x14ac:dyDescent="0.2">
      <c r="A189">
        <v>444882790</v>
      </c>
      <c r="B189" t="s">
        <v>60</v>
      </c>
      <c r="C189" t="s">
        <v>73</v>
      </c>
      <c r="E189" s="22">
        <v>0.24833333333333335</v>
      </c>
      <c r="F189" t="s">
        <v>648</v>
      </c>
      <c r="G189" t="s">
        <v>649</v>
      </c>
      <c r="H189" t="s">
        <v>650</v>
      </c>
      <c r="I189" t="s">
        <v>651</v>
      </c>
      <c r="J189" t="s">
        <v>652</v>
      </c>
      <c r="K189" t="s">
        <v>48</v>
      </c>
      <c r="L189">
        <v>2016</v>
      </c>
      <c r="M189" t="s">
        <v>56</v>
      </c>
      <c r="N189" t="s">
        <v>55</v>
      </c>
      <c r="P189" s="6" t="s">
        <v>861</v>
      </c>
    </row>
    <row r="190" spans="1:16" x14ac:dyDescent="0.2">
      <c r="A190">
        <v>112085131</v>
      </c>
      <c r="B190" t="s">
        <v>60</v>
      </c>
      <c r="C190" t="s">
        <v>73</v>
      </c>
      <c r="E190" s="22">
        <v>0.28500000000000003</v>
      </c>
      <c r="F190" t="s">
        <v>648</v>
      </c>
      <c r="G190" t="s">
        <v>649</v>
      </c>
      <c r="H190" t="s">
        <v>650</v>
      </c>
      <c r="I190" t="s">
        <v>651</v>
      </c>
      <c r="J190" t="s">
        <v>652</v>
      </c>
      <c r="K190" t="s">
        <v>48</v>
      </c>
      <c r="L190">
        <v>2016</v>
      </c>
      <c r="M190" t="s">
        <v>56</v>
      </c>
      <c r="N190" t="s">
        <v>55</v>
      </c>
      <c r="P190" s="6" t="s">
        <v>862</v>
      </c>
    </row>
    <row r="191" spans="1:16" x14ac:dyDescent="0.2">
      <c r="A191">
        <v>588642518</v>
      </c>
      <c r="B191" t="s">
        <v>60</v>
      </c>
      <c r="C191" t="s">
        <v>73</v>
      </c>
      <c r="E191" s="22">
        <v>0.58500000000000008</v>
      </c>
      <c r="F191" t="s">
        <v>648</v>
      </c>
      <c r="G191" t="s">
        <v>649</v>
      </c>
      <c r="H191" t="s">
        <v>650</v>
      </c>
      <c r="I191" t="s">
        <v>651</v>
      </c>
      <c r="J191" t="s">
        <v>652</v>
      </c>
      <c r="K191" t="s">
        <v>48</v>
      </c>
      <c r="L191">
        <v>2016</v>
      </c>
      <c r="M191" t="s">
        <v>56</v>
      </c>
      <c r="N191" t="s">
        <v>55</v>
      </c>
      <c r="P191" s="6" t="s">
        <v>863</v>
      </c>
    </row>
    <row r="192" spans="1:16" x14ac:dyDescent="0.2">
      <c r="A192">
        <v>414520736</v>
      </c>
      <c r="B192" t="s">
        <v>60</v>
      </c>
      <c r="C192" t="s">
        <v>73</v>
      </c>
      <c r="E192" s="22">
        <v>0.59000000000000008</v>
      </c>
      <c r="F192" t="s">
        <v>648</v>
      </c>
      <c r="G192" t="s">
        <v>649</v>
      </c>
      <c r="H192" t="s">
        <v>650</v>
      </c>
      <c r="I192" t="s">
        <v>651</v>
      </c>
      <c r="J192" t="s">
        <v>652</v>
      </c>
      <c r="K192" t="s">
        <v>48</v>
      </c>
      <c r="L192">
        <v>2016</v>
      </c>
      <c r="M192" t="s">
        <v>56</v>
      </c>
      <c r="N192" t="s">
        <v>55</v>
      </c>
      <c r="P192" s="6" t="s">
        <v>864</v>
      </c>
    </row>
    <row r="193" spans="1:16" x14ac:dyDescent="0.2">
      <c r="A193">
        <v>356558346</v>
      </c>
      <c r="B193" t="s">
        <v>60</v>
      </c>
      <c r="C193" t="s">
        <v>73</v>
      </c>
      <c r="E193" s="22">
        <v>0.38333333333333336</v>
      </c>
      <c r="F193" t="s">
        <v>648</v>
      </c>
      <c r="G193" t="s">
        <v>649</v>
      </c>
      <c r="H193" t="s">
        <v>650</v>
      </c>
      <c r="I193" t="s">
        <v>651</v>
      </c>
      <c r="J193" t="s">
        <v>652</v>
      </c>
      <c r="K193" t="s">
        <v>48</v>
      </c>
      <c r="L193">
        <v>2016</v>
      </c>
      <c r="M193" t="s">
        <v>56</v>
      </c>
      <c r="N193" t="s">
        <v>55</v>
      </c>
      <c r="P193" s="6" t="s">
        <v>865</v>
      </c>
    </row>
    <row r="194" spans="1:16" x14ac:dyDescent="0.2">
      <c r="A194">
        <v>970698993</v>
      </c>
      <c r="B194" t="s">
        <v>60</v>
      </c>
      <c r="C194" t="s">
        <v>73</v>
      </c>
      <c r="E194" s="22">
        <v>0.50166666666666671</v>
      </c>
      <c r="F194" t="s">
        <v>648</v>
      </c>
      <c r="G194" t="s">
        <v>649</v>
      </c>
      <c r="H194" t="s">
        <v>650</v>
      </c>
      <c r="I194" t="s">
        <v>651</v>
      </c>
      <c r="J194" t="s">
        <v>652</v>
      </c>
      <c r="K194" t="s">
        <v>48</v>
      </c>
      <c r="L194">
        <v>2016</v>
      </c>
      <c r="M194" t="s">
        <v>56</v>
      </c>
      <c r="N194" t="s">
        <v>55</v>
      </c>
      <c r="P194" s="6" t="s">
        <v>866</v>
      </c>
    </row>
    <row r="195" spans="1:16" x14ac:dyDescent="0.2">
      <c r="A195">
        <v>633537205</v>
      </c>
      <c r="B195" t="s">
        <v>60</v>
      </c>
      <c r="C195" t="s">
        <v>73</v>
      </c>
      <c r="E195" s="22">
        <v>0.27833333333333332</v>
      </c>
      <c r="F195" t="s">
        <v>648</v>
      </c>
      <c r="G195" t="s">
        <v>649</v>
      </c>
      <c r="H195" t="s">
        <v>650</v>
      </c>
      <c r="I195" t="s">
        <v>651</v>
      </c>
      <c r="J195" t="s">
        <v>652</v>
      </c>
      <c r="K195" t="s">
        <v>48</v>
      </c>
      <c r="L195">
        <v>2016</v>
      </c>
      <c r="M195" t="s">
        <v>56</v>
      </c>
      <c r="N195" t="s">
        <v>55</v>
      </c>
      <c r="P195" s="6" t="s">
        <v>867</v>
      </c>
    </row>
    <row r="196" spans="1:16" x14ac:dyDescent="0.2">
      <c r="A196">
        <v>534292868</v>
      </c>
      <c r="B196" t="s">
        <v>60</v>
      </c>
      <c r="C196" t="s">
        <v>73</v>
      </c>
      <c r="E196" s="22">
        <v>0.43</v>
      </c>
      <c r="F196" t="s">
        <v>648</v>
      </c>
      <c r="G196" t="s">
        <v>649</v>
      </c>
      <c r="H196" t="s">
        <v>650</v>
      </c>
      <c r="I196" t="s">
        <v>651</v>
      </c>
      <c r="J196" t="s">
        <v>652</v>
      </c>
      <c r="K196" t="s">
        <v>48</v>
      </c>
      <c r="L196">
        <v>2016</v>
      </c>
      <c r="M196" t="s">
        <v>56</v>
      </c>
      <c r="N196" t="s">
        <v>55</v>
      </c>
      <c r="P196" s="6" t="s">
        <v>868</v>
      </c>
    </row>
    <row r="197" spans="1:16" x14ac:dyDescent="0.2">
      <c r="A197">
        <v>816787809</v>
      </c>
      <c r="B197" t="s">
        <v>60</v>
      </c>
      <c r="C197" t="s">
        <v>73</v>
      </c>
      <c r="E197" s="22">
        <v>0.56666666666666665</v>
      </c>
      <c r="F197" t="s">
        <v>648</v>
      </c>
      <c r="G197" t="s">
        <v>649</v>
      </c>
      <c r="H197" t="s">
        <v>650</v>
      </c>
      <c r="I197" t="s">
        <v>651</v>
      </c>
      <c r="J197" t="s">
        <v>652</v>
      </c>
      <c r="K197" t="s">
        <v>48</v>
      </c>
      <c r="L197">
        <v>2016</v>
      </c>
      <c r="M197" t="s">
        <v>56</v>
      </c>
      <c r="N197" t="s">
        <v>55</v>
      </c>
      <c r="P197" s="6" t="s">
        <v>869</v>
      </c>
    </row>
    <row r="198" spans="1:16" x14ac:dyDescent="0.2">
      <c r="A198">
        <v>220052551</v>
      </c>
      <c r="B198" t="s">
        <v>60</v>
      </c>
      <c r="C198" t="s">
        <v>73</v>
      </c>
      <c r="E198" s="22">
        <v>0.56000000000000005</v>
      </c>
      <c r="F198" t="s">
        <v>648</v>
      </c>
      <c r="G198" t="s">
        <v>649</v>
      </c>
      <c r="H198" t="s">
        <v>650</v>
      </c>
      <c r="I198" t="s">
        <v>651</v>
      </c>
      <c r="J198" t="s">
        <v>652</v>
      </c>
      <c r="K198" t="s">
        <v>48</v>
      </c>
      <c r="L198">
        <v>2016</v>
      </c>
      <c r="M198" t="s">
        <v>56</v>
      </c>
      <c r="N198" t="s">
        <v>55</v>
      </c>
      <c r="P198" s="6" t="s">
        <v>870</v>
      </c>
    </row>
    <row r="199" spans="1:16" x14ac:dyDescent="0.2">
      <c r="A199">
        <v>858571733</v>
      </c>
      <c r="B199" t="s">
        <v>60</v>
      </c>
      <c r="C199" t="s">
        <v>73</v>
      </c>
      <c r="E199" s="22">
        <v>0.26666666666666666</v>
      </c>
      <c r="F199" t="s">
        <v>648</v>
      </c>
      <c r="G199" t="s">
        <v>649</v>
      </c>
      <c r="H199" t="s">
        <v>650</v>
      </c>
      <c r="I199" t="s">
        <v>651</v>
      </c>
      <c r="J199" t="s">
        <v>652</v>
      </c>
      <c r="K199" t="s">
        <v>48</v>
      </c>
      <c r="L199">
        <v>2016</v>
      </c>
      <c r="M199" t="s">
        <v>56</v>
      </c>
      <c r="N199" t="s">
        <v>55</v>
      </c>
      <c r="P199" s="6" t="s">
        <v>871</v>
      </c>
    </row>
    <row r="200" spans="1:16" x14ac:dyDescent="0.2">
      <c r="A200">
        <v>363436152</v>
      </c>
      <c r="B200" t="s">
        <v>60</v>
      </c>
      <c r="C200" t="s">
        <v>73</v>
      </c>
      <c r="E200" s="22">
        <v>0.44833333333333336</v>
      </c>
      <c r="F200" t="s">
        <v>648</v>
      </c>
      <c r="G200" t="s">
        <v>649</v>
      </c>
      <c r="H200" t="s">
        <v>650</v>
      </c>
      <c r="I200" t="s">
        <v>651</v>
      </c>
      <c r="J200" t="s">
        <v>652</v>
      </c>
      <c r="K200" t="s">
        <v>48</v>
      </c>
      <c r="L200">
        <v>2016</v>
      </c>
      <c r="M200" t="s">
        <v>56</v>
      </c>
      <c r="N200" t="s">
        <v>55</v>
      </c>
      <c r="P200" s="6" t="s">
        <v>872</v>
      </c>
    </row>
    <row r="201" spans="1:16" x14ac:dyDescent="0.2">
      <c r="A201">
        <v>393495083</v>
      </c>
      <c r="B201" t="s">
        <v>60</v>
      </c>
      <c r="C201" t="s">
        <v>73</v>
      </c>
      <c r="E201" s="22">
        <v>0.52</v>
      </c>
      <c r="F201" t="s">
        <v>648</v>
      </c>
      <c r="G201" t="s">
        <v>649</v>
      </c>
      <c r="H201" t="s">
        <v>650</v>
      </c>
      <c r="I201" t="s">
        <v>651</v>
      </c>
      <c r="J201" t="s">
        <v>652</v>
      </c>
      <c r="K201" t="s">
        <v>48</v>
      </c>
      <c r="L201">
        <v>2016</v>
      </c>
      <c r="M201" t="s">
        <v>56</v>
      </c>
      <c r="N201" t="s">
        <v>55</v>
      </c>
      <c r="P201" s="6" t="s">
        <v>873</v>
      </c>
    </row>
    <row r="202" spans="1:16" x14ac:dyDescent="0.2">
      <c r="A202">
        <v>769635714</v>
      </c>
      <c r="B202" t="s">
        <v>60</v>
      </c>
      <c r="C202" t="s">
        <v>73</v>
      </c>
      <c r="E202" s="22">
        <v>0.68833333333333335</v>
      </c>
      <c r="F202" t="s">
        <v>648</v>
      </c>
      <c r="G202" t="s">
        <v>649</v>
      </c>
      <c r="H202" t="s">
        <v>650</v>
      </c>
      <c r="I202" t="s">
        <v>651</v>
      </c>
      <c r="J202" t="s">
        <v>652</v>
      </c>
      <c r="K202" t="s">
        <v>48</v>
      </c>
      <c r="L202">
        <v>2016</v>
      </c>
      <c r="M202" t="s">
        <v>56</v>
      </c>
      <c r="N202" t="s">
        <v>55</v>
      </c>
      <c r="P202" s="6" t="s">
        <v>874</v>
      </c>
    </row>
    <row r="203" spans="1:16" x14ac:dyDescent="0.2">
      <c r="A203">
        <v>373048949</v>
      </c>
      <c r="B203" t="s">
        <v>60</v>
      </c>
      <c r="C203" t="s">
        <v>73</v>
      </c>
      <c r="E203" s="22">
        <v>0.57166666666666666</v>
      </c>
      <c r="F203" t="s">
        <v>648</v>
      </c>
      <c r="G203" t="s">
        <v>649</v>
      </c>
      <c r="H203" t="s">
        <v>650</v>
      </c>
      <c r="I203" t="s">
        <v>651</v>
      </c>
      <c r="J203" t="s">
        <v>652</v>
      </c>
      <c r="K203" t="s">
        <v>48</v>
      </c>
      <c r="L203">
        <v>2016</v>
      </c>
      <c r="M203" t="s">
        <v>56</v>
      </c>
      <c r="N203" t="s">
        <v>55</v>
      </c>
      <c r="P203" s="6" t="s">
        <v>875</v>
      </c>
    </row>
    <row r="204" spans="1:16" x14ac:dyDescent="0.2">
      <c r="A204">
        <v>357061292</v>
      </c>
      <c r="B204" t="s">
        <v>60</v>
      </c>
      <c r="C204" t="s">
        <v>73</v>
      </c>
      <c r="E204" s="22">
        <v>0.42666666666666669</v>
      </c>
      <c r="F204" t="s">
        <v>648</v>
      </c>
      <c r="G204" t="s">
        <v>649</v>
      </c>
      <c r="H204" t="s">
        <v>650</v>
      </c>
      <c r="I204" t="s">
        <v>651</v>
      </c>
      <c r="J204" t="s">
        <v>652</v>
      </c>
      <c r="K204" t="s">
        <v>48</v>
      </c>
      <c r="L204">
        <v>2016</v>
      </c>
      <c r="M204" t="s">
        <v>56</v>
      </c>
      <c r="N204" t="s">
        <v>55</v>
      </c>
      <c r="P204" s="6" t="s">
        <v>876</v>
      </c>
    </row>
    <row r="205" spans="1:16" x14ac:dyDescent="0.2">
      <c r="A205">
        <v>837310284</v>
      </c>
      <c r="B205" t="s">
        <v>60</v>
      </c>
      <c r="C205" t="s">
        <v>73</v>
      </c>
      <c r="E205" s="22">
        <v>0.41333333333333333</v>
      </c>
      <c r="F205" t="s">
        <v>648</v>
      </c>
      <c r="G205" t="s">
        <v>649</v>
      </c>
      <c r="H205" t="s">
        <v>650</v>
      </c>
      <c r="I205" t="s">
        <v>651</v>
      </c>
      <c r="J205" t="s">
        <v>652</v>
      </c>
      <c r="K205" t="s">
        <v>48</v>
      </c>
      <c r="L205">
        <v>2016</v>
      </c>
      <c r="M205" t="s">
        <v>56</v>
      </c>
      <c r="N205" t="s">
        <v>55</v>
      </c>
      <c r="P205" s="6" t="s">
        <v>877</v>
      </c>
    </row>
    <row r="206" spans="1:16" x14ac:dyDescent="0.2">
      <c r="A206">
        <v>815854164</v>
      </c>
      <c r="B206" t="s">
        <v>60</v>
      </c>
      <c r="C206" t="s">
        <v>73</v>
      </c>
      <c r="E206" s="22">
        <v>0.59000000000000008</v>
      </c>
      <c r="F206" t="s">
        <v>648</v>
      </c>
      <c r="G206" t="s">
        <v>649</v>
      </c>
      <c r="H206" t="s">
        <v>650</v>
      </c>
      <c r="I206" t="s">
        <v>651</v>
      </c>
      <c r="J206" t="s">
        <v>652</v>
      </c>
      <c r="K206" t="s">
        <v>48</v>
      </c>
      <c r="L206">
        <v>2016</v>
      </c>
      <c r="M206" t="s">
        <v>56</v>
      </c>
      <c r="N206" t="s">
        <v>55</v>
      </c>
      <c r="P206" s="6" t="s">
        <v>878</v>
      </c>
    </row>
    <row r="207" spans="1:16" x14ac:dyDescent="0.2">
      <c r="A207">
        <v>315378369</v>
      </c>
      <c r="B207" t="s">
        <v>60</v>
      </c>
      <c r="C207" t="s">
        <v>73</v>
      </c>
      <c r="E207" s="22">
        <v>0.26166666666666666</v>
      </c>
      <c r="F207" t="s">
        <v>648</v>
      </c>
      <c r="G207" t="s">
        <v>649</v>
      </c>
      <c r="H207" t="s">
        <v>650</v>
      </c>
      <c r="I207" t="s">
        <v>651</v>
      </c>
      <c r="J207" t="s">
        <v>652</v>
      </c>
      <c r="K207" t="s">
        <v>48</v>
      </c>
      <c r="L207">
        <v>2016</v>
      </c>
      <c r="M207" t="s">
        <v>56</v>
      </c>
      <c r="N207" t="s">
        <v>55</v>
      </c>
      <c r="P207" s="6" t="s">
        <v>879</v>
      </c>
    </row>
    <row r="208" spans="1:16" x14ac:dyDescent="0.2">
      <c r="A208">
        <v>564410540</v>
      </c>
      <c r="B208" t="s">
        <v>60</v>
      </c>
      <c r="C208" t="s">
        <v>73</v>
      </c>
      <c r="E208" s="22">
        <v>0.51666666666666672</v>
      </c>
      <c r="F208" t="s">
        <v>648</v>
      </c>
      <c r="G208" t="s">
        <v>649</v>
      </c>
      <c r="H208" t="s">
        <v>650</v>
      </c>
      <c r="I208" t="s">
        <v>651</v>
      </c>
      <c r="J208" t="s">
        <v>652</v>
      </c>
      <c r="K208" t="s">
        <v>48</v>
      </c>
      <c r="L208">
        <v>2016</v>
      </c>
      <c r="M208" t="s">
        <v>56</v>
      </c>
      <c r="N208" t="s">
        <v>55</v>
      </c>
      <c r="P208" s="6" t="s">
        <v>880</v>
      </c>
    </row>
    <row r="209" spans="1:16" x14ac:dyDescent="0.2">
      <c r="A209">
        <v>126539887</v>
      </c>
      <c r="B209" t="s">
        <v>60</v>
      </c>
      <c r="C209" t="s">
        <v>73</v>
      </c>
      <c r="E209" s="22">
        <v>0.5033333333333333</v>
      </c>
      <c r="F209" t="s">
        <v>648</v>
      </c>
      <c r="G209" t="s">
        <v>649</v>
      </c>
      <c r="H209" t="s">
        <v>650</v>
      </c>
      <c r="I209" t="s">
        <v>651</v>
      </c>
      <c r="J209" t="s">
        <v>652</v>
      </c>
      <c r="K209" t="s">
        <v>48</v>
      </c>
      <c r="L209">
        <v>2016</v>
      </c>
      <c r="M209" t="s">
        <v>56</v>
      </c>
      <c r="N209" t="s">
        <v>55</v>
      </c>
      <c r="P209" s="6" t="s">
        <v>881</v>
      </c>
    </row>
    <row r="210" spans="1:16" x14ac:dyDescent="0.2">
      <c r="A210">
        <v>563937624</v>
      </c>
      <c r="B210" t="s">
        <v>60</v>
      </c>
      <c r="C210" t="s">
        <v>73</v>
      </c>
      <c r="E210" s="22">
        <v>0.36166666666666669</v>
      </c>
      <c r="F210" t="s">
        <v>648</v>
      </c>
      <c r="G210" t="s">
        <v>649</v>
      </c>
      <c r="H210" t="s">
        <v>650</v>
      </c>
      <c r="I210" t="s">
        <v>651</v>
      </c>
      <c r="J210" t="s">
        <v>652</v>
      </c>
      <c r="K210" t="s">
        <v>48</v>
      </c>
      <c r="L210">
        <v>2016</v>
      </c>
      <c r="M210" t="s">
        <v>56</v>
      </c>
      <c r="N210" t="s">
        <v>55</v>
      </c>
      <c r="P210" s="6" t="s">
        <v>882</v>
      </c>
    </row>
    <row r="211" spans="1:16" x14ac:dyDescent="0.2">
      <c r="A211">
        <v>684291511</v>
      </c>
      <c r="B211" t="s">
        <v>60</v>
      </c>
      <c r="C211" t="s">
        <v>73</v>
      </c>
      <c r="E211" s="22">
        <v>0.58333333333333337</v>
      </c>
      <c r="F211" t="s">
        <v>648</v>
      </c>
      <c r="G211" t="s">
        <v>649</v>
      </c>
      <c r="H211" t="s">
        <v>650</v>
      </c>
      <c r="I211" t="s">
        <v>651</v>
      </c>
      <c r="J211" t="s">
        <v>652</v>
      </c>
      <c r="K211" t="s">
        <v>48</v>
      </c>
      <c r="L211">
        <v>2016</v>
      </c>
      <c r="M211" t="s">
        <v>56</v>
      </c>
      <c r="N211" t="s">
        <v>55</v>
      </c>
      <c r="P211" s="6" t="s">
        <v>883</v>
      </c>
    </row>
    <row r="212" spans="1:16" x14ac:dyDescent="0.2">
      <c r="A212">
        <v>598829620</v>
      </c>
      <c r="B212" t="s">
        <v>60</v>
      </c>
      <c r="C212" t="s">
        <v>74</v>
      </c>
      <c r="E212" s="22">
        <v>0.46666666666666667</v>
      </c>
      <c r="F212" t="s">
        <v>648</v>
      </c>
      <c r="G212" t="s">
        <v>649</v>
      </c>
      <c r="H212" t="s">
        <v>650</v>
      </c>
      <c r="I212" t="s">
        <v>651</v>
      </c>
      <c r="J212" t="s">
        <v>652</v>
      </c>
      <c r="K212" t="s">
        <v>48</v>
      </c>
      <c r="L212">
        <v>2016</v>
      </c>
      <c r="M212" t="s">
        <v>56</v>
      </c>
      <c r="N212" t="s">
        <v>55</v>
      </c>
      <c r="P212" s="6" t="s">
        <v>884</v>
      </c>
    </row>
    <row r="213" spans="1:16" x14ac:dyDescent="0.2">
      <c r="A213">
        <v>684014860</v>
      </c>
      <c r="B213" t="s">
        <v>60</v>
      </c>
      <c r="C213" t="s">
        <v>74</v>
      </c>
      <c r="E213" s="22">
        <v>0.64000000000000012</v>
      </c>
      <c r="F213" t="s">
        <v>648</v>
      </c>
      <c r="G213" t="s">
        <v>649</v>
      </c>
      <c r="H213" t="s">
        <v>650</v>
      </c>
      <c r="I213" t="s">
        <v>651</v>
      </c>
      <c r="J213" t="s">
        <v>652</v>
      </c>
      <c r="K213" t="s">
        <v>48</v>
      </c>
      <c r="L213">
        <v>2016</v>
      </c>
      <c r="M213" t="s">
        <v>56</v>
      </c>
      <c r="N213" t="s">
        <v>55</v>
      </c>
      <c r="P213" s="6" t="s">
        <v>885</v>
      </c>
    </row>
    <row r="214" spans="1:16" x14ac:dyDescent="0.2">
      <c r="A214">
        <v>843228181</v>
      </c>
      <c r="B214" t="s">
        <v>60</v>
      </c>
      <c r="C214" t="s">
        <v>74</v>
      </c>
      <c r="E214" s="22">
        <v>0.61333333333333329</v>
      </c>
      <c r="F214" t="s">
        <v>648</v>
      </c>
      <c r="G214" t="s">
        <v>649</v>
      </c>
      <c r="H214" t="s">
        <v>650</v>
      </c>
      <c r="I214" t="s">
        <v>651</v>
      </c>
      <c r="J214" t="s">
        <v>652</v>
      </c>
      <c r="K214" t="s">
        <v>48</v>
      </c>
      <c r="L214">
        <v>2016</v>
      </c>
      <c r="M214" t="s">
        <v>56</v>
      </c>
      <c r="N214" t="s">
        <v>55</v>
      </c>
      <c r="P214" s="6" t="s">
        <v>886</v>
      </c>
    </row>
    <row r="215" spans="1:16" x14ac:dyDescent="0.2">
      <c r="A215">
        <v>820549378</v>
      </c>
      <c r="B215" t="s">
        <v>60</v>
      </c>
      <c r="C215" t="s">
        <v>74</v>
      </c>
      <c r="E215" s="22">
        <v>0.44</v>
      </c>
      <c r="F215" t="s">
        <v>648</v>
      </c>
      <c r="G215" t="s">
        <v>649</v>
      </c>
      <c r="H215" t="s">
        <v>650</v>
      </c>
      <c r="I215" t="s">
        <v>651</v>
      </c>
      <c r="J215" t="s">
        <v>652</v>
      </c>
      <c r="K215" t="s">
        <v>48</v>
      </c>
      <c r="L215">
        <v>2016</v>
      </c>
      <c r="M215" t="s">
        <v>56</v>
      </c>
      <c r="N215" t="s">
        <v>55</v>
      </c>
      <c r="P215" s="6" t="s">
        <v>887</v>
      </c>
    </row>
    <row r="216" spans="1:16" x14ac:dyDescent="0.2">
      <c r="A216">
        <v>533572169</v>
      </c>
      <c r="B216" t="s">
        <v>60</v>
      </c>
      <c r="C216" t="s">
        <v>74</v>
      </c>
      <c r="E216" s="22">
        <v>2.6666666666666668E-2</v>
      </c>
      <c r="F216" t="s">
        <v>648</v>
      </c>
      <c r="G216" t="s">
        <v>649</v>
      </c>
      <c r="H216" t="s">
        <v>650</v>
      </c>
      <c r="I216" t="s">
        <v>651</v>
      </c>
      <c r="J216" t="s">
        <v>652</v>
      </c>
      <c r="K216" t="s">
        <v>48</v>
      </c>
      <c r="L216">
        <v>2016</v>
      </c>
      <c r="M216" t="s">
        <v>56</v>
      </c>
      <c r="N216" t="s">
        <v>55</v>
      </c>
      <c r="P216" s="6" t="s">
        <v>888</v>
      </c>
    </row>
    <row r="217" spans="1:16" x14ac:dyDescent="0.2">
      <c r="A217">
        <v>975325712</v>
      </c>
      <c r="B217" t="s">
        <v>60</v>
      </c>
      <c r="C217" t="s">
        <v>74</v>
      </c>
      <c r="E217" s="22">
        <v>0.37333333333333329</v>
      </c>
      <c r="F217" t="s">
        <v>648</v>
      </c>
      <c r="G217" t="s">
        <v>649</v>
      </c>
      <c r="H217" t="s">
        <v>650</v>
      </c>
      <c r="I217" t="s">
        <v>651</v>
      </c>
      <c r="J217" t="s">
        <v>652</v>
      </c>
      <c r="K217" t="s">
        <v>48</v>
      </c>
      <c r="L217">
        <v>2016</v>
      </c>
      <c r="M217" t="s">
        <v>56</v>
      </c>
      <c r="N217" t="s">
        <v>55</v>
      </c>
      <c r="P217" s="6" t="s">
        <v>889</v>
      </c>
    </row>
    <row r="218" spans="1:16" x14ac:dyDescent="0.2">
      <c r="A218">
        <v>310082419</v>
      </c>
      <c r="B218" t="s">
        <v>60</v>
      </c>
      <c r="C218" t="s">
        <v>74</v>
      </c>
      <c r="E218" s="22">
        <v>0.34666666666666668</v>
      </c>
      <c r="F218" t="s">
        <v>648</v>
      </c>
      <c r="G218" t="s">
        <v>649</v>
      </c>
      <c r="H218" t="s">
        <v>650</v>
      </c>
      <c r="I218" t="s">
        <v>651</v>
      </c>
      <c r="J218" t="s">
        <v>652</v>
      </c>
      <c r="K218" t="s">
        <v>48</v>
      </c>
      <c r="L218">
        <v>2016</v>
      </c>
      <c r="M218" t="s">
        <v>56</v>
      </c>
      <c r="N218" t="s">
        <v>55</v>
      </c>
      <c r="P218" s="6" t="s">
        <v>890</v>
      </c>
    </row>
    <row r="219" spans="1:16" x14ac:dyDescent="0.2">
      <c r="A219">
        <v>242132470</v>
      </c>
      <c r="B219" t="s">
        <v>60</v>
      </c>
      <c r="C219" t="s">
        <v>74</v>
      </c>
      <c r="E219" s="22">
        <v>0.37333333333333335</v>
      </c>
      <c r="F219" t="s">
        <v>648</v>
      </c>
      <c r="G219" t="s">
        <v>649</v>
      </c>
      <c r="H219" t="s">
        <v>650</v>
      </c>
      <c r="I219" t="s">
        <v>651</v>
      </c>
      <c r="J219" t="s">
        <v>652</v>
      </c>
      <c r="K219" t="s">
        <v>48</v>
      </c>
      <c r="L219">
        <v>2016</v>
      </c>
      <c r="M219" t="s">
        <v>56</v>
      </c>
      <c r="N219" t="s">
        <v>55</v>
      </c>
      <c r="P219" s="6" t="s">
        <v>891</v>
      </c>
    </row>
    <row r="220" spans="1:16" x14ac:dyDescent="0.2">
      <c r="A220">
        <v>208248363</v>
      </c>
      <c r="B220" t="s">
        <v>60</v>
      </c>
      <c r="C220" t="s">
        <v>74</v>
      </c>
      <c r="E220" s="22">
        <v>0.53333333333333333</v>
      </c>
      <c r="F220" t="s">
        <v>648</v>
      </c>
      <c r="G220" t="s">
        <v>649</v>
      </c>
      <c r="H220" t="s">
        <v>650</v>
      </c>
      <c r="I220" t="s">
        <v>651</v>
      </c>
      <c r="J220" t="s">
        <v>652</v>
      </c>
      <c r="K220" t="s">
        <v>48</v>
      </c>
      <c r="L220">
        <v>2016</v>
      </c>
      <c r="M220" t="s">
        <v>56</v>
      </c>
      <c r="N220" t="s">
        <v>55</v>
      </c>
      <c r="P220" s="6" t="s">
        <v>892</v>
      </c>
    </row>
    <row r="221" spans="1:16" x14ac:dyDescent="0.2">
      <c r="A221">
        <v>277055951</v>
      </c>
      <c r="B221" t="s">
        <v>60</v>
      </c>
      <c r="C221" t="s">
        <v>74</v>
      </c>
      <c r="E221" s="22">
        <v>0.13333333333333333</v>
      </c>
      <c r="F221" t="s">
        <v>648</v>
      </c>
      <c r="G221" t="s">
        <v>649</v>
      </c>
      <c r="H221" t="s">
        <v>650</v>
      </c>
      <c r="I221" t="s">
        <v>651</v>
      </c>
      <c r="J221" t="s">
        <v>652</v>
      </c>
      <c r="K221" t="s">
        <v>48</v>
      </c>
      <c r="L221">
        <v>2016</v>
      </c>
      <c r="M221" t="s">
        <v>56</v>
      </c>
      <c r="N221" t="s">
        <v>55</v>
      </c>
      <c r="P221" s="6" t="s">
        <v>893</v>
      </c>
    </row>
    <row r="222" spans="1:16" x14ac:dyDescent="0.2">
      <c r="A222">
        <v>902907559</v>
      </c>
      <c r="B222" t="s">
        <v>60</v>
      </c>
      <c r="C222" t="s">
        <v>74</v>
      </c>
      <c r="E222" s="22">
        <v>0.41333333333333333</v>
      </c>
      <c r="F222" t="s">
        <v>648</v>
      </c>
      <c r="G222" t="s">
        <v>649</v>
      </c>
      <c r="H222" t="s">
        <v>650</v>
      </c>
      <c r="I222" t="s">
        <v>651</v>
      </c>
      <c r="J222" t="s">
        <v>652</v>
      </c>
      <c r="K222" t="s">
        <v>48</v>
      </c>
      <c r="L222">
        <v>2016</v>
      </c>
      <c r="M222" t="s">
        <v>56</v>
      </c>
      <c r="N222" t="s">
        <v>55</v>
      </c>
      <c r="P222" s="6" t="s">
        <v>894</v>
      </c>
    </row>
    <row r="223" spans="1:16" x14ac:dyDescent="0.2">
      <c r="A223">
        <v>528297980</v>
      </c>
      <c r="B223" t="s">
        <v>60</v>
      </c>
      <c r="C223" t="s">
        <v>74</v>
      </c>
      <c r="E223" s="22">
        <v>0.61333333333333329</v>
      </c>
      <c r="F223" t="s">
        <v>648</v>
      </c>
      <c r="G223" t="s">
        <v>649</v>
      </c>
      <c r="H223" t="s">
        <v>650</v>
      </c>
      <c r="I223" t="s">
        <v>651</v>
      </c>
      <c r="J223" t="s">
        <v>652</v>
      </c>
      <c r="K223" t="s">
        <v>48</v>
      </c>
      <c r="L223">
        <v>2016</v>
      </c>
      <c r="M223" t="s">
        <v>56</v>
      </c>
      <c r="N223" t="s">
        <v>55</v>
      </c>
      <c r="P223" s="6" t="s">
        <v>895</v>
      </c>
    </row>
    <row r="224" spans="1:16" x14ac:dyDescent="0.2">
      <c r="A224">
        <v>444882790</v>
      </c>
      <c r="B224" t="s">
        <v>60</v>
      </c>
      <c r="C224" t="s">
        <v>74</v>
      </c>
      <c r="E224" s="22">
        <v>0.36000000000000004</v>
      </c>
      <c r="F224" t="s">
        <v>648</v>
      </c>
      <c r="G224" t="s">
        <v>649</v>
      </c>
      <c r="H224" t="s">
        <v>650</v>
      </c>
      <c r="I224" t="s">
        <v>651</v>
      </c>
      <c r="J224" t="s">
        <v>652</v>
      </c>
      <c r="K224" t="s">
        <v>48</v>
      </c>
      <c r="L224">
        <v>2016</v>
      </c>
      <c r="M224" t="s">
        <v>56</v>
      </c>
      <c r="N224" t="s">
        <v>55</v>
      </c>
      <c r="P224" s="6" t="s">
        <v>896</v>
      </c>
    </row>
    <row r="225" spans="1:16" x14ac:dyDescent="0.2">
      <c r="A225">
        <v>112085131</v>
      </c>
      <c r="B225" t="s">
        <v>60</v>
      </c>
      <c r="C225" t="s">
        <v>74</v>
      </c>
      <c r="E225" s="22">
        <v>0.12000000000000001</v>
      </c>
      <c r="F225" t="s">
        <v>648</v>
      </c>
      <c r="G225" t="s">
        <v>649</v>
      </c>
      <c r="H225" t="s">
        <v>650</v>
      </c>
      <c r="I225" t="s">
        <v>651</v>
      </c>
      <c r="J225" t="s">
        <v>652</v>
      </c>
      <c r="K225" t="s">
        <v>48</v>
      </c>
      <c r="L225">
        <v>2016</v>
      </c>
      <c r="M225" t="s">
        <v>56</v>
      </c>
      <c r="N225" t="s">
        <v>55</v>
      </c>
      <c r="P225" s="6" t="s">
        <v>897</v>
      </c>
    </row>
    <row r="226" spans="1:16" x14ac:dyDescent="0.2">
      <c r="A226">
        <v>588642518</v>
      </c>
      <c r="B226" t="s">
        <v>60</v>
      </c>
      <c r="C226" t="s">
        <v>74</v>
      </c>
      <c r="E226" s="22">
        <v>0.45333333333333337</v>
      </c>
      <c r="F226" t="s">
        <v>648</v>
      </c>
      <c r="G226" t="s">
        <v>649</v>
      </c>
      <c r="H226" t="s">
        <v>650</v>
      </c>
      <c r="I226" t="s">
        <v>651</v>
      </c>
      <c r="J226" t="s">
        <v>652</v>
      </c>
      <c r="K226" t="s">
        <v>48</v>
      </c>
      <c r="L226">
        <v>2016</v>
      </c>
      <c r="M226" t="s">
        <v>56</v>
      </c>
      <c r="N226" t="s">
        <v>55</v>
      </c>
      <c r="P226" s="6" t="s">
        <v>898</v>
      </c>
    </row>
    <row r="227" spans="1:16" x14ac:dyDescent="0.2">
      <c r="A227">
        <v>414520736</v>
      </c>
      <c r="B227" t="s">
        <v>60</v>
      </c>
      <c r="C227" t="s">
        <v>74</v>
      </c>
      <c r="E227" s="22">
        <v>0.16000000000000003</v>
      </c>
      <c r="F227" t="s">
        <v>648</v>
      </c>
      <c r="G227" t="s">
        <v>649</v>
      </c>
      <c r="H227" t="s">
        <v>650</v>
      </c>
      <c r="I227" t="s">
        <v>651</v>
      </c>
      <c r="J227" t="s">
        <v>652</v>
      </c>
      <c r="K227" t="s">
        <v>48</v>
      </c>
      <c r="L227">
        <v>2016</v>
      </c>
      <c r="M227" t="s">
        <v>56</v>
      </c>
      <c r="N227" t="s">
        <v>55</v>
      </c>
      <c r="P227" s="6" t="s">
        <v>899</v>
      </c>
    </row>
    <row r="228" spans="1:16" x14ac:dyDescent="0.2">
      <c r="A228">
        <v>356558346</v>
      </c>
      <c r="B228" t="s">
        <v>60</v>
      </c>
      <c r="C228" t="s">
        <v>74</v>
      </c>
      <c r="E228" s="22">
        <v>0.22666666666666666</v>
      </c>
      <c r="F228" t="s">
        <v>648</v>
      </c>
      <c r="G228" t="s">
        <v>649</v>
      </c>
      <c r="H228" t="s">
        <v>650</v>
      </c>
      <c r="I228" t="s">
        <v>651</v>
      </c>
      <c r="J228" t="s">
        <v>652</v>
      </c>
      <c r="K228" t="s">
        <v>48</v>
      </c>
      <c r="L228">
        <v>2016</v>
      </c>
      <c r="M228" t="s">
        <v>56</v>
      </c>
      <c r="N228" t="s">
        <v>55</v>
      </c>
      <c r="P228" s="6" t="s">
        <v>900</v>
      </c>
    </row>
    <row r="229" spans="1:16" x14ac:dyDescent="0.2">
      <c r="A229">
        <v>970698993</v>
      </c>
      <c r="B229" t="s">
        <v>60</v>
      </c>
      <c r="C229" t="s">
        <v>74</v>
      </c>
      <c r="E229" s="22">
        <v>0.18666666666666665</v>
      </c>
      <c r="F229" t="s">
        <v>648</v>
      </c>
      <c r="G229" t="s">
        <v>649</v>
      </c>
      <c r="H229" t="s">
        <v>650</v>
      </c>
      <c r="I229" t="s">
        <v>651</v>
      </c>
      <c r="J229" t="s">
        <v>652</v>
      </c>
      <c r="K229" t="s">
        <v>48</v>
      </c>
      <c r="L229">
        <v>2016</v>
      </c>
      <c r="M229" t="s">
        <v>56</v>
      </c>
      <c r="N229" t="s">
        <v>55</v>
      </c>
      <c r="P229" s="6" t="s">
        <v>901</v>
      </c>
    </row>
    <row r="230" spans="1:16" x14ac:dyDescent="0.2">
      <c r="A230">
        <v>633537205</v>
      </c>
      <c r="B230" t="s">
        <v>60</v>
      </c>
      <c r="C230" t="s">
        <v>74</v>
      </c>
      <c r="E230" s="22">
        <v>0.13333333333333333</v>
      </c>
      <c r="F230" t="s">
        <v>648</v>
      </c>
      <c r="G230" t="s">
        <v>649</v>
      </c>
      <c r="H230" t="s">
        <v>650</v>
      </c>
      <c r="I230" t="s">
        <v>651</v>
      </c>
      <c r="J230" t="s">
        <v>652</v>
      </c>
      <c r="K230" t="s">
        <v>48</v>
      </c>
      <c r="L230">
        <v>2016</v>
      </c>
      <c r="M230" t="s">
        <v>56</v>
      </c>
      <c r="N230" t="s">
        <v>55</v>
      </c>
      <c r="P230" s="6" t="s">
        <v>902</v>
      </c>
    </row>
    <row r="231" spans="1:16" x14ac:dyDescent="0.2">
      <c r="A231">
        <v>534292868</v>
      </c>
      <c r="B231" t="s">
        <v>60</v>
      </c>
      <c r="C231" t="s">
        <v>74</v>
      </c>
      <c r="E231" s="22">
        <v>0.18666666666666665</v>
      </c>
      <c r="F231" t="s">
        <v>648</v>
      </c>
      <c r="G231" t="s">
        <v>649</v>
      </c>
      <c r="H231" t="s">
        <v>650</v>
      </c>
      <c r="I231" t="s">
        <v>651</v>
      </c>
      <c r="J231" t="s">
        <v>652</v>
      </c>
      <c r="K231" t="s">
        <v>48</v>
      </c>
      <c r="L231">
        <v>2016</v>
      </c>
      <c r="M231" t="s">
        <v>56</v>
      </c>
      <c r="N231" t="s">
        <v>55</v>
      </c>
      <c r="P231" s="6" t="s">
        <v>903</v>
      </c>
    </row>
    <row r="232" spans="1:16" x14ac:dyDescent="0.2">
      <c r="A232">
        <v>816787809</v>
      </c>
      <c r="B232" t="s">
        <v>60</v>
      </c>
      <c r="C232" t="s">
        <v>74</v>
      </c>
      <c r="E232" s="22">
        <v>0.76</v>
      </c>
      <c r="F232" t="s">
        <v>648</v>
      </c>
      <c r="G232" t="s">
        <v>649</v>
      </c>
      <c r="H232" t="s">
        <v>650</v>
      </c>
      <c r="I232" t="s">
        <v>651</v>
      </c>
      <c r="J232" t="s">
        <v>652</v>
      </c>
      <c r="K232" t="s">
        <v>48</v>
      </c>
      <c r="L232">
        <v>2016</v>
      </c>
      <c r="M232" t="s">
        <v>56</v>
      </c>
      <c r="N232" t="s">
        <v>55</v>
      </c>
      <c r="P232" s="6" t="s">
        <v>904</v>
      </c>
    </row>
    <row r="233" spans="1:16" x14ac:dyDescent="0.2">
      <c r="A233">
        <v>220052551</v>
      </c>
      <c r="B233" t="s">
        <v>60</v>
      </c>
      <c r="C233" t="s">
        <v>74</v>
      </c>
      <c r="E233" s="22">
        <v>0.29333333333333333</v>
      </c>
      <c r="F233" t="s">
        <v>648</v>
      </c>
      <c r="G233" t="s">
        <v>649</v>
      </c>
      <c r="H233" t="s">
        <v>650</v>
      </c>
      <c r="I233" t="s">
        <v>651</v>
      </c>
      <c r="J233" t="s">
        <v>652</v>
      </c>
      <c r="K233" t="s">
        <v>48</v>
      </c>
      <c r="L233">
        <v>2016</v>
      </c>
      <c r="M233" t="s">
        <v>56</v>
      </c>
      <c r="N233" t="s">
        <v>55</v>
      </c>
      <c r="P233" s="6" t="s">
        <v>905</v>
      </c>
    </row>
    <row r="234" spans="1:16" x14ac:dyDescent="0.2">
      <c r="A234">
        <v>858571733</v>
      </c>
      <c r="B234" t="s">
        <v>60</v>
      </c>
      <c r="C234" t="s">
        <v>74</v>
      </c>
      <c r="E234" s="22">
        <v>0.17333333333333334</v>
      </c>
      <c r="F234" t="s">
        <v>648</v>
      </c>
      <c r="G234" t="s">
        <v>649</v>
      </c>
      <c r="H234" t="s">
        <v>650</v>
      </c>
      <c r="I234" t="s">
        <v>651</v>
      </c>
      <c r="J234" t="s">
        <v>652</v>
      </c>
      <c r="K234" t="s">
        <v>48</v>
      </c>
      <c r="L234">
        <v>2016</v>
      </c>
      <c r="M234" t="s">
        <v>56</v>
      </c>
      <c r="N234" t="s">
        <v>55</v>
      </c>
      <c r="P234" s="6" t="s">
        <v>906</v>
      </c>
    </row>
    <row r="235" spans="1:16" x14ac:dyDescent="0.2">
      <c r="A235">
        <v>363436152</v>
      </c>
      <c r="B235" t="s">
        <v>60</v>
      </c>
      <c r="C235" t="s">
        <v>74</v>
      </c>
      <c r="E235" s="22">
        <v>0.44000000000000006</v>
      </c>
      <c r="F235" t="s">
        <v>648</v>
      </c>
      <c r="G235" t="s">
        <v>649</v>
      </c>
      <c r="H235" t="s">
        <v>650</v>
      </c>
      <c r="I235" t="s">
        <v>651</v>
      </c>
      <c r="J235" t="s">
        <v>652</v>
      </c>
      <c r="K235" t="s">
        <v>48</v>
      </c>
      <c r="L235">
        <v>2016</v>
      </c>
      <c r="M235" t="s">
        <v>56</v>
      </c>
      <c r="N235" t="s">
        <v>55</v>
      </c>
      <c r="P235" s="6" t="s">
        <v>907</v>
      </c>
    </row>
    <row r="236" spans="1:16" x14ac:dyDescent="0.2">
      <c r="A236">
        <v>393495083</v>
      </c>
      <c r="B236" t="s">
        <v>60</v>
      </c>
      <c r="C236" t="s">
        <v>74</v>
      </c>
      <c r="E236" s="22">
        <v>0.18666666666666665</v>
      </c>
      <c r="F236" t="s">
        <v>648</v>
      </c>
      <c r="G236" t="s">
        <v>649</v>
      </c>
      <c r="H236" t="s">
        <v>650</v>
      </c>
      <c r="I236" t="s">
        <v>651</v>
      </c>
      <c r="J236" t="s">
        <v>652</v>
      </c>
      <c r="K236" t="s">
        <v>48</v>
      </c>
      <c r="L236">
        <v>2016</v>
      </c>
      <c r="M236" t="s">
        <v>56</v>
      </c>
      <c r="N236" t="s">
        <v>55</v>
      </c>
      <c r="P236" s="6" t="s">
        <v>908</v>
      </c>
    </row>
    <row r="237" spans="1:16" x14ac:dyDescent="0.2">
      <c r="A237">
        <v>769635714</v>
      </c>
      <c r="B237" t="s">
        <v>60</v>
      </c>
      <c r="C237" t="s">
        <v>74</v>
      </c>
      <c r="E237" s="22">
        <v>0.56000000000000005</v>
      </c>
      <c r="F237" t="s">
        <v>648</v>
      </c>
      <c r="G237" t="s">
        <v>649</v>
      </c>
      <c r="H237" t="s">
        <v>650</v>
      </c>
      <c r="I237" t="s">
        <v>651</v>
      </c>
      <c r="J237" t="s">
        <v>652</v>
      </c>
      <c r="K237" t="s">
        <v>48</v>
      </c>
      <c r="L237">
        <v>2016</v>
      </c>
      <c r="M237" t="s">
        <v>56</v>
      </c>
      <c r="N237" t="s">
        <v>55</v>
      </c>
      <c r="P237" s="6" t="s">
        <v>909</v>
      </c>
    </row>
    <row r="238" spans="1:16" x14ac:dyDescent="0.2">
      <c r="A238">
        <v>373048949</v>
      </c>
      <c r="B238" t="s">
        <v>60</v>
      </c>
      <c r="C238" t="s">
        <v>74</v>
      </c>
      <c r="E238" s="22">
        <v>0.33333333333333331</v>
      </c>
      <c r="F238" t="s">
        <v>648</v>
      </c>
      <c r="G238" t="s">
        <v>649</v>
      </c>
      <c r="H238" t="s">
        <v>650</v>
      </c>
      <c r="I238" t="s">
        <v>651</v>
      </c>
      <c r="J238" t="s">
        <v>652</v>
      </c>
      <c r="K238" t="s">
        <v>48</v>
      </c>
      <c r="L238">
        <v>2016</v>
      </c>
      <c r="M238" t="s">
        <v>56</v>
      </c>
      <c r="N238" t="s">
        <v>55</v>
      </c>
      <c r="P238" s="6" t="s">
        <v>910</v>
      </c>
    </row>
    <row r="239" spans="1:16" x14ac:dyDescent="0.2">
      <c r="A239">
        <v>357061292</v>
      </c>
      <c r="B239" t="s">
        <v>60</v>
      </c>
      <c r="C239" t="s">
        <v>74</v>
      </c>
      <c r="E239" s="22">
        <v>0.66666666666666663</v>
      </c>
      <c r="F239" t="s">
        <v>648</v>
      </c>
      <c r="G239" t="s">
        <v>649</v>
      </c>
      <c r="H239" t="s">
        <v>650</v>
      </c>
      <c r="I239" t="s">
        <v>651</v>
      </c>
      <c r="J239" t="s">
        <v>652</v>
      </c>
      <c r="K239" t="s">
        <v>48</v>
      </c>
      <c r="L239">
        <v>2016</v>
      </c>
      <c r="M239" t="s">
        <v>56</v>
      </c>
      <c r="N239" t="s">
        <v>55</v>
      </c>
      <c r="P239" s="6" t="s">
        <v>911</v>
      </c>
    </row>
    <row r="240" spans="1:16" x14ac:dyDescent="0.2">
      <c r="A240">
        <v>837310284</v>
      </c>
      <c r="B240" t="s">
        <v>60</v>
      </c>
      <c r="C240" t="s">
        <v>74</v>
      </c>
      <c r="E240" s="22">
        <v>0.24000000000000002</v>
      </c>
      <c r="F240" t="s">
        <v>648</v>
      </c>
      <c r="G240" t="s">
        <v>649</v>
      </c>
      <c r="H240" t="s">
        <v>650</v>
      </c>
      <c r="I240" t="s">
        <v>651</v>
      </c>
      <c r="J240" t="s">
        <v>652</v>
      </c>
      <c r="K240" t="s">
        <v>48</v>
      </c>
      <c r="L240">
        <v>2016</v>
      </c>
      <c r="M240" t="s">
        <v>56</v>
      </c>
      <c r="N240" t="s">
        <v>55</v>
      </c>
      <c r="P240" s="6" t="s">
        <v>912</v>
      </c>
    </row>
    <row r="241" spans="1:16" x14ac:dyDescent="0.2">
      <c r="A241">
        <v>815854164</v>
      </c>
      <c r="B241" t="s">
        <v>60</v>
      </c>
      <c r="C241" t="s">
        <v>74</v>
      </c>
      <c r="E241" s="22">
        <v>0.41333333333333333</v>
      </c>
      <c r="F241" t="s">
        <v>648</v>
      </c>
      <c r="G241" t="s">
        <v>649</v>
      </c>
      <c r="H241" t="s">
        <v>650</v>
      </c>
      <c r="I241" t="s">
        <v>651</v>
      </c>
      <c r="J241" t="s">
        <v>652</v>
      </c>
      <c r="K241" t="s">
        <v>48</v>
      </c>
      <c r="L241">
        <v>2016</v>
      </c>
      <c r="M241" t="s">
        <v>56</v>
      </c>
      <c r="N241" t="s">
        <v>55</v>
      </c>
      <c r="P241" s="6" t="s">
        <v>913</v>
      </c>
    </row>
    <row r="242" spans="1:16" x14ac:dyDescent="0.2">
      <c r="A242">
        <v>315378369</v>
      </c>
      <c r="B242" t="s">
        <v>60</v>
      </c>
      <c r="C242" t="s">
        <v>74</v>
      </c>
      <c r="E242" s="22">
        <v>0.37333333333333329</v>
      </c>
      <c r="F242" t="s">
        <v>648</v>
      </c>
      <c r="G242" t="s">
        <v>649</v>
      </c>
      <c r="H242" t="s">
        <v>650</v>
      </c>
      <c r="I242" t="s">
        <v>651</v>
      </c>
      <c r="J242" t="s">
        <v>652</v>
      </c>
      <c r="K242" t="s">
        <v>48</v>
      </c>
      <c r="L242">
        <v>2016</v>
      </c>
      <c r="M242" t="s">
        <v>56</v>
      </c>
      <c r="N242" t="s">
        <v>55</v>
      </c>
      <c r="P242" s="6" t="s">
        <v>914</v>
      </c>
    </row>
    <row r="243" spans="1:16" x14ac:dyDescent="0.2">
      <c r="A243">
        <v>564410540</v>
      </c>
      <c r="B243" t="s">
        <v>60</v>
      </c>
      <c r="C243" t="s">
        <v>74</v>
      </c>
      <c r="E243" s="22">
        <v>0.61333333333333329</v>
      </c>
      <c r="F243" t="s">
        <v>648</v>
      </c>
      <c r="G243" t="s">
        <v>649</v>
      </c>
      <c r="H243" t="s">
        <v>650</v>
      </c>
      <c r="I243" t="s">
        <v>651</v>
      </c>
      <c r="J243" t="s">
        <v>652</v>
      </c>
      <c r="K243" t="s">
        <v>48</v>
      </c>
      <c r="L243">
        <v>2016</v>
      </c>
      <c r="M243" t="s">
        <v>56</v>
      </c>
      <c r="N243" t="s">
        <v>55</v>
      </c>
      <c r="P243" s="6" t="s">
        <v>915</v>
      </c>
    </row>
    <row r="244" spans="1:16" x14ac:dyDescent="0.2">
      <c r="A244">
        <v>126539887</v>
      </c>
      <c r="B244" t="s">
        <v>60</v>
      </c>
      <c r="C244" t="s">
        <v>74</v>
      </c>
      <c r="E244" s="22">
        <v>0.61333333333333329</v>
      </c>
      <c r="F244" t="s">
        <v>648</v>
      </c>
      <c r="G244" t="s">
        <v>649</v>
      </c>
      <c r="H244" t="s">
        <v>650</v>
      </c>
      <c r="I244" t="s">
        <v>651</v>
      </c>
      <c r="J244" t="s">
        <v>652</v>
      </c>
      <c r="K244" t="s">
        <v>48</v>
      </c>
      <c r="L244">
        <v>2016</v>
      </c>
      <c r="M244" t="s">
        <v>56</v>
      </c>
      <c r="N244" t="s">
        <v>55</v>
      </c>
      <c r="P244" s="6" t="s">
        <v>916</v>
      </c>
    </row>
    <row r="245" spans="1:16" x14ac:dyDescent="0.2">
      <c r="A245">
        <v>563937624</v>
      </c>
      <c r="B245" t="s">
        <v>60</v>
      </c>
      <c r="C245" t="s">
        <v>74</v>
      </c>
      <c r="E245" s="22">
        <v>0.4</v>
      </c>
      <c r="F245" t="s">
        <v>648</v>
      </c>
      <c r="G245" t="s">
        <v>649</v>
      </c>
      <c r="H245" t="s">
        <v>650</v>
      </c>
      <c r="I245" t="s">
        <v>651</v>
      </c>
      <c r="J245" t="s">
        <v>652</v>
      </c>
      <c r="K245" t="s">
        <v>48</v>
      </c>
      <c r="L245">
        <v>2016</v>
      </c>
      <c r="M245" t="s">
        <v>56</v>
      </c>
      <c r="N245" t="s">
        <v>55</v>
      </c>
      <c r="P245" s="6" t="s">
        <v>917</v>
      </c>
    </row>
    <row r="246" spans="1:16" x14ac:dyDescent="0.2">
      <c r="A246">
        <v>684291511</v>
      </c>
      <c r="B246" t="s">
        <v>60</v>
      </c>
      <c r="C246" t="s">
        <v>74</v>
      </c>
      <c r="E246" s="22">
        <v>0.48000000000000004</v>
      </c>
      <c r="F246" t="s">
        <v>648</v>
      </c>
      <c r="G246" t="s">
        <v>649</v>
      </c>
      <c r="H246" t="s">
        <v>650</v>
      </c>
      <c r="I246" t="s">
        <v>651</v>
      </c>
      <c r="J246" t="s">
        <v>652</v>
      </c>
      <c r="K246" t="s">
        <v>48</v>
      </c>
      <c r="L246">
        <v>2016</v>
      </c>
      <c r="M246" t="s">
        <v>56</v>
      </c>
      <c r="N246" t="s">
        <v>55</v>
      </c>
      <c r="P246" s="6" t="s">
        <v>918</v>
      </c>
    </row>
    <row r="247" spans="1:16" x14ac:dyDescent="0.2">
      <c r="A247">
        <v>598829620</v>
      </c>
      <c r="B247" t="s">
        <v>61</v>
      </c>
      <c r="C247" t="s">
        <v>658</v>
      </c>
      <c r="E247" s="22">
        <v>0.4</v>
      </c>
      <c r="F247" t="s">
        <v>648</v>
      </c>
      <c r="G247" t="s">
        <v>649</v>
      </c>
      <c r="H247" t="s">
        <v>650</v>
      </c>
      <c r="I247" t="s">
        <v>651</v>
      </c>
      <c r="J247" t="s">
        <v>652</v>
      </c>
      <c r="K247" t="s">
        <v>48</v>
      </c>
      <c r="L247">
        <v>2016</v>
      </c>
      <c r="M247" t="s">
        <v>56</v>
      </c>
      <c r="N247" t="s">
        <v>55</v>
      </c>
      <c r="P247" s="6" t="s">
        <v>919</v>
      </c>
    </row>
    <row r="248" spans="1:16" x14ac:dyDescent="0.2">
      <c r="A248">
        <v>684014860</v>
      </c>
      <c r="B248" t="s">
        <v>61</v>
      </c>
      <c r="C248" t="s">
        <v>658</v>
      </c>
      <c r="E248" s="22">
        <v>0.56000000000000005</v>
      </c>
      <c r="F248" t="s">
        <v>648</v>
      </c>
      <c r="G248" t="s">
        <v>649</v>
      </c>
      <c r="H248" t="s">
        <v>650</v>
      </c>
      <c r="I248" t="s">
        <v>651</v>
      </c>
      <c r="J248" t="s">
        <v>652</v>
      </c>
      <c r="K248" t="s">
        <v>48</v>
      </c>
      <c r="L248">
        <v>2016</v>
      </c>
      <c r="M248" t="s">
        <v>56</v>
      </c>
      <c r="N248" t="s">
        <v>55</v>
      </c>
      <c r="P248" s="6" t="s">
        <v>920</v>
      </c>
    </row>
    <row r="249" spans="1:16" x14ac:dyDescent="0.2">
      <c r="A249">
        <v>843228181</v>
      </c>
      <c r="B249" t="s">
        <v>61</v>
      </c>
      <c r="C249" t="s">
        <v>658</v>
      </c>
      <c r="E249" s="22">
        <v>0.42000000000000004</v>
      </c>
      <c r="F249" t="s">
        <v>648</v>
      </c>
      <c r="G249" t="s">
        <v>649</v>
      </c>
      <c r="H249" t="s">
        <v>650</v>
      </c>
      <c r="I249" t="s">
        <v>651</v>
      </c>
      <c r="J249" t="s">
        <v>652</v>
      </c>
      <c r="K249" t="s">
        <v>48</v>
      </c>
      <c r="L249">
        <v>2016</v>
      </c>
      <c r="M249" t="s">
        <v>56</v>
      </c>
      <c r="N249" t="s">
        <v>55</v>
      </c>
      <c r="P249" s="6" t="s">
        <v>921</v>
      </c>
    </row>
    <row r="250" spans="1:16" x14ac:dyDescent="0.2">
      <c r="A250">
        <v>820549378</v>
      </c>
      <c r="B250" t="s">
        <v>61</v>
      </c>
      <c r="C250" t="s">
        <v>658</v>
      </c>
      <c r="E250" s="22">
        <v>0.26</v>
      </c>
      <c r="F250" t="s">
        <v>648</v>
      </c>
      <c r="G250" t="s">
        <v>649</v>
      </c>
      <c r="H250" t="s">
        <v>650</v>
      </c>
      <c r="I250" t="s">
        <v>651</v>
      </c>
      <c r="J250" t="s">
        <v>652</v>
      </c>
      <c r="K250" t="s">
        <v>48</v>
      </c>
      <c r="L250">
        <v>2016</v>
      </c>
      <c r="M250" t="s">
        <v>56</v>
      </c>
      <c r="N250" t="s">
        <v>55</v>
      </c>
      <c r="P250" s="6" t="s">
        <v>922</v>
      </c>
    </row>
    <row r="251" spans="1:16" x14ac:dyDescent="0.2">
      <c r="A251">
        <v>533572169</v>
      </c>
      <c r="B251" t="s">
        <v>61</v>
      </c>
      <c r="C251" t="s">
        <v>658</v>
      </c>
      <c r="E251" s="22">
        <v>0.04</v>
      </c>
      <c r="F251" t="s">
        <v>648</v>
      </c>
      <c r="G251" t="s">
        <v>649</v>
      </c>
      <c r="H251" t="s">
        <v>650</v>
      </c>
      <c r="I251" t="s">
        <v>651</v>
      </c>
      <c r="J251" t="s">
        <v>652</v>
      </c>
      <c r="K251" t="s">
        <v>48</v>
      </c>
      <c r="L251">
        <v>2016</v>
      </c>
      <c r="M251" t="s">
        <v>56</v>
      </c>
      <c r="N251" t="s">
        <v>55</v>
      </c>
      <c r="P251" s="6" t="s">
        <v>923</v>
      </c>
    </row>
    <row r="252" spans="1:16" x14ac:dyDescent="0.2">
      <c r="A252">
        <v>975325712</v>
      </c>
      <c r="B252" t="s">
        <v>61</v>
      </c>
      <c r="C252" t="s">
        <v>658</v>
      </c>
      <c r="E252" s="22">
        <v>0.36</v>
      </c>
      <c r="F252" t="s">
        <v>648</v>
      </c>
      <c r="G252" t="s">
        <v>649</v>
      </c>
      <c r="H252" t="s">
        <v>650</v>
      </c>
      <c r="I252" t="s">
        <v>651</v>
      </c>
      <c r="J252" t="s">
        <v>652</v>
      </c>
      <c r="K252" t="s">
        <v>48</v>
      </c>
      <c r="L252">
        <v>2016</v>
      </c>
      <c r="M252" t="s">
        <v>56</v>
      </c>
      <c r="N252" t="s">
        <v>55</v>
      </c>
      <c r="P252" s="6" t="s">
        <v>924</v>
      </c>
    </row>
    <row r="253" spans="1:16" x14ac:dyDescent="0.2">
      <c r="A253">
        <v>310082419</v>
      </c>
      <c r="B253" t="s">
        <v>61</v>
      </c>
      <c r="C253" t="s">
        <v>658</v>
      </c>
      <c r="E253" s="22">
        <v>0.22000000000000003</v>
      </c>
      <c r="F253" t="s">
        <v>648</v>
      </c>
      <c r="G253" t="s">
        <v>649</v>
      </c>
      <c r="H253" t="s">
        <v>650</v>
      </c>
      <c r="I253" t="s">
        <v>651</v>
      </c>
      <c r="J253" t="s">
        <v>652</v>
      </c>
      <c r="K253" t="s">
        <v>48</v>
      </c>
      <c r="L253">
        <v>2016</v>
      </c>
      <c r="M253" t="s">
        <v>56</v>
      </c>
      <c r="N253" t="s">
        <v>55</v>
      </c>
      <c r="P253" s="6" t="s">
        <v>925</v>
      </c>
    </row>
    <row r="254" spans="1:16" x14ac:dyDescent="0.2">
      <c r="A254">
        <v>242132470</v>
      </c>
      <c r="B254" t="s">
        <v>61</v>
      </c>
      <c r="C254" t="s">
        <v>658</v>
      </c>
      <c r="E254" s="22">
        <v>0.56000000000000005</v>
      </c>
      <c r="F254" t="s">
        <v>648</v>
      </c>
      <c r="G254" t="s">
        <v>649</v>
      </c>
      <c r="H254" t="s">
        <v>650</v>
      </c>
      <c r="I254" t="s">
        <v>651</v>
      </c>
      <c r="J254" t="s">
        <v>652</v>
      </c>
      <c r="K254" t="s">
        <v>48</v>
      </c>
      <c r="L254">
        <v>2016</v>
      </c>
      <c r="M254" t="s">
        <v>56</v>
      </c>
      <c r="N254" t="s">
        <v>55</v>
      </c>
      <c r="P254" s="6" t="s">
        <v>926</v>
      </c>
    </row>
    <row r="255" spans="1:16" x14ac:dyDescent="0.2">
      <c r="A255">
        <v>208248363</v>
      </c>
      <c r="B255" t="s">
        <v>61</v>
      </c>
      <c r="C255" t="s">
        <v>658</v>
      </c>
      <c r="E255" s="22">
        <v>0.4</v>
      </c>
      <c r="F255" t="s">
        <v>648</v>
      </c>
      <c r="G255" t="s">
        <v>649</v>
      </c>
      <c r="H255" t="s">
        <v>650</v>
      </c>
      <c r="I255" t="s">
        <v>651</v>
      </c>
      <c r="J255" t="s">
        <v>652</v>
      </c>
      <c r="K255" t="s">
        <v>48</v>
      </c>
      <c r="L255">
        <v>2016</v>
      </c>
      <c r="M255" t="s">
        <v>56</v>
      </c>
      <c r="N255" t="s">
        <v>55</v>
      </c>
      <c r="P255" s="6" t="s">
        <v>927</v>
      </c>
    </row>
    <row r="256" spans="1:16" x14ac:dyDescent="0.2">
      <c r="A256">
        <v>277055951</v>
      </c>
      <c r="B256" t="s">
        <v>61</v>
      </c>
      <c r="C256" t="s">
        <v>658</v>
      </c>
      <c r="E256" s="22">
        <v>0</v>
      </c>
      <c r="F256" t="s">
        <v>648</v>
      </c>
      <c r="G256" t="s">
        <v>649</v>
      </c>
      <c r="H256" t="s">
        <v>650</v>
      </c>
      <c r="I256" t="s">
        <v>651</v>
      </c>
      <c r="J256" t="s">
        <v>652</v>
      </c>
      <c r="K256" t="s">
        <v>48</v>
      </c>
      <c r="L256">
        <v>2016</v>
      </c>
      <c r="M256" t="s">
        <v>56</v>
      </c>
      <c r="N256" t="s">
        <v>55</v>
      </c>
      <c r="P256" s="6" t="s">
        <v>928</v>
      </c>
    </row>
    <row r="257" spans="1:16" x14ac:dyDescent="0.2">
      <c r="A257">
        <v>902907559</v>
      </c>
      <c r="B257" t="s">
        <v>61</v>
      </c>
      <c r="C257" t="s">
        <v>658</v>
      </c>
      <c r="E257" s="22">
        <v>0.12000000000000002</v>
      </c>
      <c r="F257" t="s">
        <v>648</v>
      </c>
      <c r="G257" t="s">
        <v>649</v>
      </c>
      <c r="H257" t="s">
        <v>650</v>
      </c>
      <c r="I257" t="s">
        <v>651</v>
      </c>
      <c r="J257" t="s">
        <v>652</v>
      </c>
      <c r="K257" t="s">
        <v>48</v>
      </c>
      <c r="L257">
        <v>2016</v>
      </c>
      <c r="M257" t="s">
        <v>56</v>
      </c>
      <c r="N257" t="s">
        <v>55</v>
      </c>
      <c r="P257" s="6" t="s">
        <v>929</v>
      </c>
    </row>
    <row r="258" spans="1:16" x14ac:dyDescent="0.2">
      <c r="A258">
        <v>528297980</v>
      </c>
      <c r="B258" t="s">
        <v>61</v>
      </c>
      <c r="C258" t="s">
        <v>658</v>
      </c>
      <c r="E258" s="22">
        <v>0.62</v>
      </c>
      <c r="F258" t="s">
        <v>648</v>
      </c>
      <c r="G258" t="s">
        <v>649</v>
      </c>
      <c r="H258" t="s">
        <v>650</v>
      </c>
      <c r="I258" t="s">
        <v>651</v>
      </c>
      <c r="J258" t="s">
        <v>652</v>
      </c>
      <c r="K258" t="s">
        <v>48</v>
      </c>
      <c r="L258">
        <v>2016</v>
      </c>
      <c r="M258" t="s">
        <v>56</v>
      </c>
      <c r="N258" t="s">
        <v>55</v>
      </c>
      <c r="P258" s="6" t="s">
        <v>930</v>
      </c>
    </row>
    <row r="259" spans="1:16" x14ac:dyDescent="0.2">
      <c r="A259">
        <v>444882790</v>
      </c>
      <c r="B259" t="s">
        <v>61</v>
      </c>
      <c r="C259" t="s">
        <v>658</v>
      </c>
      <c r="E259" s="22">
        <v>0.14000000000000001</v>
      </c>
      <c r="F259" t="s">
        <v>648</v>
      </c>
      <c r="G259" t="s">
        <v>649</v>
      </c>
      <c r="H259" t="s">
        <v>650</v>
      </c>
      <c r="I259" t="s">
        <v>651</v>
      </c>
      <c r="J259" t="s">
        <v>652</v>
      </c>
      <c r="K259" t="s">
        <v>48</v>
      </c>
      <c r="L259">
        <v>2016</v>
      </c>
      <c r="M259" t="s">
        <v>56</v>
      </c>
      <c r="N259" t="s">
        <v>55</v>
      </c>
      <c r="P259" s="6" t="s">
        <v>931</v>
      </c>
    </row>
    <row r="260" spans="1:16" x14ac:dyDescent="0.2">
      <c r="A260">
        <v>112085131</v>
      </c>
      <c r="B260" t="s">
        <v>61</v>
      </c>
      <c r="C260" t="s">
        <v>658</v>
      </c>
      <c r="E260" s="22">
        <v>0.18</v>
      </c>
      <c r="F260" t="s">
        <v>648</v>
      </c>
      <c r="G260" t="s">
        <v>649</v>
      </c>
      <c r="H260" t="s">
        <v>650</v>
      </c>
      <c r="I260" t="s">
        <v>651</v>
      </c>
      <c r="J260" t="s">
        <v>652</v>
      </c>
      <c r="K260" t="s">
        <v>48</v>
      </c>
      <c r="L260">
        <v>2016</v>
      </c>
      <c r="M260" t="s">
        <v>56</v>
      </c>
      <c r="N260" t="s">
        <v>55</v>
      </c>
      <c r="P260" s="6" t="s">
        <v>932</v>
      </c>
    </row>
    <row r="261" spans="1:16" x14ac:dyDescent="0.2">
      <c r="A261">
        <v>588642518</v>
      </c>
      <c r="B261" t="s">
        <v>61</v>
      </c>
      <c r="C261" t="s">
        <v>658</v>
      </c>
      <c r="E261" s="22">
        <v>0.68</v>
      </c>
      <c r="F261" t="s">
        <v>648</v>
      </c>
      <c r="G261" t="s">
        <v>649</v>
      </c>
      <c r="H261" t="s">
        <v>650</v>
      </c>
      <c r="I261" t="s">
        <v>651</v>
      </c>
      <c r="J261" t="s">
        <v>652</v>
      </c>
      <c r="K261" t="s">
        <v>48</v>
      </c>
      <c r="L261">
        <v>2016</v>
      </c>
      <c r="M261" t="s">
        <v>56</v>
      </c>
      <c r="N261" t="s">
        <v>55</v>
      </c>
      <c r="P261" s="6" t="s">
        <v>933</v>
      </c>
    </row>
    <row r="262" spans="1:16" x14ac:dyDescent="0.2">
      <c r="A262">
        <v>414520736</v>
      </c>
      <c r="B262" t="s">
        <v>61</v>
      </c>
      <c r="C262" t="s">
        <v>658</v>
      </c>
      <c r="E262" s="22">
        <v>0.14000000000000001</v>
      </c>
      <c r="F262" t="s">
        <v>648</v>
      </c>
      <c r="G262" t="s">
        <v>649</v>
      </c>
      <c r="H262" t="s">
        <v>650</v>
      </c>
      <c r="I262" t="s">
        <v>651</v>
      </c>
      <c r="J262" t="s">
        <v>652</v>
      </c>
      <c r="K262" t="s">
        <v>48</v>
      </c>
      <c r="L262">
        <v>2016</v>
      </c>
      <c r="M262" t="s">
        <v>56</v>
      </c>
      <c r="N262" t="s">
        <v>55</v>
      </c>
      <c r="P262" s="6" t="s">
        <v>934</v>
      </c>
    </row>
    <row r="263" spans="1:16" x14ac:dyDescent="0.2">
      <c r="A263">
        <v>356558346</v>
      </c>
      <c r="B263" t="s">
        <v>61</v>
      </c>
      <c r="C263" t="s">
        <v>658</v>
      </c>
      <c r="E263" s="22">
        <v>0.04</v>
      </c>
      <c r="F263" t="s">
        <v>648</v>
      </c>
      <c r="G263" t="s">
        <v>649</v>
      </c>
      <c r="H263" t="s">
        <v>650</v>
      </c>
      <c r="I263" t="s">
        <v>651</v>
      </c>
      <c r="J263" t="s">
        <v>652</v>
      </c>
      <c r="K263" t="s">
        <v>48</v>
      </c>
      <c r="L263">
        <v>2016</v>
      </c>
      <c r="M263" t="s">
        <v>56</v>
      </c>
      <c r="N263" t="s">
        <v>55</v>
      </c>
      <c r="P263" s="6" t="s">
        <v>935</v>
      </c>
    </row>
    <row r="264" spans="1:16" x14ac:dyDescent="0.2">
      <c r="A264">
        <v>970698993</v>
      </c>
      <c r="B264" t="s">
        <v>61</v>
      </c>
      <c r="C264" t="s">
        <v>658</v>
      </c>
      <c r="E264" s="22">
        <v>0.08</v>
      </c>
      <c r="F264" t="s">
        <v>648</v>
      </c>
      <c r="G264" t="s">
        <v>649</v>
      </c>
      <c r="H264" t="s">
        <v>650</v>
      </c>
      <c r="I264" t="s">
        <v>651</v>
      </c>
      <c r="J264" t="s">
        <v>652</v>
      </c>
      <c r="K264" t="s">
        <v>48</v>
      </c>
      <c r="L264">
        <v>2016</v>
      </c>
      <c r="M264" t="s">
        <v>56</v>
      </c>
      <c r="N264" t="s">
        <v>55</v>
      </c>
      <c r="P264" s="6" t="s">
        <v>936</v>
      </c>
    </row>
    <row r="265" spans="1:16" x14ac:dyDescent="0.2">
      <c r="A265">
        <v>633537205</v>
      </c>
      <c r="B265" t="s">
        <v>61</v>
      </c>
      <c r="C265" t="s">
        <v>658</v>
      </c>
      <c r="E265" s="22">
        <v>0.1</v>
      </c>
      <c r="F265" t="s">
        <v>648</v>
      </c>
      <c r="G265" t="s">
        <v>649</v>
      </c>
      <c r="H265" t="s">
        <v>650</v>
      </c>
      <c r="I265" t="s">
        <v>651</v>
      </c>
      <c r="J265" t="s">
        <v>652</v>
      </c>
      <c r="K265" t="s">
        <v>48</v>
      </c>
      <c r="L265">
        <v>2016</v>
      </c>
      <c r="M265" t="s">
        <v>56</v>
      </c>
      <c r="N265" t="s">
        <v>55</v>
      </c>
      <c r="P265" s="6" t="s">
        <v>937</v>
      </c>
    </row>
    <row r="266" spans="1:16" x14ac:dyDescent="0.2">
      <c r="A266">
        <v>534292868</v>
      </c>
      <c r="B266" t="s">
        <v>61</v>
      </c>
      <c r="C266" t="s">
        <v>658</v>
      </c>
      <c r="E266" s="22">
        <v>0.08</v>
      </c>
      <c r="F266" t="s">
        <v>648</v>
      </c>
      <c r="G266" t="s">
        <v>649</v>
      </c>
      <c r="H266" t="s">
        <v>650</v>
      </c>
      <c r="I266" t="s">
        <v>651</v>
      </c>
      <c r="J266" t="s">
        <v>652</v>
      </c>
      <c r="K266" t="s">
        <v>48</v>
      </c>
      <c r="L266">
        <v>2016</v>
      </c>
      <c r="M266" t="s">
        <v>56</v>
      </c>
      <c r="N266" t="s">
        <v>55</v>
      </c>
      <c r="P266" s="6" t="s">
        <v>938</v>
      </c>
    </row>
    <row r="267" spans="1:16" x14ac:dyDescent="0.2">
      <c r="A267">
        <v>816787809</v>
      </c>
      <c r="B267" t="s">
        <v>61</v>
      </c>
      <c r="C267" t="s">
        <v>658</v>
      </c>
      <c r="E267" s="22">
        <v>0.64</v>
      </c>
      <c r="F267" t="s">
        <v>648</v>
      </c>
      <c r="G267" t="s">
        <v>649</v>
      </c>
      <c r="H267" t="s">
        <v>650</v>
      </c>
      <c r="I267" t="s">
        <v>651</v>
      </c>
      <c r="J267" t="s">
        <v>652</v>
      </c>
      <c r="K267" t="s">
        <v>48</v>
      </c>
      <c r="L267">
        <v>2016</v>
      </c>
      <c r="M267" t="s">
        <v>56</v>
      </c>
      <c r="N267" t="s">
        <v>55</v>
      </c>
      <c r="P267" s="6" t="s">
        <v>939</v>
      </c>
    </row>
    <row r="268" spans="1:16" x14ac:dyDescent="0.2">
      <c r="A268">
        <v>220052551</v>
      </c>
      <c r="B268" t="s">
        <v>61</v>
      </c>
      <c r="C268" t="s">
        <v>658</v>
      </c>
      <c r="E268" s="22">
        <v>0.14000000000000001</v>
      </c>
      <c r="F268" t="s">
        <v>648</v>
      </c>
      <c r="G268" t="s">
        <v>649</v>
      </c>
      <c r="H268" t="s">
        <v>650</v>
      </c>
      <c r="I268" t="s">
        <v>651</v>
      </c>
      <c r="J268" t="s">
        <v>652</v>
      </c>
      <c r="K268" t="s">
        <v>48</v>
      </c>
      <c r="L268">
        <v>2016</v>
      </c>
      <c r="M268" t="s">
        <v>56</v>
      </c>
      <c r="N268" t="s">
        <v>55</v>
      </c>
      <c r="P268" s="6" t="s">
        <v>940</v>
      </c>
    </row>
    <row r="269" spans="1:16" x14ac:dyDescent="0.2">
      <c r="A269">
        <v>858571733</v>
      </c>
      <c r="B269" t="s">
        <v>61</v>
      </c>
      <c r="C269" t="s">
        <v>658</v>
      </c>
      <c r="E269" s="22">
        <v>0.16</v>
      </c>
      <c r="F269" t="s">
        <v>648</v>
      </c>
      <c r="G269" t="s">
        <v>649</v>
      </c>
      <c r="H269" t="s">
        <v>650</v>
      </c>
      <c r="I269" t="s">
        <v>651</v>
      </c>
      <c r="J269" t="s">
        <v>652</v>
      </c>
      <c r="K269" t="s">
        <v>48</v>
      </c>
      <c r="L269">
        <v>2016</v>
      </c>
      <c r="M269" t="s">
        <v>56</v>
      </c>
      <c r="N269" t="s">
        <v>55</v>
      </c>
      <c r="P269" s="6" t="s">
        <v>941</v>
      </c>
    </row>
    <row r="270" spans="1:16" x14ac:dyDescent="0.2">
      <c r="A270">
        <v>363436152</v>
      </c>
      <c r="B270" t="s">
        <v>61</v>
      </c>
      <c r="C270" t="s">
        <v>658</v>
      </c>
      <c r="E270" s="22">
        <v>0.46000000000000008</v>
      </c>
      <c r="F270" t="s">
        <v>648</v>
      </c>
      <c r="G270" t="s">
        <v>649</v>
      </c>
      <c r="H270" t="s">
        <v>650</v>
      </c>
      <c r="I270" t="s">
        <v>651</v>
      </c>
      <c r="J270" t="s">
        <v>652</v>
      </c>
      <c r="K270" t="s">
        <v>48</v>
      </c>
      <c r="L270">
        <v>2016</v>
      </c>
      <c r="M270" t="s">
        <v>56</v>
      </c>
      <c r="N270" t="s">
        <v>55</v>
      </c>
      <c r="P270" s="6" t="s">
        <v>942</v>
      </c>
    </row>
    <row r="271" spans="1:16" x14ac:dyDescent="0.2">
      <c r="A271">
        <v>393495083</v>
      </c>
      <c r="B271" t="s">
        <v>61</v>
      </c>
      <c r="C271" t="s">
        <v>658</v>
      </c>
      <c r="E271" s="22">
        <v>0.18</v>
      </c>
      <c r="F271" t="s">
        <v>648</v>
      </c>
      <c r="G271" t="s">
        <v>649</v>
      </c>
      <c r="H271" t="s">
        <v>650</v>
      </c>
      <c r="I271" t="s">
        <v>651</v>
      </c>
      <c r="J271" t="s">
        <v>652</v>
      </c>
      <c r="K271" t="s">
        <v>48</v>
      </c>
      <c r="L271">
        <v>2016</v>
      </c>
      <c r="M271" t="s">
        <v>56</v>
      </c>
      <c r="N271" t="s">
        <v>55</v>
      </c>
      <c r="P271" s="6" t="s">
        <v>943</v>
      </c>
    </row>
    <row r="272" spans="1:16" x14ac:dyDescent="0.2">
      <c r="A272">
        <v>769635714</v>
      </c>
      <c r="B272" t="s">
        <v>61</v>
      </c>
      <c r="C272" t="s">
        <v>658</v>
      </c>
      <c r="E272" s="22">
        <v>0.64</v>
      </c>
      <c r="F272" t="s">
        <v>648</v>
      </c>
      <c r="G272" t="s">
        <v>649</v>
      </c>
      <c r="H272" t="s">
        <v>650</v>
      </c>
      <c r="I272" t="s">
        <v>651</v>
      </c>
      <c r="J272" t="s">
        <v>652</v>
      </c>
      <c r="K272" t="s">
        <v>48</v>
      </c>
      <c r="L272">
        <v>2016</v>
      </c>
      <c r="M272" t="s">
        <v>56</v>
      </c>
      <c r="N272" t="s">
        <v>55</v>
      </c>
      <c r="P272" s="6" t="s">
        <v>944</v>
      </c>
    </row>
    <row r="273" spans="1:16" x14ac:dyDescent="0.2">
      <c r="A273">
        <v>373048949</v>
      </c>
      <c r="B273" t="s">
        <v>61</v>
      </c>
      <c r="C273" t="s">
        <v>658</v>
      </c>
      <c r="E273" s="22">
        <v>0.3</v>
      </c>
      <c r="F273" t="s">
        <v>648</v>
      </c>
      <c r="G273" t="s">
        <v>649</v>
      </c>
      <c r="H273" t="s">
        <v>650</v>
      </c>
      <c r="I273" t="s">
        <v>651</v>
      </c>
      <c r="J273" t="s">
        <v>652</v>
      </c>
      <c r="K273" t="s">
        <v>48</v>
      </c>
      <c r="L273">
        <v>2016</v>
      </c>
      <c r="M273" t="s">
        <v>56</v>
      </c>
      <c r="N273" t="s">
        <v>55</v>
      </c>
      <c r="P273" s="6" t="s">
        <v>945</v>
      </c>
    </row>
    <row r="274" spans="1:16" x14ac:dyDescent="0.2">
      <c r="A274">
        <v>357061292</v>
      </c>
      <c r="B274" t="s">
        <v>61</v>
      </c>
      <c r="C274" t="s">
        <v>658</v>
      </c>
      <c r="E274" s="22">
        <v>0.5</v>
      </c>
      <c r="F274" t="s">
        <v>648</v>
      </c>
      <c r="G274" t="s">
        <v>649</v>
      </c>
      <c r="H274" t="s">
        <v>650</v>
      </c>
      <c r="I274" t="s">
        <v>651</v>
      </c>
      <c r="J274" t="s">
        <v>652</v>
      </c>
      <c r="K274" t="s">
        <v>48</v>
      </c>
      <c r="L274">
        <v>2016</v>
      </c>
      <c r="M274" t="s">
        <v>56</v>
      </c>
      <c r="N274" t="s">
        <v>55</v>
      </c>
      <c r="P274" s="6" t="s">
        <v>946</v>
      </c>
    </row>
    <row r="275" spans="1:16" x14ac:dyDescent="0.2">
      <c r="A275">
        <v>837310284</v>
      </c>
      <c r="B275" t="s">
        <v>61</v>
      </c>
      <c r="C275" t="s">
        <v>658</v>
      </c>
      <c r="E275" s="22">
        <v>0.36</v>
      </c>
      <c r="F275" t="s">
        <v>648</v>
      </c>
      <c r="G275" t="s">
        <v>649</v>
      </c>
      <c r="H275" t="s">
        <v>650</v>
      </c>
      <c r="I275" t="s">
        <v>651</v>
      </c>
      <c r="J275" t="s">
        <v>652</v>
      </c>
      <c r="K275" t="s">
        <v>48</v>
      </c>
      <c r="L275">
        <v>2016</v>
      </c>
      <c r="M275" t="s">
        <v>56</v>
      </c>
      <c r="N275" t="s">
        <v>55</v>
      </c>
      <c r="P275" s="6" t="s">
        <v>947</v>
      </c>
    </row>
    <row r="276" spans="1:16" x14ac:dyDescent="0.2">
      <c r="A276">
        <v>815854164</v>
      </c>
      <c r="B276" t="s">
        <v>61</v>
      </c>
      <c r="C276" t="s">
        <v>658</v>
      </c>
      <c r="E276" s="22">
        <v>0.62</v>
      </c>
      <c r="F276" t="s">
        <v>648</v>
      </c>
      <c r="G276" t="s">
        <v>649</v>
      </c>
      <c r="H276" t="s">
        <v>650</v>
      </c>
      <c r="I276" t="s">
        <v>651</v>
      </c>
      <c r="J276" t="s">
        <v>652</v>
      </c>
      <c r="K276" t="s">
        <v>48</v>
      </c>
      <c r="L276">
        <v>2016</v>
      </c>
      <c r="M276" t="s">
        <v>56</v>
      </c>
      <c r="N276" t="s">
        <v>55</v>
      </c>
      <c r="P276" s="6" t="s">
        <v>948</v>
      </c>
    </row>
    <row r="277" spans="1:16" x14ac:dyDescent="0.2">
      <c r="A277">
        <v>315378369</v>
      </c>
      <c r="B277" t="s">
        <v>61</v>
      </c>
      <c r="C277" t="s">
        <v>658</v>
      </c>
      <c r="E277" s="22">
        <v>0.36</v>
      </c>
      <c r="F277" t="s">
        <v>648</v>
      </c>
      <c r="G277" t="s">
        <v>649</v>
      </c>
      <c r="H277" t="s">
        <v>650</v>
      </c>
      <c r="I277" t="s">
        <v>651</v>
      </c>
      <c r="J277" t="s">
        <v>652</v>
      </c>
      <c r="K277" t="s">
        <v>48</v>
      </c>
      <c r="L277">
        <v>2016</v>
      </c>
      <c r="M277" t="s">
        <v>56</v>
      </c>
      <c r="N277" t="s">
        <v>55</v>
      </c>
      <c r="P277" s="6" t="s">
        <v>949</v>
      </c>
    </row>
    <row r="278" spans="1:16" x14ac:dyDescent="0.2">
      <c r="A278">
        <v>564410540</v>
      </c>
      <c r="B278" t="s">
        <v>61</v>
      </c>
      <c r="C278" t="s">
        <v>658</v>
      </c>
      <c r="E278" s="22">
        <v>0.72</v>
      </c>
      <c r="F278" t="s">
        <v>648</v>
      </c>
      <c r="G278" t="s">
        <v>649</v>
      </c>
      <c r="H278" t="s">
        <v>650</v>
      </c>
      <c r="I278" t="s">
        <v>651</v>
      </c>
      <c r="J278" t="s">
        <v>652</v>
      </c>
      <c r="K278" t="s">
        <v>48</v>
      </c>
      <c r="L278">
        <v>2016</v>
      </c>
      <c r="M278" t="s">
        <v>56</v>
      </c>
      <c r="N278" t="s">
        <v>55</v>
      </c>
      <c r="P278" s="6" t="s">
        <v>950</v>
      </c>
    </row>
    <row r="279" spans="1:16" x14ac:dyDescent="0.2">
      <c r="A279">
        <v>126539887</v>
      </c>
      <c r="B279" t="s">
        <v>61</v>
      </c>
      <c r="C279" t="s">
        <v>658</v>
      </c>
      <c r="E279" s="22">
        <v>0.62</v>
      </c>
      <c r="F279" t="s">
        <v>648</v>
      </c>
      <c r="G279" t="s">
        <v>649</v>
      </c>
      <c r="H279" t="s">
        <v>650</v>
      </c>
      <c r="I279" t="s">
        <v>651</v>
      </c>
      <c r="J279" t="s">
        <v>652</v>
      </c>
      <c r="K279" t="s">
        <v>48</v>
      </c>
      <c r="L279">
        <v>2016</v>
      </c>
      <c r="M279" t="s">
        <v>56</v>
      </c>
      <c r="N279" t="s">
        <v>55</v>
      </c>
      <c r="P279" s="6" t="s">
        <v>951</v>
      </c>
    </row>
    <row r="280" spans="1:16" x14ac:dyDescent="0.2">
      <c r="A280">
        <v>563937624</v>
      </c>
      <c r="B280" t="s">
        <v>61</v>
      </c>
      <c r="C280" t="s">
        <v>658</v>
      </c>
      <c r="E280" s="22">
        <v>0.2</v>
      </c>
      <c r="F280" t="s">
        <v>648</v>
      </c>
      <c r="G280" t="s">
        <v>649</v>
      </c>
      <c r="H280" t="s">
        <v>650</v>
      </c>
      <c r="I280" t="s">
        <v>651</v>
      </c>
      <c r="J280" t="s">
        <v>652</v>
      </c>
      <c r="K280" t="s">
        <v>48</v>
      </c>
      <c r="L280">
        <v>2016</v>
      </c>
      <c r="M280" t="s">
        <v>56</v>
      </c>
      <c r="N280" t="s">
        <v>55</v>
      </c>
      <c r="P280" s="6" t="s">
        <v>952</v>
      </c>
    </row>
    <row r="281" spans="1:16" x14ac:dyDescent="0.2">
      <c r="A281">
        <v>684291511</v>
      </c>
      <c r="B281" t="s">
        <v>61</v>
      </c>
      <c r="C281" t="s">
        <v>658</v>
      </c>
      <c r="E281" s="22">
        <v>0.52</v>
      </c>
      <c r="F281" t="s">
        <v>648</v>
      </c>
      <c r="G281" t="s">
        <v>649</v>
      </c>
      <c r="H281" t="s">
        <v>650</v>
      </c>
      <c r="I281" t="s">
        <v>651</v>
      </c>
      <c r="J281" t="s">
        <v>652</v>
      </c>
      <c r="K281" t="s">
        <v>48</v>
      </c>
      <c r="L281">
        <v>2016</v>
      </c>
      <c r="M281" t="s">
        <v>56</v>
      </c>
      <c r="N281" t="s">
        <v>55</v>
      </c>
      <c r="P281" s="6" t="s">
        <v>953</v>
      </c>
    </row>
    <row r="282" spans="1:16" x14ac:dyDescent="0.2">
      <c r="A282">
        <v>598829620</v>
      </c>
      <c r="B282" t="s">
        <v>61</v>
      </c>
      <c r="C282" t="s">
        <v>75</v>
      </c>
      <c r="E282" s="22">
        <v>0.15</v>
      </c>
      <c r="F282" t="s">
        <v>648</v>
      </c>
      <c r="G282" t="s">
        <v>649</v>
      </c>
      <c r="H282" t="s">
        <v>650</v>
      </c>
      <c r="I282" t="s">
        <v>651</v>
      </c>
      <c r="J282" t="s">
        <v>652</v>
      </c>
      <c r="K282" t="s">
        <v>48</v>
      </c>
      <c r="L282">
        <v>2016</v>
      </c>
      <c r="M282" t="s">
        <v>56</v>
      </c>
      <c r="N282" t="s">
        <v>55</v>
      </c>
      <c r="P282" s="6" t="s">
        <v>954</v>
      </c>
    </row>
    <row r="283" spans="1:16" x14ac:dyDescent="0.2">
      <c r="A283">
        <v>684014860</v>
      </c>
      <c r="B283" t="s">
        <v>61</v>
      </c>
      <c r="C283" t="s">
        <v>75</v>
      </c>
      <c r="E283" s="22">
        <v>0.56000000000000005</v>
      </c>
      <c r="F283" t="s">
        <v>648</v>
      </c>
      <c r="G283" t="s">
        <v>649</v>
      </c>
      <c r="H283" t="s">
        <v>650</v>
      </c>
      <c r="I283" t="s">
        <v>651</v>
      </c>
      <c r="J283" t="s">
        <v>652</v>
      </c>
      <c r="K283" t="s">
        <v>48</v>
      </c>
      <c r="L283">
        <v>2016</v>
      </c>
      <c r="M283" t="s">
        <v>56</v>
      </c>
      <c r="N283" t="s">
        <v>55</v>
      </c>
      <c r="P283" s="6" t="s">
        <v>955</v>
      </c>
    </row>
    <row r="284" spans="1:16" x14ac:dyDescent="0.2">
      <c r="A284">
        <v>843228181</v>
      </c>
      <c r="B284" t="s">
        <v>61</v>
      </c>
      <c r="C284" t="s">
        <v>75</v>
      </c>
      <c r="E284" s="22">
        <v>0.6100000000000001</v>
      </c>
      <c r="F284" t="s">
        <v>648</v>
      </c>
      <c r="G284" t="s">
        <v>649</v>
      </c>
      <c r="H284" t="s">
        <v>650</v>
      </c>
      <c r="I284" t="s">
        <v>651</v>
      </c>
      <c r="J284" t="s">
        <v>652</v>
      </c>
      <c r="K284" t="s">
        <v>48</v>
      </c>
      <c r="L284">
        <v>2016</v>
      </c>
      <c r="M284" t="s">
        <v>56</v>
      </c>
      <c r="N284" t="s">
        <v>55</v>
      </c>
      <c r="P284" s="6" t="s">
        <v>956</v>
      </c>
    </row>
    <row r="285" spans="1:16" x14ac:dyDescent="0.2">
      <c r="A285">
        <v>820549378</v>
      </c>
      <c r="B285" t="s">
        <v>61</v>
      </c>
      <c r="C285" t="s">
        <v>75</v>
      </c>
      <c r="E285" s="22">
        <v>0.32</v>
      </c>
      <c r="F285" t="s">
        <v>648</v>
      </c>
      <c r="G285" t="s">
        <v>649</v>
      </c>
      <c r="H285" t="s">
        <v>650</v>
      </c>
      <c r="I285" t="s">
        <v>651</v>
      </c>
      <c r="J285" t="s">
        <v>652</v>
      </c>
      <c r="K285" t="s">
        <v>48</v>
      </c>
      <c r="L285">
        <v>2016</v>
      </c>
      <c r="M285" t="s">
        <v>56</v>
      </c>
      <c r="N285" t="s">
        <v>55</v>
      </c>
      <c r="P285" s="6" t="s">
        <v>957</v>
      </c>
    </row>
    <row r="286" spans="1:16" x14ac:dyDescent="0.2">
      <c r="A286">
        <v>533572169</v>
      </c>
      <c r="B286" t="s">
        <v>61</v>
      </c>
      <c r="C286" t="s">
        <v>75</v>
      </c>
      <c r="E286" s="22">
        <v>0.3</v>
      </c>
      <c r="F286" t="s">
        <v>648</v>
      </c>
      <c r="G286" t="s">
        <v>649</v>
      </c>
      <c r="H286" t="s">
        <v>650</v>
      </c>
      <c r="I286" t="s">
        <v>651</v>
      </c>
      <c r="J286" t="s">
        <v>652</v>
      </c>
      <c r="K286" t="s">
        <v>48</v>
      </c>
      <c r="L286">
        <v>2016</v>
      </c>
      <c r="M286" t="s">
        <v>56</v>
      </c>
      <c r="N286" t="s">
        <v>55</v>
      </c>
      <c r="P286" s="6" t="s">
        <v>958</v>
      </c>
    </row>
    <row r="287" spans="1:16" x14ac:dyDescent="0.2">
      <c r="A287">
        <v>975325712</v>
      </c>
      <c r="B287" t="s">
        <v>61</v>
      </c>
      <c r="C287" t="s">
        <v>75</v>
      </c>
      <c r="E287" s="22">
        <v>0.4</v>
      </c>
      <c r="F287" t="s">
        <v>648</v>
      </c>
      <c r="G287" t="s">
        <v>649</v>
      </c>
      <c r="H287" t="s">
        <v>650</v>
      </c>
      <c r="I287" t="s">
        <v>651</v>
      </c>
      <c r="J287" t="s">
        <v>652</v>
      </c>
      <c r="K287" t="s">
        <v>48</v>
      </c>
      <c r="L287">
        <v>2016</v>
      </c>
      <c r="M287" t="s">
        <v>56</v>
      </c>
      <c r="N287" t="s">
        <v>55</v>
      </c>
      <c r="P287" s="6" t="s">
        <v>959</v>
      </c>
    </row>
    <row r="288" spans="1:16" x14ac:dyDescent="0.2">
      <c r="A288">
        <v>310082419</v>
      </c>
      <c r="B288" t="s">
        <v>61</v>
      </c>
      <c r="C288" t="s">
        <v>75</v>
      </c>
      <c r="E288" s="22">
        <v>0.04</v>
      </c>
      <c r="F288" t="s">
        <v>648</v>
      </c>
      <c r="G288" t="s">
        <v>649</v>
      </c>
      <c r="H288" t="s">
        <v>650</v>
      </c>
      <c r="I288" t="s">
        <v>651</v>
      </c>
      <c r="J288" t="s">
        <v>652</v>
      </c>
      <c r="K288" t="s">
        <v>48</v>
      </c>
      <c r="L288">
        <v>2016</v>
      </c>
      <c r="M288" t="s">
        <v>56</v>
      </c>
      <c r="N288" t="s">
        <v>55</v>
      </c>
      <c r="P288" s="6" t="s">
        <v>960</v>
      </c>
    </row>
    <row r="289" spans="1:16" x14ac:dyDescent="0.2">
      <c r="A289">
        <v>242132470</v>
      </c>
      <c r="B289" t="s">
        <v>61</v>
      </c>
      <c r="C289" t="s">
        <v>75</v>
      </c>
      <c r="E289" s="22">
        <v>0.11000000000000001</v>
      </c>
      <c r="F289" t="s">
        <v>648</v>
      </c>
      <c r="G289" t="s">
        <v>649</v>
      </c>
      <c r="H289" t="s">
        <v>650</v>
      </c>
      <c r="I289" t="s">
        <v>651</v>
      </c>
      <c r="J289" t="s">
        <v>652</v>
      </c>
      <c r="K289" t="s">
        <v>48</v>
      </c>
      <c r="L289">
        <v>2016</v>
      </c>
      <c r="M289" t="s">
        <v>56</v>
      </c>
      <c r="N289" t="s">
        <v>55</v>
      </c>
      <c r="P289" s="6" t="s">
        <v>961</v>
      </c>
    </row>
    <row r="290" spans="1:16" x14ac:dyDescent="0.2">
      <c r="A290">
        <v>208248363</v>
      </c>
      <c r="B290" t="s">
        <v>61</v>
      </c>
      <c r="C290" t="s">
        <v>75</v>
      </c>
      <c r="E290" s="22">
        <v>0.51</v>
      </c>
      <c r="F290" t="s">
        <v>648</v>
      </c>
      <c r="G290" t="s">
        <v>649</v>
      </c>
      <c r="H290" t="s">
        <v>650</v>
      </c>
      <c r="I290" t="s">
        <v>651</v>
      </c>
      <c r="J290" t="s">
        <v>652</v>
      </c>
      <c r="K290" t="s">
        <v>48</v>
      </c>
      <c r="L290">
        <v>2016</v>
      </c>
      <c r="M290" t="s">
        <v>56</v>
      </c>
      <c r="N290" t="s">
        <v>55</v>
      </c>
      <c r="P290" s="6" t="s">
        <v>962</v>
      </c>
    </row>
    <row r="291" spans="1:16" x14ac:dyDescent="0.2">
      <c r="A291">
        <v>277055951</v>
      </c>
      <c r="B291" t="s">
        <v>61</v>
      </c>
      <c r="C291" t="s">
        <v>75</v>
      </c>
      <c r="E291" s="22">
        <v>0.26</v>
      </c>
      <c r="F291" t="s">
        <v>648</v>
      </c>
      <c r="G291" t="s">
        <v>649</v>
      </c>
      <c r="H291" t="s">
        <v>650</v>
      </c>
      <c r="I291" t="s">
        <v>651</v>
      </c>
      <c r="J291" t="s">
        <v>652</v>
      </c>
      <c r="K291" t="s">
        <v>48</v>
      </c>
      <c r="L291">
        <v>2016</v>
      </c>
      <c r="M291" t="s">
        <v>56</v>
      </c>
      <c r="N291" t="s">
        <v>55</v>
      </c>
      <c r="P291" s="6" t="s">
        <v>963</v>
      </c>
    </row>
    <row r="292" spans="1:16" x14ac:dyDescent="0.2">
      <c r="A292">
        <v>902907559</v>
      </c>
      <c r="B292" t="s">
        <v>61</v>
      </c>
      <c r="C292" t="s">
        <v>75</v>
      </c>
      <c r="E292" s="22">
        <v>0.86</v>
      </c>
      <c r="F292" t="s">
        <v>648</v>
      </c>
      <c r="G292" t="s">
        <v>649</v>
      </c>
      <c r="H292" t="s">
        <v>650</v>
      </c>
      <c r="I292" t="s">
        <v>651</v>
      </c>
      <c r="J292" t="s">
        <v>652</v>
      </c>
      <c r="K292" t="s">
        <v>48</v>
      </c>
      <c r="L292">
        <v>2016</v>
      </c>
      <c r="M292" t="s">
        <v>56</v>
      </c>
      <c r="N292" t="s">
        <v>55</v>
      </c>
      <c r="P292" s="6" t="s">
        <v>964</v>
      </c>
    </row>
    <row r="293" spans="1:16" x14ac:dyDescent="0.2">
      <c r="A293">
        <v>528297980</v>
      </c>
      <c r="B293" t="s">
        <v>61</v>
      </c>
      <c r="C293" t="s">
        <v>75</v>
      </c>
      <c r="E293" s="22">
        <v>0.58000000000000007</v>
      </c>
      <c r="F293" t="s">
        <v>648</v>
      </c>
      <c r="G293" t="s">
        <v>649</v>
      </c>
      <c r="H293" t="s">
        <v>650</v>
      </c>
      <c r="I293" t="s">
        <v>651</v>
      </c>
      <c r="J293" t="s">
        <v>652</v>
      </c>
      <c r="K293" t="s">
        <v>48</v>
      </c>
      <c r="L293">
        <v>2016</v>
      </c>
      <c r="M293" t="s">
        <v>56</v>
      </c>
      <c r="N293" t="s">
        <v>55</v>
      </c>
      <c r="P293" s="6" t="s">
        <v>965</v>
      </c>
    </row>
    <row r="294" spans="1:16" x14ac:dyDescent="0.2">
      <c r="A294">
        <v>444882790</v>
      </c>
      <c r="B294" t="s">
        <v>61</v>
      </c>
      <c r="C294" t="s">
        <v>75</v>
      </c>
      <c r="E294" s="22">
        <v>0.05</v>
      </c>
      <c r="F294" t="s">
        <v>648</v>
      </c>
      <c r="G294" t="s">
        <v>649</v>
      </c>
      <c r="H294" t="s">
        <v>650</v>
      </c>
      <c r="I294" t="s">
        <v>651</v>
      </c>
      <c r="J294" t="s">
        <v>652</v>
      </c>
      <c r="K294" t="s">
        <v>48</v>
      </c>
      <c r="L294">
        <v>2016</v>
      </c>
      <c r="M294" t="s">
        <v>56</v>
      </c>
      <c r="N294" t="s">
        <v>55</v>
      </c>
      <c r="P294" s="6" t="s">
        <v>966</v>
      </c>
    </row>
    <row r="295" spans="1:16" x14ac:dyDescent="0.2">
      <c r="A295">
        <v>112085131</v>
      </c>
      <c r="B295" t="s">
        <v>61</v>
      </c>
      <c r="C295" t="s">
        <v>75</v>
      </c>
      <c r="E295" s="22">
        <v>0.13</v>
      </c>
      <c r="F295" t="s">
        <v>648</v>
      </c>
      <c r="G295" t="s">
        <v>649</v>
      </c>
      <c r="H295" t="s">
        <v>650</v>
      </c>
      <c r="I295" t="s">
        <v>651</v>
      </c>
      <c r="J295" t="s">
        <v>652</v>
      </c>
      <c r="K295" t="s">
        <v>48</v>
      </c>
      <c r="L295">
        <v>2016</v>
      </c>
      <c r="M295" t="s">
        <v>56</v>
      </c>
      <c r="N295" t="s">
        <v>55</v>
      </c>
      <c r="P295" s="6" t="s">
        <v>967</v>
      </c>
    </row>
    <row r="296" spans="1:16" x14ac:dyDescent="0.2">
      <c r="A296">
        <v>588642518</v>
      </c>
      <c r="B296" t="s">
        <v>61</v>
      </c>
      <c r="C296" t="s">
        <v>75</v>
      </c>
      <c r="E296" s="22">
        <v>0.94000000000000006</v>
      </c>
      <c r="F296" t="s">
        <v>648</v>
      </c>
      <c r="G296" t="s">
        <v>649</v>
      </c>
      <c r="H296" t="s">
        <v>650</v>
      </c>
      <c r="I296" t="s">
        <v>651</v>
      </c>
      <c r="J296" t="s">
        <v>652</v>
      </c>
      <c r="K296" t="s">
        <v>48</v>
      </c>
      <c r="L296">
        <v>2016</v>
      </c>
      <c r="M296" t="s">
        <v>56</v>
      </c>
      <c r="N296" t="s">
        <v>55</v>
      </c>
      <c r="P296" s="6" t="s">
        <v>968</v>
      </c>
    </row>
    <row r="297" spans="1:16" x14ac:dyDescent="0.2">
      <c r="A297">
        <v>414520736</v>
      </c>
      <c r="B297" t="s">
        <v>61</v>
      </c>
      <c r="C297" t="s">
        <v>75</v>
      </c>
      <c r="E297" s="22">
        <v>0.80999999999999994</v>
      </c>
      <c r="F297" t="s">
        <v>648</v>
      </c>
      <c r="G297" t="s">
        <v>649</v>
      </c>
      <c r="H297" t="s">
        <v>650</v>
      </c>
      <c r="I297" t="s">
        <v>651</v>
      </c>
      <c r="J297" t="s">
        <v>652</v>
      </c>
      <c r="K297" t="s">
        <v>48</v>
      </c>
      <c r="L297">
        <v>2016</v>
      </c>
      <c r="M297" t="s">
        <v>56</v>
      </c>
      <c r="N297" t="s">
        <v>55</v>
      </c>
      <c r="P297" s="6" t="s">
        <v>969</v>
      </c>
    </row>
    <row r="298" spans="1:16" x14ac:dyDescent="0.2">
      <c r="A298">
        <v>356558346</v>
      </c>
      <c r="B298" t="s">
        <v>61</v>
      </c>
      <c r="C298" t="s">
        <v>75</v>
      </c>
      <c r="E298" s="22">
        <v>0.43</v>
      </c>
      <c r="F298" t="s">
        <v>648</v>
      </c>
      <c r="G298" t="s">
        <v>649</v>
      </c>
      <c r="H298" t="s">
        <v>650</v>
      </c>
      <c r="I298" t="s">
        <v>651</v>
      </c>
      <c r="J298" t="s">
        <v>652</v>
      </c>
      <c r="K298" t="s">
        <v>48</v>
      </c>
      <c r="L298">
        <v>2016</v>
      </c>
      <c r="M298" t="s">
        <v>56</v>
      </c>
      <c r="N298" t="s">
        <v>55</v>
      </c>
      <c r="P298" s="6" t="s">
        <v>970</v>
      </c>
    </row>
    <row r="299" spans="1:16" x14ac:dyDescent="0.2">
      <c r="A299">
        <v>970698993</v>
      </c>
      <c r="B299" t="s">
        <v>61</v>
      </c>
      <c r="C299" t="s">
        <v>75</v>
      </c>
      <c r="E299" s="22">
        <v>0.95</v>
      </c>
      <c r="F299" t="s">
        <v>648</v>
      </c>
      <c r="G299" t="s">
        <v>649</v>
      </c>
      <c r="H299" t="s">
        <v>650</v>
      </c>
      <c r="I299" t="s">
        <v>651</v>
      </c>
      <c r="J299" t="s">
        <v>652</v>
      </c>
      <c r="K299" t="s">
        <v>48</v>
      </c>
      <c r="L299">
        <v>2016</v>
      </c>
      <c r="M299" t="s">
        <v>56</v>
      </c>
      <c r="N299" t="s">
        <v>55</v>
      </c>
      <c r="P299" s="6" t="s">
        <v>971</v>
      </c>
    </row>
    <row r="300" spans="1:16" x14ac:dyDescent="0.2">
      <c r="A300">
        <v>633537205</v>
      </c>
      <c r="B300" t="s">
        <v>61</v>
      </c>
      <c r="C300" t="s">
        <v>75</v>
      </c>
      <c r="E300" s="22">
        <v>0.36</v>
      </c>
      <c r="F300" t="s">
        <v>648</v>
      </c>
      <c r="G300" t="s">
        <v>649</v>
      </c>
      <c r="H300" t="s">
        <v>650</v>
      </c>
      <c r="I300" t="s">
        <v>651</v>
      </c>
      <c r="J300" t="s">
        <v>652</v>
      </c>
      <c r="K300" t="s">
        <v>48</v>
      </c>
      <c r="L300">
        <v>2016</v>
      </c>
      <c r="M300" t="s">
        <v>56</v>
      </c>
      <c r="N300" t="s">
        <v>55</v>
      </c>
      <c r="P300" s="6" t="s">
        <v>972</v>
      </c>
    </row>
    <row r="301" spans="1:16" x14ac:dyDescent="0.2">
      <c r="A301">
        <v>534292868</v>
      </c>
      <c r="B301" t="s">
        <v>61</v>
      </c>
      <c r="C301" t="s">
        <v>75</v>
      </c>
      <c r="E301" s="22">
        <v>0.9</v>
      </c>
      <c r="F301" t="s">
        <v>648</v>
      </c>
      <c r="G301" t="s">
        <v>649</v>
      </c>
      <c r="H301" t="s">
        <v>650</v>
      </c>
      <c r="I301" t="s">
        <v>651</v>
      </c>
      <c r="J301" t="s">
        <v>652</v>
      </c>
      <c r="K301" t="s">
        <v>48</v>
      </c>
      <c r="L301">
        <v>2016</v>
      </c>
      <c r="M301" t="s">
        <v>56</v>
      </c>
      <c r="N301" t="s">
        <v>55</v>
      </c>
      <c r="P301" s="6" t="s">
        <v>973</v>
      </c>
    </row>
    <row r="302" spans="1:16" x14ac:dyDescent="0.2">
      <c r="A302">
        <v>816787809</v>
      </c>
      <c r="B302" t="s">
        <v>61</v>
      </c>
      <c r="C302" t="s">
        <v>75</v>
      </c>
      <c r="E302" s="22">
        <v>0.47000000000000003</v>
      </c>
      <c r="F302" t="s">
        <v>648</v>
      </c>
      <c r="G302" t="s">
        <v>649</v>
      </c>
      <c r="H302" t="s">
        <v>650</v>
      </c>
      <c r="I302" t="s">
        <v>651</v>
      </c>
      <c r="J302" t="s">
        <v>652</v>
      </c>
      <c r="K302" t="s">
        <v>48</v>
      </c>
      <c r="L302">
        <v>2016</v>
      </c>
      <c r="M302" t="s">
        <v>56</v>
      </c>
      <c r="N302" t="s">
        <v>55</v>
      </c>
      <c r="P302" s="6" t="s">
        <v>974</v>
      </c>
    </row>
    <row r="303" spans="1:16" x14ac:dyDescent="0.2">
      <c r="A303">
        <v>220052551</v>
      </c>
      <c r="B303" t="s">
        <v>61</v>
      </c>
      <c r="C303" t="s">
        <v>75</v>
      </c>
      <c r="E303" s="22">
        <v>0.74</v>
      </c>
      <c r="F303" t="s">
        <v>648</v>
      </c>
      <c r="G303" t="s">
        <v>649</v>
      </c>
      <c r="H303" t="s">
        <v>650</v>
      </c>
      <c r="I303" t="s">
        <v>651</v>
      </c>
      <c r="J303" t="s">
        <v>652</v>
      </c>
      <c r="K303" t="s">
        <v>48</v>
      </c>
      <c r="L303">
        <v>2016</v>
      </c>
      <c r="M303" t="s">
        <v>56</v>
      </c>
      <c r="N303" t="s">
        <v>55</v>
      </c>
      <c r="P303" s="6" t="s">
        <v>975</v>
      </c>
    </row>
    <row r="304" spans="1:16" x14ac:dyDescent="0.2">
      <c r="A304">
        <v>858571733</v>
      </c>
      <c r="B304" t="s">
        <v>61</v>
      </c>
      <c r="C304" t="s">
        <v>75</v>
      </c>
      <c r="E304" s="22">
        <v>0.19</v>
      </c>
      <c r="F304" t="s">
        <v>648</v>
      </c>
      <c r="G304" t="s">
        <v>649</v>
      </c>
      <c r="H304" t="s">
        <v>650</v>
      </c>
      <c r="I304" t="s">
        <v>651</v>
      </c>
      <c r="J304" t="s">
        <v>652</v>
      </c>
      <c r="K304" t="s">
        <v>48</v>
      </c>
      <c r="L304">
        <v>2016</v>
      </c>
      <c r="M304" t="s">
        <v>56</v>
      </c>
      <c r="N304" t="s">
        <v>55</v>
      </c>
      <c r="P304" s="6" t="s">
        <v>976</v>
      </c>
    </row>
    <row r="305" spans="1:16" x14ac:dyDescent="0.2">
      <c r="A305">
        <v>363436152</v>
      </c>
      <c r="B305" t="s">
        <v>61</v>
      </c>
      <c r="C305" t="s">
        <v>75</v>
      </c>
      <c r="E305" s="22">
        <v>0.21000000000000002</v>
      </c>
      <c r="F305" t="s">
        <v>648</v>
      </c>
      <c r="G305" t="s">
        <v>649</v>
      </c>
      <c r="H305" t="s">
        <v>650</v>
      </c>
      <c r="I305" t="s">
        <v>651</v>
      </c>
      <c r="J305" t="s">
        <v>652</v>
      </c>
      <c r="K305" t="s">
        <v>48</v>
      </c>
      <c r="L305">
        <v>2016</v>
      </c>
      <c r="M305" t="s">
        <v>56</v>
      </c>
      <c r="N305" t="s">
        <v>55</v>
      </c>
      <c r="P305" s="6" t="s">
        <v>977</v>
      </c>
    </row>
    <row r="306" spans="1:16" x14ac:dyDescent="0.2">
      <c r="A306">
        <v>393495083</v>
      </c>
      <c r="B306" t="s">
        <v>61</v>
      </c>
      <c r="C306" t="s">
        <v>75</v>
      </c>
      <c r="E306" s="22">
        <v>0.90999999999999992</v>
      </c>
      <c r="F306" t="s">
        <v>648</v>
      </c>
      <c r="G306" t="s">
        <v>649</v>
      </c>
      <c r="H306" t="s">
        <v>650</v>
      </c>
      <c r="I306" t="s">
        <v>651</v>
      </c>
      <c r="J306" t="s">
        <v>652</v>
      </c>
      <c r="K306" t="s">
        <v>48</v>
      </c>
      <c r="L306">
        <v>2016</v>
      </c>
      <c r="M306" t="s">
        <v>56</v>
      </c>
      <c r="N306" t="s">
        <v>55</v>
      </c>
      <c r="P306" s="6" t="s">
        <v>978</v>
      </c>
    </row>
    <row r="307" spans="1:16" x14ac:dyDescent="0.2">
      <c r="A307">
        <v>769635714</v>
      </c>
      <c r="B307" t="s">
        <v>61</v>
      </c>
      <c r="C307" t="s">
        <v>75</v>
      </c>
      <c r="E307" s="22">
        <v>0.88000000000000012</v>
      </c>
      <c r="F307" t="s">
        <v>648</v>
      </c>
      <c r="G307" t="s">
        <v>649</v>
      </c>
      <c r="H307" t="s">
        <v>650</v>
      </c>
      <c r="I307" t="s">
        <v>651</v>
      </c>
      <c r="J307" t="s">
        <v>652</v>
      </c>
      <c r="K307" t="s">
        <v>48</v>
      </c>
      <c r="L307">
        <v>2016</v>
      </c>
      <c r="M307" t="s">
        <v>56</v>
      </c>
      <c r="N307" t="s">
        <v>55</v>
      </c>
      <c r="P307" s="6" t="s">
        <v>979</v>
      </c>
    </row>
    <row r="308" spans="1:16" x14ac:dyDescent="0.2">
      <c r="A308">
        <v>373048949</v>
      </c>
      <c r="B308" t="s">
        <v>61</v>
      </c>
      <c r="C308" t="s">
        <v>75</v>
      </c>
      <c r="E308" s="22">
        <v>0.8</v>
      </c>
      <c r="F308" t="s">
        <v>648</v>
      </c>
      <c r="G308" t="s">
        <v>649</v>
      </c>
      <c r="H308" t="s">
        <v>650</v>
      </c>
      <c r="I308" t="s">
        <v>651</v>
      </c>
      <c r="J308" t="s">
        <v>652</v>
      </c>
      <c r="K308" t="s">
        <v>48</v>
      </c>
      <c r="L308">
        <v>2016</v>
      </c>
      <c r="M308" t="s">
        <v>56</v>
      </c>
      <c r="N308" t="s">
        <v>55</v>
      </c>
      <c r="P308" s="6" t="s">
        <v>980</v>
      </c>
    </row>
    <row r="309" spans="1:16" x14ac:dyDescent="0.2">
      <c r="A309">
        <v>357061292</v>
      </c>
      <c r="B309" t="s">
        <v>61</v>
      </c>
      <c r="C309" t="s">
        <v>75</v>
      </c>
      <c r="E309" s="22">
        <v>0.1</v>
      </c>
      <c r="F309" t="s">
        <v>648</v>
      </c>
      <c r="G309" t="s">
        <v>649</v>
      </c>
      <c r="H309" t="s">
        <v>650</v>
      </c>
      <c r="I309" t="s">
        <v>651</v>
      </c>
      <c r="J309" t="s">
        <v>652</v>
      </c>
      <c r="K309" t="s">
        <v>48</v>
      </c>
      <c r="L309">
        <v>2016</v>
      </c>
      <c r="M309" t="s">
        <v>56</v>
      </c>
      <c r="N309" t="s">
        <v>55</v>
      </c>
      <c r="P309" s="6" t="s">
        <v>981</v>
      </c>
    </row>
    <row r="310" spans="1:16" x14ac:dyDescent="0.2">
      <c r="A310">
        <v>837310284</v>
      </c>
      <c r="B310" t="s">
        <v>61</v>
      </c>
      <c r="C310" t="s">
        <v>75</v>
      </c>
      <c r="E310" s="22">
        <v>0.45</v>
      </c>
      <c r="F310" t="s">
        <v>648</v>
      </c>
      <c r="G310" t="s">
        <v>649</v>
      </c>
      <c r="H310" t="s">
        <v>650</v>
      </c>
      <c r="I310" t="s">
        <v>651</v>
      </c>
      <c r="J310" t="s">
        <v>652</v>
      </c>
      <c r="K310" t="s">
        <v>48</v>
      </c>
      <c r="L310">
        <v>2016</v>
      </c>
      <c r="M310" t="s">
        <v>56</v>
      </c>
      <c r="N310" t="s">
        <v>55</v>
      </c>
      <c r="P310" s="6" t="s">
        <v>982</v>
      </c>
    </row>
    <row r="311" spans="1:16" x14ac:dyDescent="0.2">
      <c r="A311">
        <v>815854164</v>
      </c>
      <c r="B311" t="s">
        <v>61</v>
      </c>
      <c r="C311" t="s">
        <v>75</v>
      </c>
      <c r="E311" s="22">
        <v>0.89</v>
      </c>
      <c r="F311" t="s">
        <v>648</v>
      </c>
      <c r="G311" t="s">
        <v>649</v>
      </c>
      <c r="H311" t="s">
        <v>650</v>
      </c>
      <c r="I311" t="s">
        <v>651</v>
      </c>
      <c r="J311" t="s">
        <v>652</v>
      </c>
      <c r="K311" t="s">
        <v>48</v>
      </c>
      <c r="L311">
        <v>2016</v>
      </c>
      <c r="M311" t="s">
        <v>56</v>
      </c>
      <c r="N311" t="s">
        <v>55</v>
      </c>
      <c r="P311" s="6" t="s">
        <v>983</v>
      </c>
    </row>
    <row r="312" spans="1:16" x14ac:dyDescent="0.2">
      <c r="A312">
        <v>315378369</v>
      </c>
      <c r="B312" t="s">
        <v>61</v>
      </c>
      <c r="C312" t="s">
        <v>75</v>
      </c>
      <c r="E312" s="22">
        <v>0.12000000000000002</v>
      </c>
      <c r="F312" t="s">
        <v>648</v>
      </c>
      <c r="G312" t="s">
        <v>649</v>
      </c>
      <c r="H312" t="s">
        <v>650</v>
      </c>
      <c r="I312" t="s">
        <v>651</v>
      </c>
      <c r="J312" t="s">
        <v>652</v>
      </c>
      <c r="K312" t="s">
        <v>48</v>
      </c>
      <c r="L312">
        <v>2016</v>
      </c>
      <c r="M312" t="s">
        <v>56</v>
      </c>
      <c r="N312" t="s">
        <v>55</v>
      </c>
      <c r="P312" s="6" t="s">
        <v>984</v>
      </c>
    </row>
    <row r="313" spans="1:16" x14ac:dyDescent="0.2">
      <c r="A313">
        <v>564410540</v>
      </c>
      <c r="B313" t="s">
        <v>61</v>
      </c>
      <c r="C313" t="s">
        <v>75</v>
      </c>
      <c r="E313" s="22">
        <v>0.21000000000000002</v>
      </c>
      <c r="F313" t="s">
        <v>648</v>
      </c>
      <c r="G313" t="s">
        <v>649</v>
      </c>
      <c r="H313" t="s">
        <v>650</v>
      </c>
      <c r="I313" t="s">
        <v>651</v>
      </c>
      <c r="J313" t="s">
        <v>652</v>
      </c>
      <c r="K313" t="s">
        <v>48</v>
      </c>
      <c r="L313">
        <v>2016</v>
      </c>
      <c r="M313" t="s">
        <v>56</v>
      </c>
      <c r="N313" t="s">
        <v>55</v>
      </c>
      <c r="P313" s="6" t="s">
        <v>985</v>
      </c>
    </row>
    <row r="314" spans="1:16" x14ac:dyDescent="0.2">
      <c r="A314">
        <v>126539887</v>
      </c>
      <c r="B314" t="s">
        <v>61</v>
      </c>
      <c r="C314" t="s">
        <v>75</v>
      </c>
      <c r="E314" s="22">
        <v>7.0000000000000007E-2</v>
      </c>
      <c r="F314" t="s">
        <v>648</v>
      </c>
      <c r="G314" t="s">
        <v>649</v>
      </c>
      <c r="H314" t="s">
        <v>650</v>
      </c>
      <c r="I314" t="s">
        <v>651</v>
      </c>
      <c r="J314" t="s">
        <v>652</v>
      </c>
      <c r="K314" t="s">
        <v>48</v>
      </c>
      <c r="L314">
        <v>2016</v>
      </c>
      <c r="M314" t="s">
        <v>56</v>
      </c>
      <c r="N314" t="s">
        <v>55</v>
      </c>
      <c r="P314" s="6" t="s">
        <v>986</v>
      </c>
    </row>
    <row r="315" spans="1:16" x14ac:dyDescent="0.2">
      <c r="A315">
        <v>563937624</v>
      </c>
      <c r="B315" t="s">
        <v>61</v>
      </c>
      <c r="C315" t="s">
        <v>75</v>
      </c>
      <c r="E315" s="22">
        <v>0.05</v>
      </c>
      <c r="F315" t="s">
        <v>648</v>
      </c>
      <c r="G315" t="s">
        <v>649</v>
      </c>
      <c r="H315" t="s">
        <v>650</v>
      </c>
      <c r="I315" t="s">
        <v>651</v>
      </c>
      <c r="J315" t="s">
        <v>652</v>
      </c>
      <c r="K315" t="s">
        <v>48</v>
      </c>
      <c r="L315">
        <v>2016</v>
      </c>
      <c r="M315" t="s">
        <v>56</v>
      </c>
      <c r="N315" t="s">
        <v>55</v>
      </c>
      <c r="P315" s="6" t="s">
        <v>987</v>
      </c>
    </row>
    <row r="316" spans="1:16" x14ac:dyDescent="0.2">
      <c r="A316">
        <v>684291511</v>
      </c>
      <c r="B316" t="s">
        <v>61</v>
      </c>
      <c r="C316" t="s">
        <v>75</v>
      </c>
      <c r="E316" s="22">
        <v>0.37</v>
      </c>
      <c r="F316" t="s">
        <v>648</v>
      </c>
      <c r="G316" t="s">
        <v>649</v>
      </c>
      <c r="H316" t="s">
        <v>650</v>
      </c>
      <c r="I316" t="s">
        <v>651</v>
      </c>
      <c r="J316" t="s">
        <v>652</v>
      </c>
      <c r="K316" t="s">
        <v>48</v>
      </c>
      <c r="L316">
        <v>2016</v>
      </c>
      <c r="M316" t="s">
        <v>56</v>
      </c>
      <c r="N316" t="s">
        <v>55</v>
      </c>
      <c r="P316" s="6" t="s">
        <v>988</v>
      </c>
    </row>
    <row r="317" spans="1:16" x14ac:dyDescent="0.2">
      <c r="A317">
        <v>598829620</v>
      </c>
      <c r="B317" t="s">
        <v>61</v>
      </c>
      <c r="C317" t="s">
        <v>659</v>
      </c>
      <c r="E317" s="22">
        <v>0.15</v>
      </c>
      <c r="F317" t="s">
        <v>648</v>
      </c>
      <c r="G317" t="s">
        <v>649</v>
      </c>
      <c r="H317" t="s">
        <v>650</v>
      </c>
      <c r="I317" t="s">
        <v>651</v>
      </c>
      <c r="J317" t="s">
        <v>652</v>
      </c>
      <c r="K317" t="s">
        <v>48</v>
      </c>
      <c r="L317">
        <v>2016</v>
      </c>
      <c r="M317" t="s">
        <v>56</v>
      </c>
      <c r="N317" t="s">
        <v>55</v>
      </c>
      <c r="P317" s="6" t="s">
        <v>989</v>
      </c>
    </row>
    <row r="318" spans="1:16" x14ac:dyDescent="0.2">
      <c r="A318">
        <v>684014860</v>
      </c>
      <c r="B318" t="s">
        <v>61</v>
      </c>
      <c r="C318" t="s">
        <v>659</v>
      </c>
      <c r="E318" s="22">
        <v>0.56000000000000005</v>
      </c>
      <c r="F318" t="s">
        <v>648</v>
      </c>
      <c r="G318" t="s">
        <v>649</v>
      </c>
      <c r="H318" t="s">
        <v>650</v>
      </c>
      <c r="I318" t="s">
        <v>651</v>
      </c>
      <c r="J318" t="s">
        <v>652</v>
      </c>
      <c r="K318" t="s">
        <v>48</v>
      </c>
      <c r="L318">
        <v>2016</v>
      </c>
      <c r="M318" t="s">
        <v>56</v>
      </c>
      <c r="N318" t="s">
        <v>55</v>
      </c>
      <c r="P318" s="6" t="s">
        <v>990</v>
      </c>
    </row>
    <row r="319" spans="1:16" x14ac:dyDescent="0.2">
      <c r="A319">
        <v>843228181</v>
      </c>
      <c r="B319" t="s">
        <v>61</v>
      </c>
      <c r="C319" t="s">
        <v>659</v>
      </c>
      <c r="E319" s="22">
        <v>0.61</v>
      </c>
      <c r="F319" t="s">
        <v>648</v>
      </c>
      <c r="G319" t="s">
        <v>649</v>
      </c>
      <c r="H319" t="s">
        <v>650</v>
      </c>
      <c r="I319" t="s">
        <v>651</v>
      </c>
      <c r="J319" t="s">
        <v>652</v>
      </c>
      <c r="K319" t="s">
        <v>48</v>
      </c>
      <c r="L319">
        <v>2016</v>
      </c>
      <c r="M319" t="s">
        <v>56</v>
      </c>
      <c r="N319" t="s">
        <v>55</v>
      </c>
      <c r="P319" s="6" t="s">
        <v>991</v>
      </c>
    </row>
    <row r="320" spans="1:16" x14ac:dyDescent="0.2">
      <c r="A320">
        <v>820549378</v>
      </c>
      <c r="B320" t="s">
        <v>61</v>
      </c>
      <c r="C320" t="s">
        <v>659</v>
      </c>
      <c r="E320" s="22">
        <v>0.32000000000000006</v>
      </c>
      <c r="F320" t="s">
        <v>648</v>
      </c>
      <c r="G320" t="s">
        <v>649</v>
      </c>
      <c r="H320" t="s">
        <v>650</v>
      </c>
      <c r="I320" t="s">
        <v>651</v>
      </c>
      <c r="J320" t="s">
        <v>652</v>
      </c>
      <c r="K320" t="s">
        <v>48</v>
      </c>
      <c r="L320">
        <v>2016</v>
      </c>
      <c r="M320" t="s">
        <v>56</v>
      </c>
      <c r="N320" t="s">
        <v>55</v>
      </c>
      <c r="P320" s="6" t="s">
        <v>992</v>
      </c>
    </row>
    <row r="321" spans="1:16" x14ac:dyDescent="0.2">
      <c r="A321">
        <v>533572169</v>
      </c>
      <c r="B321" t="s">
        <v>61</v>
      </c>
      <c r="C321" t="s">
        <v>659</v>
      </c>
      <c r="E321" s="22">
        <v>0.3</v>
      </c>
      <c r="F321" t="s">
        <v>648</v>
      </c>
      <c r="G321" t="s">
        <v>649</v>
      </c>
      <c r="H321" t="s">
        <v>650</v>
      </c>
      <c r="I321" t="s">
        <v>651</v>
      </c>
      <c r="J321" t="s">
        <v>652</v>
      </c>
      <c r="K321" t="s">
        <v>48</v>
      </c>
      <c r="L321">
        <v>2016</v>
      </c>
      <c r="M321" t="s">
        <v>56</v>
      </c>
      <c r="N321" t="s">
        <v>55</v>
      </c>
      <c r="P321" s="6" t="s">
        <v>993</v>
      </c>
    </row>
    <row r="322" spans="1:16" x14ac:dyDescent="0.2">
      <c r="A322">
        <v>975325712</v>
      </c>
      <c r="B322" t="s">
        <v>61</v>
      </c>
      <c r="C322" t="s">
        <v>659</v>
      </c>
      <c r="E322" s="22">
        <v>0.4</v>
      </c>
      <c r="F322" t="s">
        <v>648</v>
      </c>
      <c r="G322" t="s">
        <v>649</v>
      </c>
      <c r="H322" t="s">
        <v>650</v>
      </c>
      <c r="I322" t="s">
        <v>651</v>
      </c>
      <c r="J322" t="s">
        <v>652</v>
      </c>
      <c r="K322" t="s">
        <v>48</v>
      </c>
      <c r="L322">
        <v>2016</v>
      </c>
      <c r="M322" t="s">
        <v>56</v>
      </c>
      <c r="N322" t="s">
        <v>55</v>
      </c>
      <c r="P322" s="6" t="s">
        <v>994</v>
      </c>
    </row>
    <row r="323" spans="1:16" x14ac:dyDescent="0.2">
      <c r="A323">
        <v>310082419</v>
      </c>
      <c r="B323" t="s">
        <v>61</v>
      </c>
      <c r="C323" t="s">
        <v>659</v>
      </c>
      <c r="E323" s="22">
        <v>4.0000000000000008E-2</v>
      </c>
      <c r="F323" t="s">
        <v>648</v>
      </c>
      <c r="G323" t="s">
        <v>649</v>
      </c>
      <c r="H323" t="s">
        <v>650</v>
      </c>
      <c r="I323" t="s">
        <v>651</v>
      </c>
      <c r="J323" t="s">
        <v>652</v>
      </c>
      <c r="K323" t="s">
        <v>48</v>
      </c>
      <c r="L323">
        <v>2016</v>
      </c>
      <c r="M323" t="s">
        <v>56</v>
      </c>
      <c r="N323" t="s">
        <v>55</v>
      </c>
      <c r="P323" s="6" t="s">
        <v>995</v>
      </c>
    </row>
    <row r="324" spans="1:16" x14ac:dyDescent="0.2">
      <c r="A324">
        <v>242132470</v>
      </c>
      <c r="B324" t="s">
        <v>61</v>
      </c>
      <c r="C324" t="s">
        <v>659</v>
      </c>
      <c r="E324" s="22">
        <v>0.11000000000000001</v>
      </c>
      <c r="F324" t="s">
        <v>648</v>
      </c>
      <c r="G324" t="s">
        <v>649</v>
      </c>
      <c r="H324" t="s">
        <v>650</v>
      </c>
      <c r="I324" t="s">
        <v>651</v>
      </c>
      <c r="J324" t="s">
        <v>652</v>
      </c>
      <c r="K324" t="s">
        <v>48</v>
      </c>
      <c r="L324">
        <v>2016</v>
      </c>
      <c r="M324" t="s">
        <v>56</v>
      </c>
      <c r="N324" t="s">
        <v>55</v>
      </c>
      <c r="P324" s="6" t="s">
        <v>996</v>
      </c>
    </row>
    <row r="325" spans="1:16" x14ac:dyDescent="0.2">
      <c r="A325">
        <v>208248363</v>
      </c>
      <c r="B325" t="s">
        <v>61</v>
      </c>
      <c r="C325" t="s">
        <v>659</v>
      </c>
      <c r="E325" s="22">
        <v>0.51</v>
      </c>
      <c r="F325" t="s">
        <v>648</v>
      </c>
      <c r="G325" t="s">
        <v>649</v>
      </c>
      <c r="H325" t="s">
        <v>650</v>
      </c>
      <c r="I325" t="s">
        <v>651</v>
      </c>
      <c r="J325" t="s">
        <v>652</v>
      </c>
      <c r="K325" t="s">
        <v>48</v>
      </c>
      <c r="L325">
        <v>2016</v>
      </c>
      <c r="M325" t="s">
        <v>56</v>
      </c>
      <c r="N325" t="s">
        <v>55</v>
      </c>
      <c r="P325" s="6" t="s">
        <v>997</v>
      </c>
    </row>
    <row r="326" spans="1:16" x14ac:dyDescent="0.2">
      <c r="A326">
        <v>277055951</v>
      </c>
      <c r="B326" t="s">
        <v>61</v>
      </c>
      <c r="C326" t="s">
        <v>659</v>
      </c>
      <c r="E326" s="22">
        <v>0.26</v>
      </c>
      <c r="F326" t="s">
        <v>648</v>
      </c>
      <c r="G326" t="s">
        <v>649</v>
      </c>
      <c r="H326" t="s">
        <v>650</v>
      </c>
      <c r="I326" t="s">
        <v>651</v>
      </c>
      <c r="J326" t="s">
        <v>652</v>
      </c>
      <c r="K326" t="s">
        <v>48</v>
      </c>
      <c r="L326">
        <v>2016</v>
      </c>
      <c r="M326" t="s">
        <v>56</v>
      </c>
      <c r="N326" t="s">
        <v>55</v>
      </c>
      <c r="P326" s="6" t="s">
        <v>998</v>
      </c>
    </row>
    <row r="327" spans="1:16" x14ac:dyDescent="0.2">
      <c r="A327">
        <v>902907559</v>
      </c>
      <c r="B327" t="s">
        <v>61</v>
      </c>
      <c r="C327" t="s">
        <v>659</v>
      </c>
      <c r="E327" s="22">
        <v>0.85999999999999988</v>
      </c>
      <c r="F327" t="s">
        <v>648</v>
      </c>
      <c r="G327" t="s">
        <v>649</v>
      </c>
      <c r="H327" t="s">
        <v>650</v>
      </c>
      <c r="I327" t="s">
        <v>651</v>
      </c>
      <c r="J327" t="s">
        <v>652</v>
      </c>
      <c r="K327" t="s">
        <v>48</v>
      </c>
      <c r="L327">
        <v>2016</v>
      </c>
      <c r="M327" t="s">
        <v>56</v>
      </c>
      <c r="N327" t="s">
        <v>55</v>
      </c>
      <c r="P327" s="6" t="s">
        <v>999</v>
      </c>
    </row>
    <row r="328" spans="1:16" x14ac:dyDescent="0.2">
      <c r="A328">
        <v>528297980</v>
      </c>
      <c r="B328" t="s">
        <v>61</v>
      </c>
      <c r="C328" t="s">
        <v>659</v>
      </c>
      <c r="E328" s="22">
        <v>0.58000000000000007</v>
      </c>
      <c r="F328" t="s">
        <v>648</v>
      </c>
      <c r="G328" t="s">
        <v>649</v>
      </c>
      <c r="H328" t="s">
        <v>650</v>
      </c>
      <c r="I328" t="s">
        <v>651</v>
      </c>
      <c r="J328" t="s">
        <v>652</v>
      </c>
      <c r="K328" t="s">
        <v>48</v>
      </c>
      <c r="L328">
        <v>2016</v>
      </c>
      <c r="M328" t="s">
        <v>56</v>
      </c>
      <c r="N328" t="s">
        <v>55</v>
      </c>
      <c r="P328" s="6" t="s">
        <v>1000</v>
      </c>
    </row>
    <row r="329" spans="1:16" x14ac:dyDescent="0.2">
      <c r="A329">
        <v>444882790</v>
      </c>
      <c r="B329" t="s">
        <v>61</v>
      </c>
      <c r="C329" t="s">
        <v>659</v>
      </c>
      <c r="E329" s="22">
        <v>0.05</v>
      </c>
      <c r="F329" t="s">
        <v>648</v>
      </c>
      <c r="G329" t="s">
        <v>649</v>
      </c>
      <c r="H329" t="s">
        <v>650</v>
      </c>
      <c r="I329" t="s">
        <v>651</v>
      </c>
      <c r="J329" t="s">
        <v>652</v>
      </c>
      <c r="K329" t="s">
        <v>48</v>
      </c>
      <c r="L329">
        <v>2016</v>
      </c>
      <c r="M329" t="s">
        <v>56</v>
      </c>
      <c r="N329" t="s">
        <v>55</v>
      </c>
      <c r="P329" s="6" t="s">
        <v>1001</v>
      </c>
    </row>
    <row r="330" spans="1:16" x14ac:dyDescent="0.2">
      <c r="A330">
        <v>112085131</v>
      </c>
      <c r="B330" t="s">
        <v>61</v>
      </c>
      <c r="C330" t="s">
        <v>659</v>
      </c>
      <c r="E330" s="22">
        <v>0.13</v>
      </c>
      <c r="F330" t="s">
        <v>648</v>
      </c>
      <c r="G330" t="s">
        <v>649</v>
      </c>
      <c r="H330" t="s">
        <v>650</v>
      </c>
      <c r="I330" t="s">
        <v>651</v>
      </c>
      <c r="J330" t="s">
        <v>652</v>
      </c>
      <c r="K330" t="s">
        <v>48</v>
      </c>
      <c r="L330">
        <v>2016</v>
      </c>
      <c r="M330" t="s">
        <v>56</v>
      </c>
      <c r="N330" t="s">
        <v>55</v>
      </c>
      <c r="P330" s="6" t="s">
        <v>1002</v>
      </c>
    </row>
    <row r="331" spans="1:16" x14ac:dyDescent="0.2">
      <c r="A331">
        <v>588642518</v>
      </c>
      <c r="B331" t="s">
        <v>61</v>
      </c>
      <c r="C331" t="s">
        <v>659</v>
      </c>
      <c r="E331" s="22">
        <v>0.94000000000000006</v>
      </c>
      <c r="F331" t="s">
        <v>648</v>
      </c>
      <c r="G331" t="s">
        <v>649</v>
      </c>
      <c r="H331" t="s">
        <v>650</v>
      </c>
      <c r="I331" t="s">
        <v>651</v>
      </c>
      <c r="J331" t="s">
        <v>652</v>
      </c>
      <c r="K331" t="s">
        <v>48</v>
      </c>
      <c r="L331">
        <v>2016</v>
      </c>
      <c r="M331" t="s">
        <v>56</v>
      </c>
      <c r="N331" t="s">
        <v>55</v>
      </c>
      <c r="P331" s="6" t="s">
        <v>1003</v>
      </c>
    </row>
    <row r="332" spans="1:16" x14ac:dyDescent="0.2">
      <c r="A332">
        <v>414520736</v>
      </c>
      <c r="B332" t="s">
        <v>61</v>
      </c>
      <c r="C332" t="s">
        <v>659</v>
      </c>
      <c r="E332" s="22">
        <v>0.80999999999999994</v>
      </c>
      <c r="F332" t="s">
        <v>648</v>
      </c>
      <c r="G332" t="s">
        <v>649</v>
      </c>
      <c r="H332" t="s">
        <v>650</v>
      </c>
      <c r="I332" t="s">
        <v>651</v>
      </c>
      <c r="J332" t="s">
        <v>652</v>
      </c>
      <c r="K332" t="s">
        <v>48</v>
      </c>
      <c r="L332">
        <v>2016</v>
      </c>
      <c r="M332" t="s">
        <v>56</v>
      </c>
      <c r="N332" t="s">
        <v>55</v>
      </c>
      <c r="P332" s="6" t="s">
        <v>1004</v>
      </c>
    </row>
    <row r="333" spans="1:16" x14ac:dyDescent="0.2">
      <c r="A333">
        <v>356558346</v>
      </c>
      <c r="B333" t="s">
        <v>61</v>
      </c>
      <c r="C333" t="s">
        <v>659</v>
      </c>
      <c r="E333" s="22">
        <v>0.42999999999999994</v>
      </c>
      <c r="F333" t="s">
        <v>648</v>
      </c>
      <c r="G333" t="s">
        <v>649</v>
      </c>
      <c r="H333" t="s">
        <v>650</v>
      </c>
      <c r="I333" t="s">
        <v>651</v>
      </c>
      <c r="J333" t="s">
        <v>652</v>
      </c>
      <c r="K333" t="s">
        <v>48</v>
      </c>
      <c r="L333">
        <v>2016</v>
      </c>
      <c r="M333" t="s">
        <v>56</v>
      </c>
      <c r="N333" t="s">
        <v>55</v>
      </c>
      <c r="P333" s="6" t="s">
        <v>1005</v>
      </c>
    </row>
    <row r="334" spans="1:16" x14ac:dyDescent="0.2">
      <c r="A334">
        <v>970698993</v>
      </c>
      <c r="B334" t="s">
        <v>61</v>
      </c>
      <c r="C334" t="s">
        <v>659</v>
      </c>
      <c r="E334" s="22">
        <v>0.95</v>
      </c>
      <c r="F334" t="s">
        <v>648</v>
      </c>
      <c r="G334" t="s">
        <v>649</v>
      </c>
      <c r="H334" t="s">
        <v>650</v>
      </c>
      <c r="I334" t="s">
        <v>651</v>
      </c>
      <c r="J334" t="s">
        <v>652</v>
      </c>
      <c r="K334" t="s">
        <v>48</v>
      </c>
      <c r="L334">
        <v>2016</v>
      </c>
      <c r="M334" t="s">
        <v>56</v>
      </c>
      <c r="N334" t="s">
        <v>55</v>
      </c>
      <c r="P334" s="6" t="s">
        <v>1006</v>
      </c>
    </row>
    <row r="335" spans="1:16" x14ac:dyDescent="0.2">
      <c r="A335">
        <v>633537205</v>
      </c>
      <c r="B335" t="s">
        <v>61</v>
      </c>
      <c r="C335" t="s">
        <v>659</v>
      </c>
      <c r="E335" s="22">
        <v>0.36000000000000004</v>
      </c>
      <c r="F335" t="s">
        <v>648</v>
      </c>
      <c r="G335" t="s">
        <v>649</v>
      </c>
      <c r="H335" t="s">
        <v>650</v>
      </c>
      <c r="I335" t="s">
        <v>651</v>
      </c>
      <c r="J335" t="s">
        <v>652</v>
      </c>
      <c r="K335" t="s">
        <v>48</v>
      </c>
      <c r="L335">
        <v>2016</v>
      </c>
      <c r="M335" t="s">
        <v>56</v>
      </c>
      <c r="N335" t="s">
        <v>55</v>
      </c>
      <c r="P335" s="6" t="s">
        <v>1007</v>
      </c>
    </row>
    <row r="336" spans="1:16" x14ac:dyDescent="0.2">
      <c r="A336">
        <v>534292868</v>
      </c>
      <c r="B336" t="s">
        <v>61</v>
      </c>
      <c r="C336" t="s">
        <v>659</v>
      </c>
      <c r="E336" s="22">
        <v>0.9</v>
      </c>
      <c r="F336" t="s">
        <v>648</v>
      </c>
      <c r="G336" t="s">
        <v>649</v>
      </c>
      <c r="H336" t="s">
        <v>650</v>
      </c>
      <c r="I336" t="s">
        <v>651</v>
      </c>
      <c r="J336" t="s">
        <v>652</v>
      </c>
      <c r="K336" t="s">
        <v>48</v>
      </c>
      <c r="L336">
        <v>2016</v>
      </c>
      <c r="M336" t="s">
        <v>56</v>
      </c>
      <c r="N336" t="s">
        <v>55</v>
      </c>
      <c r="P336" s="6" t="s">
        <v>1008</v>
      </c>
    </row>
    <row r="337" spans="1:16" x14ac:dyDescent="0.2">
      <c r="A337">
        <v>816787809</v>
      </c>
      <c r="B337" t="s">
        <v>61</v>
      </c>
      <c r="C337" t="s">
        <v>659</v>
      </c>
      <c r="E337" s="22">
        <v>0.47000000000000003</v>
      </c>
      <c r="F337" t="s">
        <v>648</v>
      </c>
      <c r="G337" t="s">
        <v>649</v>
      </c>
      <c r="H337" t="s">
        <v>650</v>
      </c>
      <c r="I337" t="s">
        <v>651</v>
      </c>
      <c r="J337" t="s">
        <v>652</v>
      </c>
      <c r="K337" t="s">
        <v>48</v>
      </c>
      <c r="L337">
        <v>2016</v>
      </c>
      <c r="M337" t="s">
        <v>56</v>
      </c>
      <c r="N337" t="s">
        <v>55</v>
      </c>
      <c r="P337" s="6" t="s">
        <v>1009</v>
      </c>
    </row>
    <row r="338" spans="1:16" x14ac:dyDescent="0.2">
      <c r="A338">
        <v>220052551</v>
      </c>
      <c r="B338" t="s">
        <v>61</v>
      </c>
      <c r="C338" t="s">
        <v>659</v>
      </c>
      <c r="E338" s="22">
        <v>0.7400000000000001</v>
      </c>
      <c r="F338" t="s">
        <v>648</v>
      </c>
      <c r="G338" t="s">
        <v>649</v>
      </c>
      <c r="H338" t="s">
        <v>650</v>
      </c>
      <c r="I338" t="s">
        <v>651</v>
      </c>
      <c r="J338" t="s">
        <v>652</v>
      </c>
      <c r="K338" t="s">
        <v>48</v>
      </c>
      <c r="L338">
        <v>2016</v>
      </c>
      <c r="M338" t="s">
        <v>56</v>
      </c>
      <c r="N338" t="s">
        <v>55</v>
      </c>
      <c r="P338" s="6" t="s">
        <v>1010</v>
      </c>
    </row>
    <row r="339" spans="1:16" x14ac:dyDescent="0.2">
      <c r="A339">
        <v>858571733</v>
      </c>
      <c r="B339" t="s">
        <v>61</v>
      </c>
      <c r="C339" t="s">
        <v>659</v>
      </c>
      <c r="E339" s="22">
        <v>0.19</v>
      </c>
      <c r="F339" t="s">
        <v>648</v>
      </c>
      <c r="G339" t="s">
        <v>649</v>
      </c>
      <c r="H339" t="s">
        <v>650</v>
      </c>
      <c r="I339" t="s">
        <v>651</v>
      </c>
      <c r="J339" t="s">
        <v>652</v>
      </c>
      <c r="K339" t="s">
        <v>48</v>
      </c>
      <c r="L339">
        <v>2016</v>
      </c>
      <c r="M339" t="s">
        <v>56</v>
      </c>
      <c r="N339" t="s">
        <v>55</v>
      </c>
      <c r="P339" s="6" t="s">
        <v>1011</v>
      </c>
    </row>
    <row r="340" spans="1:16" x14ac:dyDescent="0.2">
      <c r="A340">
        <v>363436152</v>
      </c>
      <c r="B340" t="s">
        <v>61</v>
      </c>
      <c r="C340" t="s">
        <v>659</v>
      </c>
      <c r="E340" s="22">
        <v>0.21000000000000002</v>
      </c>
      <c r="F340" t="s">
        <v>648</v>
      </c>
      <c r="G340" t="s">
        <v>649</v>
      </c>
      <c r="H340" t="s">
        <v>650</v>
      </c>
      <c r="I340" t="s">
        <v>651</v>
      </c>
      <c r="J340" t="s">
        <v>652</v>
      </c>
      <c r="K340" t="s">
        <v>48</v>
      </c>
      <c r="L340">
        <v>2016</v>
      </c>
      <c r="M340" t="s">
        <v>56</v>
      </c>
      <c r="N340" t="s">
        <v>55</v>
      </c>
      <c r="P340" s="6" t="s">
        <v>1012</v>
      </c>
    </row>
    <row r="341" spans="1:16" x14ac:dyDescent="0.2">
      <c r="A341">
        <v>393495083</v>
      </c>
      <c r="B341" t="s">
        <v>61</v>
      </c>
      <c r="C341" t="s">
        <v>659</v>
      </c>
      <c r="E341" s="22">
        <v>0.90999999999999992</v>
      </c>
      <c r="F341" t="s">
        <v>648</v>
      </c>
      <c r="G341" t="s">
        <v>649</v>
      </c>
      <c r="H341" t="s">
        <v>650</v>
      </c>
      <c r="I341" t="s">
        <v>651</v>
      </c>
      <c r="J341" t="s">
        <v>652</v>
      </c>
      <c r="K341" t="s">
        <v>48</v>
      </c>
      <c r="L341">
        <v>2016</v>
      </c>
      <c r="M341" t="s">
        <v>56</v>
      </c>
      <c r="N341" t="s">
        <v>55</v>
      </c>
      <c r="P341" s="6" t="s">
        <v>1013</v>
      </c>
    </row>
    <row r="342" spans="1:16" x14ac:dyDescent="0.2">
      <c r="A342">
        <v>769635714</v>
      </c>
      <c r="B342" t="s">
        <v>61</v>
      </c>
      <c r="C342" t="s">
        <v>659</v>
      </c>
      <c r="E342" s="22">
        <v>0.88000000000000012</v>
      </c>
      <c r="F342" t="s">
        <v>648</v>
      </c>
      <c r="G342" t="s">
        <v>649</v>
      </c>
      <c r="H342" t="s">
        <v>650</v>
      </c>
      <c r="I342" t="s">
        <v>651</v>
      </c>
      <c r="J342" t="s">
        <v>652</v>
      </c>
      <c r="K342" t="s">
        <v>48</v>
      </c>
      <c r="L342">
        <v>2016</v>
      </c>
      <c r="M342" t="s">
        <v>56</v>
      </c>
      <c r="N342" t="s">
        <v>55</v>
      </c>
      <c r="P342" s="6" t="s">
        <v>1014</v>
      </c>
    </row>
    <row r="343" spans="1:16" x14ac:dyDescent="0.2">
      <c r="A343">
        <v>373048949</v>
      </c>
      <c r="B343" t="s">
        <v>61</v>
      </c>
      <c r="C343" t="s">
        <v>659</v>
      </c>
      <c r="E343" s="22">
        <v>0.8</v>
      </c>
      <c r="F343" t="s">
        <v>648</v>
      </c>
      <c r="G343" t="s">
        <v>649</v>
      </c>
      <c r="H343" t="s">
        <v>650</v>
      </c>
      <c r="I343" t="s">
        <v>651</v>
      </c>
      <c r="J343" t="s">
        <v>652</v>
      </c>
      <c r="K343" t="s">
        <v>48</v>
      </c>
      <c r="L343">
        <v>2016</v>
      </c>
      <c r="M343" t="s">
        <v>56</v>
      </c>
      <c r="N343" t="s">
        <v>55</v>
      </c>
      <c r="P343" s="6" t="s">
        <v>1015</v>
      </c>
    </row>
    <row r="344" spans="1:16" x14ac:dyDescent="0.2">
      <c r="A344">
        <v>357061292</v>
      </c>
      <c r="B344" t="s">
        <v>61</v>
      </c>
      <c r="C344" t="s">
        <v>659</v>
      </c>
      <c r="E344" s="22">
        <v>0.1</v>
      </c>
      <c r="F344" t="s">
        <v>648</v>
      </c>
      <c r="G344" t="s">
        <v>649</v>
      </c>
      <c r="H344" t="s">
        <v>650</v>
      </c>
      <c r="I344" t="s">
        <v>651</v>
      </c>
      <c r="J344" t="s">
        <v>652</v>
      </c>
      <c r="K344" t="s">
        <v>48</v>
      </c>
      <c r="L344">
        <v>2016</v>
      </c>
      <c r="M344" t="s">
        <v>56</v>
      </c>
      <c r="N344" t="s">
        <v>55</v>
      </c>
      <c r="P344" s="6" t="s">
        <v>1016</v>
      </c>
    </row>
    <row r="345" spans="1:16" x14ac:dyDescent="0.2">
      <c r="A345">
        <v>837310284</v>
      </c>
      <c r="B345" t="s">
        <v>61</v>
      </c>
      <c r="C345" t="s">
        <v>659</v>
      </c>
      <c r="E345" s="22">
        <v>0.45</v>
      </c>
      <c r="F345" t="s">
        <v>648</v>
      </c>
      <c r="G345" t="s">
        <v>649</v>
      </c>
      <c r="H345" t="s">
        <v>650</v>
      </c>
      <c r="I345" t="s">
        <v>651</v>
      </c>
      <c r="J345" t="s">
        <v>652</v>
      </c>
      <c r="K345" t="s">
        <v>48</v>
      </c>
      <c r="L345">
        <v>2016</v>
      </c>
      <c r="M345" t="s">
        <v>56</v>
      </c>
      <c r="N345" t="s">
        <v>55</v>
      </c>
      <c r="P345" s="6" t="s">
        <v>1017</v>
      </c>
    </row>
    <row r="346" spans="1:16" x14ac:dyDescent="0.2">
      <c r="A346">
        <v>815854164</v>
      </c>
      <c r="B346" t="s">
        <v>61</v>
      </c>
      <c r="C346" t="s">
        <v>659</v>
      </c>
      <c r="E346" s="22">
        <v>0.89000000000000012</v>
      </c>
      <c r="F346" t="s">
        <v>648</v>
      </c>
      <c r="G346" t="s">
        <v>649</v>
      </c>
      <c r="H346" t="s">
        <v>650</v>
      </c>
      <c r="I346" t="s">
        <v>651</v>
      </c>
      <c r="J346" t="s">
        <v>652</v>
      </c>
      <c r="K346" t="s">
        <v>48</v>
      </c>
      <c r="L346">
        <v>2016</v>
      </c>
      <c r="M346" t="s">
        <v>56</v>
      </c>
      <c r="N346" t="s">
        <v>55</v>
      </c>
      <c r="P346" s="6" t="s">
        <v>1018</v>
      </c>
    </row>
    <row r="347" spans="1:16" x14ac:dyDescent="0.2">
      <c r="A347">
        <v>315378369</v>
      </c>
      <c r="B347" t="s">
        <v>61</v>
      </c>
      <c r="C347" t="s">
        <v>659</v>
      </c>
      <c r="E347" s="22">
        <v>0.12000000000000002</v>
      </c>
      <c r="F347" t="s">
        <v>648</v>
      </c>
      <c r="G347" t="s">
        <v>649</v>
      </c>
      <c r="H347" t="s">
        <v>650</v>
      </c>
      <c r="I347" t="s">
        <v>651</v>
      </c>
      <c r="J347" t="s">
        <v>652</v>
      </c>
      <c r="K347" t="s">
        <v>48</v>
      </c>
      <c r="L347">
        <v>2016</v>
      </c>
      <c r="M347" t="s">
        <v>56</v>
      </c>
      <c r="N347" t="s">
        <v>55</v>
      </c>
      <c r="P347" s="6" t="s">
        <v>1019</v>
      </c>
    </row>
    <row r="348" spans="1:16" x14ac:dyDescent="0.2">
      <c r="A348">
        <v>564410540</v>
      </c>
      <c r="B348" t="s">
        <v>61</v>
      </c>
      <c r="C348" t="s">
        <v>659</v>
      </c>
      <c r="E348" s="22">
        <v>0.21000000000000002</v>
      </c>
      <c r="F348" t="s">
        <v>648</v>
      </c>
      <c r="G348" t="s">
        <v>649</v>
      </c>
      <c r="H348" t="s">
        <v>650</v>
      </c>
      <c r="I348" t="s">
        <v>651</v>
      </c>
      <c r="J348" t="s">
        <v>652</v>
      </c>
      <c r="K348" t="s">
        <v>48</v>
      </c>
      <c r="L348">
        <v>2016</v>
      </c>
      <c r="M348" t="s">
        <v>56</v>
      </c>
      <c r="N348" t="s">
        <v>55</v>
      </c>
      <c r="P348" s="6" t="s">
        <v>1020</v>
      </c>
    </row>
    <row r="349" spans="1:16" x14ac:dyDescent="0.2">
      <c r="A349">
        <v>126539887</v>
      </c>
      <c r="B349" t="s">
        <v>61</v>
      </c>
      <c r="C349" t="s">
        <v>659</v>
      </c>
      <c r="E349" s="22">
        <v>7.0000000000000007E-2</v>
      </c>
      <c r="F349" t="s">
        <v>648</v>
      </c>
      <c r="G349" t="s">
        <v>649</v>
      </c>
      <c r="H349" t="s">
        <v>650</v>
      </c>
      <c r="I349" t="s">
        <v>651</v>
      </c>
      <c r="J349" t="s">
        <v>652</v>
      </c>
      <c r="K349" t="s">
        <v>48</v>
      </c>
      <c r="L349">
        <v>2016</v>
      </c>
      <c r="M349" t="s">
        <v>56</v>
      </c>
      <c r="N349" t="s">
        <v>55</v>
      </c>
      <c r="P349" s="6" t="s">
        <v>1021</v>
      </c>
    </row>
    <row r="350" spans="1:16" x14ac:dyDescent="0.2">
      <c r="A350">
        <v>563937624</v>
      </c>
      <c r="B350" t="s">
        <v>61</v>
      </c>
      <c r="C350" t="s">
        <v>659</v>
      </c>
      <c r="E350" s="22">
        <v>0.05</v>
      </c>
      <c r="F350" t="s">
        <v>648</v>
      </c>
      <c r="G350" t="s">
        <v>649</v>
      </c>
      <c r="H350" t="s">
        <v>650</v>
      </c>
      <c r="I350" t="s">
        <v>651</v>
      </c>
      <c r="J350" t="s">
        <v>652</v>
      </c>
      <c r="K350" t="s">
        <v>48</v>
      </c>
      <c r="L350">
        <v>2016</v>
      </c>
      <c r="M350" t="s">
        <v>56</v>
      </c>
      <c r="N350" t="s">
        <v>55</v>
      </c>
      <c r="P350" s="6" t="s">
        <v>1022</v>
      </c>
    </row>
    <row r="351" spans="1:16" x14ac:dyDescent="0.2">
      <c r="A351">
        <v>684291511</v>
      </c>
      <c r="B351" t="s">
        <v>61</v>
      </c>
      <c r="C351" t="s">
        <v>659</v>
      </c>
      <c r="E351" s="22">
        <v>0.37000000000000005</v>
      </c>
      <c r="F351" t="s">
        <v>648</v>
      </c>
      <c r="G351" t="s">
        <v>649</v>
      </c>
      <c r="H351" t="s">
        <v>650</v>
      </c>
      <c r="I351" t="s">
        <v>651</v>
      </c>
      <c r="J351" t="s">
        <v>652</v>
      </c>
      <c r="K351" t="s">
        <v>48</v>
      </c>
      <c r="L351">
        <v>2016</v>
      </c>
      <c r="M351" t="s">
        <v>56</v>
      </c>
      <c r="N351" t="s">
        <v>55</v>
      </c>
      <c r="P351" s="6" t="s">
        <v>1023</v>
      </c>
    </row>
    <row r="352" spans="1:16" x14ac:dyDescent="0.2">
      <c r="A352">
        <v>598829620</v>
      </c>
      <c r="B352" t="s">
        <v>61</v>
      </c>
      <c r="C352" t="s">
        <v>76</v>
      </c>
      <c r="E352" s="22">
        <v>0.4</v>
      </c>
      <c r="F352" t="s">
        <v>648</v>
      </c>
      <c r="G352" t="s">
        <v>649</v>
      </c>
      <c r="H352" t="s">
        <v>650</v>
      </c>
      <c r="I352" t="s">
        <v>651</v>
      </c>
      <c r="J352" t="s">
        <v>652</v>
      </c>
      <c r="K352" t="s">
        <v>48</v>
      </c>
      <c r="L352">
        <v>2016</v>
      </c>
      <c r="M352" t="s">
        <v>56</v>
      </c>
      <c r="N352" t="s">
        <v>55</v>
      </c>
      <c r="P352" s="6" t="s">
        <v>1024</v>
      </c>
    </row>
    <row r="353" spans="1:16" x14ac:dyDescent="0.2">
      <c r="A353">
        <v>684014860</v>
      </c>
      <c r="B353" t="s">
        <v>61</v>
      </c>
      <c r="C353" t="s">
        <v>76</v>
      </c>
      <c r="E353" s="22">
        <v>0.56000000000000005</v>
      </c>
      <c r="F353" t="s">
        <v>648</v>
      </c>
      <c r="G353" t="s">
        <v>649</v>
      </c>
      <c r="H353" t="s">
        <v>650</v>
      </c>
      <c r="I353" t="s">
        <v>651</v>
      </c>
      <c r="J353" t="s">
        <v>652</v>
      </c>
      <c r="K353" t="s">
        <v>48</v>
      </c>
      <c r="L353">
        <v>2016</v>
      </c>
      <c r="M353" t="s">
        <v>56</v>
      </c>
      <c r="N353" t="s">
        <v>55</v>
      </c>
      <c r="P353" s="6" t="s">
        <v>1025</v>
      </c>
    </row>
    <row r="354" spans="1:16" x14ac:dyDescent="0.2">
      <c r="A354">
        <v>843228181</v>
      </c>
      <c r="B354" t="s">
        <v>61</v>
      </c>
      <c r="C354" t="s">
        <v>76</v>
      </c>
      <c r="E354" s="22">
        <v>0.42000000000000004</v>
      </c>
      <c r="F354" t="s">
        <v>648</v>
      </c>
      <c r="G354" t="s">
        <v>649</v>
      </c>
      <c r="H354" t="s">
        <v>650</v>
      </c>
      <c r="I354" t="s">
        <v>651</v>
      </c>
      <c r="J354" t="s">
        <v>652</v>
      </c>
      <c r="K354" t="s">
        <v>48</v>
      </c>
      <c r="L354">
        <v>2016</v>
      </c>
      <c r="M354" t="s">
        <v>56</v>
      </c>
      <c r="N354" t="s">
        <v>55</v>
      </c>
      <c r="P354" s="6" t="s">
        <v>1026</v>
      </c>
    </row>
    <row r="355" spans="1:16" x14ac:dyDescent="0.2">
      <c r="A355">
        <v>820549378</v>
      </c>
      <c r="B355" t="s">
        <v>61</v>
      </c>
      <c r="C355" t="s">
        <v>76</v>
      </c>
      <c r="E355" s="22">
        <v>0.26</v>
      </c>
      <c r="F355" t="s">
        <v>648</v>
      </c>
      <c r="G355" t="s">
        <v>649</v>
      </c>
      <c r="H355" t="s">
        <v>650</v>
      </c>
      <c r="I355" t="s">
        <v>651</v>
      </c>
      <c r="J355" t="s">
        <v>652</v>
      </c>
      <c r="K355" t="s">
        <v>48</v>
      </c>
      <c r="L355">
        <v>2016</v>
      </c>
      <c r="M355" t="s">
        <v>56</v>
      </c>
      <c r="N355" t="s">
        <v>55</v>
      </c>
      <c r="P355" s="6" t="s">
        <v>1027</v>
      </c>
    </row>
    <row r="356" spans="1:16" x14ac:dyDescent="0.2">
      <c r="A356">
        <v>533572169</v>
      </c>
      <c r="B356" t="s">
        <v>61</v>
      </c>
      <c r="C356" t="s">
        <v>76</v>
      </c>
      <c r="E356" s="22">
        <v>0.04</v>
      </c>
      <c r="F356" t="s">
        <v>648</v>
      </c>
      <c r="G356" t="s">
        <v>649</v>
      </c>
      <c r="H356" t="s">
        <v>650</v>
      </c>
      <c r="I356" t="s">
        <v>651</v>
      </c>
      <c r="J356" t="s">
        <v>652</v>
      </c>
      <c r="K356" t="s">
        <v>48</v>
      </c>
      <c r="L356">
        <v>2016</v>
      </c>
      <c r="M356" t="s">
        <v>56</v>
      </c>
      <c r="N356" t="s">
        <v>55</v>
      </c>
      <c r="P356" s="6" t="s">
        <v>1028</v>
      </c>
    </row>
    <row r="357" spans="1:16" x14ac:dyDescent="0.2">
      <c r="A357">
        <v>975325712</v>
      </c>
      <c r="B357" t="s">
        <v>61</v>
      </c>
      <c r="C357" t="s">
        <v>76</v>
      </c>
      <c r="E357" s="22">
        <v>0.36</v>
      </c>
      <c r="F357" t="s">
        <v>648</v>
      </c>
      <c r="G357" t="s">
        <v>649</v>
      </c>
      <c r="H357" t="s">
        <v>650</v>
      </c>
      <c r="I357" t="s">
        <v>651</v>
      </c>
      <c r="J357" t="s">
        <v>652</v>
      </c>
      <c r="K357" t="s">
        <v>48</v>
      </c>
      <c r="L357">
        <v>2016</v>
      </c>
      <c r="M357" t="s">
        <v>56</v>
      </c>
      <c r="N357" t="s">
        <v>55</v>
      </c>
      <c r="P357" s="6" t="s">
        <v>1029</v>
      </c>
    </row>
    <row r="358" spans="1:16" x14ac:dyDescent="0.2">
      <c r="A358">
        <v>310082419</v>
      </c>
      <c r="B358" t="s">
        <v>61</v>
      </c>
      <c r="C358" t="s">
        <v>76</v>
      </c>
      <c r="E358" s="22">
        <v>0.22000000000000003</v>
      </c>
      <c r="F358" t="s">
        <v>648</v>
      </c>
      <c r="G358" t="s">
        <v>649</v>
      </c>
      <c r="H358" t="s">
        <v>650</v>
      </c>
      <c r="I358" t="s">
        <v>651</v>
      </c>
      <c r="J358" t="s">
        <v>652</v>
      </c>
      <c r="K358" t="s">
        <v>48</v>
      </c>
      <c r="L358">
        <v>2016</v>
      </c>
      <c r="M358" t="s">
        <v>56</v>
      </c>
      <c r="N358" t="s">
        <v>55</v>
      </c>
      <c r="P358" s="6" t="s">
        <v>1030</v>
      </c>
    </row>
    <row r="359" spans="1:16" x14ac:dyDescent="0.2">
      <c r="A359">
        <v>242132470</v>
      </c>
      <c r="B359" t="s">
        <v>61</v>
      </c>
      <c r="C359" t="s">
        <v>76</v>
      </c>
      <c r="E359" s="22">
        <v>0.56000000000000005</v>
      </c>
      <c r="F359" t="s">
        <v>648</v>
      </c>
      <c r="G359" t="s">
        <v>649</v>
      </c>
      <c r="H359" t="s">
        <v>650</v>
      </c>
      <c r="I359" t="s">
        <v>651</v>
      </c>
      <c r="J359" t="s">
        <v>652</v>
      </c>
      <c r="K359" t="s">
        <v>48</v>
      </c>
      <c r="L359">
        <v>2016</v>
      </c>
      <c r="M359" t="s">
        <v>56</v>
      </c>
      <c r="N359" t="s">
        <v>55</v>
      </c>
      <c r="P359" s="6" t="s">
        <v>1031</v>
      </c>
    </row>
    <row r="360" spans="1:16" x14ac:dyDescent="0.2">
      <c r="A360">
        <v>208248363</v>
      </c>
      <c r="B360" t="s">
        <v>61</v>
      </c>
      <c r="C360" t="s">
        <v>76</v>
      </c>
      <c r="E360" s="22">
        <v>0.4</v>
      </c>
      <c r="F360" t="s">
        <v>648</v>
      </c>
      <c r="G360" t="s">
        <v>649</v>
      </c>
      <c r="H360" t="s">
        <v>650</v>
      </c>
      <c r="I360" t="s">
        <v>651</v>
      </c>
      <c r="J360" t="s">
        <v>652</v>
      </c>
      <c r="K360" t="s">
        <v>48</v>
      </c>
      <c r="L360">
        <v>2016</v>
      </c>
      <c r="M360" t="s">
        <v>56</v>
      </c>
      <c r="N360" t="s">
        <v>55</v>
      </c>
      <c r="P360" s="6" t="s">
        <v>1032</v>
      </c>
    </row>
    <row r="361" spans="1:16" x14ac:dyDescent="0.2">
      <c r="A361">
        <v>277055951</v>
      </c>
      <c r="B361" t="s">
        <v>61</v>
      </c>
      <c r="C361" t="s">
        <v>76</v>
      </c>
      <c r="E361" s="22">
        <v>0</v>
      </c>
      <c r="F361" t="s">
        <v>648</v>
      </c>
      <c r="G361" t="s">
        <v>649</v>
      </c>
      <c r="H361" t="s">
        <v>650</v>
      </c>
      <c r="I361" t="s">
        <v>651</v>
      </c>
      <c r="J361" t="s">
        <v>652</v>
      </c>
      <c r="K361" t="s">
        <v>48</v>
      </c>
      <c r="L361">
        <v>2016</v>
      </c>
      <c r="M361" t="s">
        <v>56</v>
      </c>
      <c r="N361" t="s">
        <v>55</v>
      </c>
      <c r="P361" s="6" t="s">
        <v>1033</v>
      </c>
    </row>
    <row r="362" spans="1:16" x14ac:dyDescent="0.2">
      <c r="A362">
        <v>902907559</v>
      </c>
      <c r="B362" t="s">
        <v>61</v>
      </c>
      <c r="C362" t="s">
        <v>76</v>
      </c>
      <c r="E362" s="22">
        <v>0.12000000000000002</v>
      </c>
      <c r="F362" t="s">
        <v>648</v>
      </c>
      <c r="G362" t="s">
        <v>649</v>
      </c>
      <c r="H362" t="s">
        <v>650</v>
      </c>
      <c r="I362" t="s">
        <v>651</v>
      </c>
      <c r="J362" t="s">
        <v>652</v>
      </c>
      <c r="K362" t="s">
        <v>48</v>
      </c>
      <c r="L362">
        <v>2016</v>
      </c>
      <c r="M362" t="s">
        <v>56</v>
      </c>
      <c r="N362" t="s">
        <v>55</v>
      </c>
      <c r="P362" s="6" t="s">
        <v>1034</v>
      </c>
    </row>
    <row r="363" spans="1:16" x14ac:dyDescent="0.2">
      <c r="A363">
        <v>528297980</v>
      </c>
      <c r="B363" t="s">
        <v>61</v>
      </c>
      <c r="C363" t="s">
        <v>76</v>
      </c>
      <c r="E363" s="22">
        <v>0.62</v>
      </c>
      <c r="F363" t="s">
        <v>648</v>
      </c>
      <c r="G363" t="s">
        <v>649</v>
      </c>
      <c r="H363" t="s">
        <v>650</v>
      </c>
      <c r="I363" t="s">
        <v>651</v>
      </c>
      <c r="J363" t="s">
        <v>652</v>
      </c>
      <c r="K363" t="s">
        <v>48</v>
      </c>
      <c r="L363">
        <v>2016</v>
      </c>
      <c r="M363" t="s">
        <v>56</v>
      </c>
      <c r="N363" t="s">
        <v>55</v>
      </c>
      <c r="P363" s="6" t="s">
        <v>1035</v>
      </c>
    </row>
    <row r="364" spans="1:16" x14ac:dyDescent="0.2">
      <c r="A364">
        <v>444882790</v>
      </c>
      <c r="B364" t="s">
        <v>61</v>
      </c>
      <c r="C364" t="s">
        <v>76</v>
      </c>
      <c r="E364" s="22">
        <v>0.14000000000000001</v>
      </c>
      <c r="F364" t="s">
        <v>648</v>
      </c>
      <c r="G364" t="s">
        <v>649</v>
      </c>
      <c r="H364" t="s">
        <v>650</v>
      </c>
      <c r="I364" t="s">
        <v>651</v>
      </c>
      <c r="J364" t="s">
        <v>652</v>
      </c>
      <c r="K364" t="s">
        <v>48</v>
      </c>
      <c r="L364">
        <v>2016</v>
      </c>
      <c r="M364" t="s">
        <v>56</v>
      </c>
      <c r="N364" t="s">
        <v>55</v>
      </c>
      <c r="P364" s="6" t="s">
        <v>1036</v>
      </c>
    </row>
    <row r="365" spans="1:16" x14ac:dyDescent="0.2">
      <c r="A365">
        <v>112085131</v>
      </c>
      <c r="B365" t="s">
        <v>61</v>
      </c>
      <c r="C365" t="s">
        <v>76</v>
      </c>
      <c r="E365" s="22">
        <v>0.18</v>
      </c>
      <c r="F365" t="s">
        <v>648</v>
      </c>
      <c r="G365" t="s">
        <v>649</v>
      </c>
      <c r="H365" t="s">
        <v>650</v>
      </c>
      <c r="I365" t="s">
        <v>651</v>
      </c>
      <c r="J365" t="s">
        <v>652</v>
      </c>
      <c r="K365" t="s">
        <v>48</v>
      </c>
      <c r="L365">
        <v>2016</v>
      </c>
      <c r="M365" t="s">
        <v>56</v>
      </c>
      <c r="N365" t="s">
        <v>55</v>
      </c>
      <c r="P365" s="6" t="s">
        <v>1037</v>
      </c>
    </row>
    <row r="366" spans="1:16" x14ac:dyDescent="0.2">
      <c r="A366">
        <v>588642518</v>
      </c>
      <c r="B366" t="s">
        <v>61</v>
      </c>
      <c r="C366" t="s">
        <v>76</v>
      </c>
      <c r="E366" s="22">
        <v>0.68</v>
      </c>
      <c r="F366" t="s">
        <v>648</v>
      </c>
      <c r="G366" t="s">
        <v>649</v>
      </c>
      <c r="H366" t="s">
        <v>650</v>
      </c>
      <c r="I366" t="s">
        <v>651</v>
      </c>
      <c r="J366" t="s">
        <v>652</v>
      </c>
      <c r="K366" t="s">
        <v>48</v>
      </c>
      <c r="L366">
        <v>2016</v>
      </c>
      <c r="M366" t="s">
        <v>56</v>
      </c>
      <c r="N366" t="s">
        <v>55</v>
      </c>
      <c r="P366" s="6" t="s">
        <v>1038</v>
      </c>
    </row>
    <row r="367" spans="1:16" x14ac:dyDescent="0.2">
      <c r="A367">
        <v>414520736</v>
      </c>
      <c r="B367" t="s">
        <v>61</v>
      </c>
      <c r="C367" t="s">
        <v>76</v>
      </c>
      <c r="E367" s="22">
        <v>0.14000000000000001</v>
      </c>
      <c r="F367" t="s">
        <v>648</v>
      </c>
      <c r="G367" t="s">
        <v>649</v>
      </c>
      <c r="H367" t="s">
        <v>650</v>
      </c>
      <c r="I367" t="s">
        <v>651</v>
      </c>
      <c r="J367" t="s">
        <v>652</v>
      </c>
      <c r="K367" t="s">
        <v>48</v>
      </c>
      <c r="L367">
        <v>2016</v>
      </c>
      <c r="M367" t="s">
        <v>56</v>
      </c>
      <c r="N367" t="s">
        <v>55</v>
      </c>
      <c r="P367" s="6" t="s">
        <v>1039</v>
      </c>
    </row>
    <row r="368" spans="1:16" x14ac:dyDescent="0.2">
      <c r="A368">
        <v>356558346</v>
      </c>
      <c r="B368" t="s">
        <v>61</v>
      </c>
      <c r="C368" t="s">
        <v>76</v>
      </c>
      <c r="E368" s="22">
        <v>0.04</v>
      </c>
      <c r="F368" t="s">
        <v>648</v>
      </c>
      <c r="G368" t="s">
        <v>649</v>
      </c>
      <c r="H368" t="s">
        <v>650</v>
      </c>
      <c r="I368" t="s">
        <v>651</v>
      </c>
      <c r="J368" t="s">
        <v>652</v>
      </c>
      <c r="K368" t="s">
        <v>48</v>
      </c>
      <c r="L368">
        <v>2016</v>
      </c>
      <c r="M368" t="s">
        <v>56</v>
      </c>
      <c r="N368" t="s">
        <v>55</v>
      </c>
      <c r="P368" s="6" t="s">
        <v>1040</v>
      </c>
    </row>
    <row r="369" spans="1:16" x14ac:dyDescent="0.2">
      <c r="A369">
        <v>970698993</v>
      </c>
      <c r="B369" t="s">
        <v>61</v>
      </c>
      <c r="C369" t="s">
        <v>76</v>
      </c>
      <c r="E369" s="22">
        <v>0.08</v>
      </c>
      <c r="F369" t="s">
        <v>648</v>
      </c>
      <c r="G369" t="s">
        <v>649</v>
      </c>
      <c r="H369" t="s">
        <v>650</v>
      </c>
      <c r="I369" t="s">
        <v>651</v>
      </c>
      <c r="J369" t="s">
        <v>652</v>
      </c>
      <c r="K369" t="s">
        <v>48</v>
      </c>
      <c r="L369">
        <v>2016</v>
      </c>
      <c r="M369" t="s">
        <v>56</v>
      </c>
      <c r="N369" t="s">
        <v>55</v>
      </c>
      <c r="P369" s="6" t="s">
        <v>1041</v>
      </c>
    </row>
    <row r="370" spans="1:16" x14ac:dyDescent="0.2">
      <c r="A370">
        <v>633537205</v>
      </c>
      <c r="B370" t="s">
        <v>61</v>
      </c>
      <c r="C370" t="s">
        <v>76</v>
      </c>
      <c r="E370" s="22">
        <v>0.1</v>
      </c>
      <c r="F370" t="s">
        <v>648</v>
      </c>
      <c r="G370" t="s">
        <v>649</v>
      </c>
      <c r="H370" t="s">
        <v>650</v>
      </c>
      <c r="I370" t="s">
        <v>651</v>
      </c>
      <c r="J370" t="s">
        <v>652</v>
      </c>
      <c r="K370" t="s">
        <v>48</v>
      </c>
      <c r="L370">
        <v>2016</v>
      </c>
      <c r="M370" t="s">
        <v>56</v>
      </c>
      <c r="N370" t="s">
        <v>55</v>
      </c>
      <c r="P370" s="6" t="s">
        <v>1042</v>
      </c>
    </row>
    <row r="371" spans="1:16" x14ac:dyDescent="0.2">
      <c r="A371">
        <v>534292868</v>
      </c>
      <c r="B371" t="s">
        <v>61</v>
      </c>
      <c r="C371" t="s">
        <v>76</v>
      </c>
      <c r="E371" s="22">
        <v>0.08</v>
      </c>
      <c r="F371" t="s">
        <v>648</v>
      </c>
      <c r="G371" t="s">
        <v>649</v>
      </c>
      <c r="H371" t="s">
        <v>650</v>
      </c>
      <c r="I371" t="s">
        <v>651</v>
      </c>
      <c r="J371" t="s">
        <v>652</v>
      </c>
      <c r="K371" t="s">
        <v>48</v>
      </c>
      <c r="L371">
        <v>2016</v>
      </c>
      <c r="M371" t="s">
        <v>56</v>
      </c>
      <c r="N371" t="s">
        <v>55</v>
      </c>
      <c r="P371" s="6" t="s">
        <v>1043</v>
      </c>
    </row>
    <row r="372" spans="1:16" x14ac:dyDescent="0.2">
      <c r="A372">
        <v>816787809</v>
      </c>
      <c r="B372" t="s">
        <v>61</v>
      </c>
      <c r="C372" t="s">
        <v>76</v>
      </c>
      <c r="E372" s="22">
        <v>0.64</v>
      </c>
      <c r="F372" t="s">
        <v>648</v>
      </c>
      <c r="G372" t="s">
        <v>649</v>
      </c>
      <c r="H372" t="s">
        <v>650</v>
      </c>
      <c r="I372" t="s">
        <v>651</v>
      </c>
      <c r="J372" t="s">
        <v>652</v>
      </c>
      <c r="K372" t="s">
        <v>48</v>
      </c>
      <c r="L372">
        <v>2016</v>
      </c>
      <c r="M372" t="s">
        <v>56</v>
      </c>
      <c r="N372" t="s">
        <v>55</v>
      </c>
      <c r="P372" s="6" t="s">
        <v>1044</v>
      </c>
    </row>
    <row r="373" spans="1:16" x14ac:dyDescent="0.2">
      <c r="A373">
        <v>220052551</v>
      </c>
      <c r="B373" t="s">
        <v>61</v>
      </c>
      <c r="C373" t="s">
        <v>76</v>
      </c>
      <c r="E373" s="22">
        <v>0.14000000000000001</v>
      </c>
      <c r="F373" t="s">
        <v>648</v>
      </c>
      <c r="G373" t="s">
        <v>649</v>
      </c>
      <c r="H373" t="s">
        <v>650</v>
      </c>
      <c r="I373" t="s">
        <v>651</v>
      </c>
      <c r="J373" t="s">
        <v>652</v>
      </c>
      <c r="K373" t="s">
        <v>48</v>
      </c>
      <c r="L373">
        <v>2016</v>
      </c>
      <c r="M373" t="s">
        <v>56</v>
      </c>
      <c r="N373" t="s">
        <v>55</v>
      </c>
      <c r="P373" s="6" t="s">
        <v>1045</v>
      </c>
    </row>
    <row r="374" spans="1:16" x14ac:dyDescent="0.2">
      <c r="A374">
        <v>858571733</v>
      </c>
      <c r="B374" t="s">
        <v>61</v>
      </c>
      <c r="C374" t="s">
        <v>76</v>
      </c>
      <c r="E374" s="22">
        <v>0.16</v>
      </c>
      <c r="F374" t="s">
        <v>648</v>
      </c>
      <c r="G374" t="s">
        <v>649</v>
      </c>
      <c r="H374" t="s">
        <v>650</v>
      </c>
      <c r="I374" t="s">
        <v>651</v>
      </c>
      <c r="J374" t="s">
        <v>652</v>
      </c>
      <c r="K374" t="s">
        <v>48</v>
      </c>
      <c r="L374">
        <v>2016</v>
      </c>
      <c r="M374" t="s">
        <v>56</v>
      </c>
      <c r="N374" t="s">
        <v>55</v>
      </c>
      <c r="P374" s="6" t="s">
        <v>1046</v>
      </c>
    </row>
    <row r="375" spans="1:16" x14ac:dyDescent="0.2">
      <c r="A375">
        <v>363436152</v>
      </c>
      <c r="B375" t="s">
        <v>61</v>
      </c>
      <c r="C375" t="s">
        <v>76</v>
      </c>
      <c r="E375" s="22">
        <v>0.46000000000000008</v>
      </c>
      <c r="F375" t="s">
        <v>648</v>
      </c>
      <c r="G375" t="s">
        <v>649</v>
      </c>
      <c r="H375" t="s">
        <v>650</v>
      </c>
      <c r="I375" t="s">
        <v>651</v>
      </c>
      <c r="J375" t="s">
        <v>652</v>
      </c>
      <c r="K375" t="s">
        <v>48</v>
      </c>
      <c r="L375">
        <v>2016</v>
      </c>
      <c r="M375" t="s">
        <v>56</v>
      </c>
      <c r="N375" t="s">
        <v>55</v>
      </c>
      <c r="P375" s="6" t="s">
        <v>1047</v>
      </c>
    </row>
    <row r="376" spans="1:16" x14ac:dyDescent="0.2">
      <c r="A376">
        <v>393495083</v>
      </c>
      <c r="B376" t="s">
        <v>61</v>
      </c>
      <c r="C376" t="s">
        <v>76</v>
      </c>
      <c r="E376" s="22">
        <v>0.18</v>
      </c>
      <c r="F376" t="s">
        <v>648</v>
      </c>
      <c r="G376" t="s">
        <v>649</v>
      </c>
      <c r="H376" t="s">
        <v>650</v>
      </c>
      <c r="I376" t="s">
        <v>651</v>
      </c>
      <c r="J376" t="s">
        <v>652</v>
      </c>
      <c r="K376" t="s">
        <v>48</v>
      </c>
      <c r="L376">
        <v>2016</v>
      </c>
      <c r="M376" t="s">
        <v>56</v>
      </c>
      <c r="N376" t="s">
        <v>55</v>
      </c>
      <c r="P376" s="6" t="s">
        <v>1048</v>
      </c>
    </row>
    <row r="377" spans="1:16" x14ac:dyDescent="0.2">
      <c r="A377">
        <v>769635714</v>
      </c>
      <c r="B377" t="s">
        <v>61</v>
      </c>
      <c r="C377" t="s">
        <v>76</v>
      </c>
      <c r="E377" s="22">
        <v>0.64</v>
      </c>
      <c r="F377" t="s">
        <v>648</v>
      </c>
      <c r="G377" t="s">
        <v>649</v>
      </c>
      <c r="H377" t="s">
        <v>650</v>
      </c>
      <c r="I377" t="s">
        <v>651</v>
      </c>
      <c r="J377" t="s">
        <v>652</v>
      </c>
      <c r="K377" t="s">
        <v>48</v>
      </c>
      <c r="L377">
        <v>2016</v>
      </c>
      <c r="M377" t="s">
        <v>56</v>
      </c>
      <c r="N377" t="s">
        <v>55</v>
      </c>
      <c r="P377" s="6" t="s">
        <v>1049</v>
      </c>
    </row>
    <row r="378" spans="1:16" x14ac:dyDescent="0.2">
      <c r="A378">
        <v>373048949</v>
      </c>
      <c r="B378" t="s">
        <v>61</v>
      </c>
      <c r="C378" t="s">
        <v>76</v>
      </c>
      <c r="E378" s="22">
        <v>0.3</v>
      </c>
      <c r="F378" t="s">
        <v>648</v>
      </c>
      <c r="G378" t="s">
        <v>649</v>
      </c>
      <c r="H378" t="s">
        <v>650</v>
      </c>
      <c r="I378" t="s">
        <v>651</v>
      </c>
      <c r="J378" t="s">
        <v>652</v>
      </c>
      <c r="K378" t="s">
        <v>48</v>
      </c>
      <c r="L378">
        <v>2016</v>
      </c>
      <c r="M378" t="s">
        <v>56</v>
      </c>
      <c r="N378" t="s">
        <v>55</v>
      </c>
      <c r="P378" s="6" t="s">
        <v>1050</v>
      </c>
    </row>
    <row r="379" spans="1:16" x14ac:dyDescent="0.2">
      <c r="A379">
        <v>357061292</v>
      </c>
      <c r="B379" t="s">
        <v>61</v>
      </c>
      <c r="C379" t="s">
        <v>76</v>
      </c>
      <c r="E379" s="22">
        <v>0.5</v>
      </c>
      <c r="F379" t="s">
        <v>648</v>
      </c>
      <c r="G379" t="s">
        <v>649</v>
      </c>
      <c r="H379" t="s">
        <v>650</v>
      </c>
      <c r="I379" t="s">
        <v>651</v>
      </c>
      <c r="J379" t="s">
        <v>652</v>
      </c>
      <c r="K379" t="s">
        <v>48</v>
      </c>
      <c r="L379">
        <v>2016</v>
      </c>
      <c r="M379" t="s">
        <v>56</v>
      </c>
      <c r="N379" t="s">
        <v>55</v>
      </c>
      <c r="P379" s="6" t="s">
        <v>1051</v>
      </c>
    </row>
    <row r="380" spans="1:16" x14ac:dyDescent="0.2">
      <c r="A380">
        <v>837310284</v>
      </c>
      <c r="B380" t="s">
        <v>61</v>
      </c>
      <c r="C380" t="s">
        <v>76</v>
      </c>
      <c r="E380" s="22">
        <v>0.36</v>
      </c>
      <c r="F380" t="s">
        <v>648</v>
      </c>
      <c r="G380" t="s">
        <v>649</v>
      </c>
      <c r="H380" t="s">
        <v>650</v>
      </c>
      <c r="I380" t="s">
        <v>651</v>
      </c>
      <c r="J380" t="s">
        <v>652</v>
      </c>
      <c r="K380" t="s">
        <v>48</v>
      </c>
      <c r="L380">
        <v>2016</v>
      </c>
      <c r="M380" t="s">
        <v>56</v>
      </c>
      <c r="N380" t="s">
        <v>55</v>
      </c>
      <c r="P380" s="6" t="s">
        <v>1052</v>
      </c>
    </row>
    <row r="381" spans="1:16" x14ac:dyDescent="0.2">
      <c r="A381">
        <v>815854164</v>
      </c>
      <c r="B381" t="s">
        <v>61</v>
      </c>
      <c r="C381" t="s">
        <v>76</v>
      </c>
      <c r="E381" s="22">
        <v>0.62</v>
      </c>
      <c r="F381" t="s">
        <v>648</v>
      </c>
      <c r="G381" t="s">
        <v>649</v>
      </c>
      <c r="H381" t="s">
        <v>650</v>
      </c>
      <c r="I381" t="s">
        <v>651</v>
      </c>
      <c r="J381" t="s">
        <v>652</v>
      </c>
      <c r="K381" t="s">
        <v>48</v>
      </c>
      <c r="L381">
        <v>2016</v>
      </c>
      <c r="M381" t="s">
        <v>56</v>
      </c>
      <c r="N381" t="s">
        <v>55</v>
      </c>
      <c r="P381" s="6" t="s">
        <v>1053</v>
      </c>
    </row>
    <row r="382" spans="1:16" x14ac:dyDescent="0.2">
      <c r="A382">
        <v>315378369</v>
      </c>
      <c r="B382" t="s">
        <v>61</v>
      </c>
      <c r="C382" t="s">
        <v>76</v>
      </c>
      <c r="E382" s="22">
        <v>0.36</v>
      </c>
      <c r="F382" t="s">
        <v>648</v>
      </c>
      <c r="G382" t="s">
        <v>649</v>
      </c>
      <c r="H382" t="s">
        <v>650</v>
      </c>
      <c r="I382" t="s">
        <v>651</v>
      </c>
      <c r="J382" t="s">
        <v>652</v>
      </c>
      <c r="K382" t="s">
        <v>48</v>
      </c>
      <c r="L382">
        <v>2016</v>
      </c>
      <c r="M382" t="s">
        <v>56</v>
      </c>
      <c r="N382" t="s">
        <v>55</v>
      </c>
      <c r="P382" s="6" t="s">
        <v>1054</v>
      </c>
    </row>
    <row r="383" spans="1:16" x14ac:dyDescent="0.2">
      <c r="A383">
        <v>564410540</v>
      </c>
      <c r="B383" t="s">
        <v>61</v>
      </c>
      <c r="C383" t="s">
        <v>76</v>
      </c>
      <c r="E383" s="22">
        <v>0.72</v>
      </c>
      <c r="F383" t="s">
        <v>648</v>
      </c>
      <c r="G383" t="s">
        <v>649</v>
      </c>
      <c r="H383" t="s">
        <v>650</v>
      </c>
      <c r="I383" t="s">
        <v>651</v>
      </c>
      <c r="J383" t="s">
        <v>652</v>
      </c>
      <c r="K383" t="s">
        <v>48</v>
      </c>
      <c r="L383">
        <v>2016</v>
      </c>
      <c r="M383" t="s">
        <v>56</v>
      </c>
      <c r="N383" t="s">
        <v>55</v>
      </c>
      <c r="P383" s="6" t="s">
        <v>1055</v>
      </c>
    </row>
    <row r="384" spans="1:16" x14ac:dyDescent="0.2">
      <c r="A384">
        <v>126539887</v>
      </c>
      <c r="B384" t="s">
        <v>61</v>
      </c>
      <c r="C384" t="s">
        <v>76</v>
      </c>
      <c r="E384" s="22">
        <v>0.62</v>
      </c>
      <c r="F384" t="s">
        <v>648</v>
      </c>
      <c r="G384" t="s">
        <v>649</v>
      </c>
      <c r="H384" t="s">
        <v>650</v>
      </c>
      <c r="I384" t="s">
        <v>651</v>
      </c>
      <c r="J384" t="s">
        <v>652</v>
      </c>
      <c r="K384" t="s">
        <v>48</v>
      </c>
      <c r="L384">
        <v>2016</v>
      </c>
      <c r="M384" t="s">
        <v>56</v>
      </c>
      <c r="N384" t="s">
        <v>55</v>
      </c>
      <c r="P384" s="6" t="s">
        <v>1056</v>
      </c>
    </row>
    <row r="385" spans="1:16" x14ac:dyDescent="0.2">
      <c r="A385">
        <v>563937624</v>
      </c>
      <c r="B385" t="s">
        <v>61</v>
      </c>
      <c r="C385" t="s">
        <v>76</v>
      </c>
      <c r="E385" s="22">
        <v>0.2</v>
      </c>
      <c r="F385" t="s">
        <v>648</v>
      </c>
      <c r="G385" t="s">
        <v>649</v>
      </c>
      <c r="H385" t="s">
        <v>650</v>
      </c>
      <c r="I385" t="s">
        <v>651</v>
      </c>
      <c r="J385" t="s">
        <v>652</v>
      </c>
      <c r="K385" t="s">
        <v>48</v>
      </c>
      <c r="L385">
        <v>2016</v>
      </c>
      <c r="M385" t="s">
        <v>56</v>
      </c>
      <c r="N385" t="s">
        <v>55</v>
      </c>
      <c r="P385" s="6" t="s">
        <v>1057</v>
      </c>
    </row>
    <row r="386" spans="1:16" x14ac:dyDescent="0.2">
      <c r="A386">
        <v>684291511</v>
      </c>
      <c r="B386" t="s">
        <v>61</v>
      </c>
      <c r="C386" t="s">
        <v>76</v>
      </c>
      <c r="E386" s="22">
        <v>0.52</v>
      </c>
      <c r="F386" t="s">
        <v>648</v>
      </c>
      <c r="G386" t="s">
        <v>649</v>
      </c>
      <c r="H386" t="s">
        <v>650</v>
      </c>
      <c r="I386" t="s">
        <v>651</v>
      </c>
      <c r="J386" t="s">
        <v>652</v>
      </c>
      <c r="K386" t="s">
        <v>48</v>
      </c>
      <c r="L386">
        <v>2016</v>
      </c>
      <c r="M386" t="s">
        <v>56</v>
      </c>
      <c r="N386" t="s">
        <v>55</v>
      </c>
      <c r="P386" s="6" t="s">
        <v>1058</v>
      </c>
    </row>
    <row r="387" spans="1:16" x14ac:dyDescent="0.2">
      <c r="A387">
        <v>598829620</v>
      </c>
      <c r="B387" t="s">
        <v>524</v>
      </c>
      <c r="C387" t="s">
        <v>77</v>
      </c>
      <c r="E387" s="22">
        <v>0.28888888888888886</v>
      </c>
      <c r="F387" t="s">
        <v>648</v>
      </c>
      <c r="G387" t="s">
        <v>649</v>
      </c>
      <c r="H387" t="s">
        <v>650</v>
      </c>
      <c r="I387" t="s">
        <v>651</v>
      </c>
      <c r="J387" t="s">
        <v>652</v>
      </c>
      <c r="K387" t="s">
        <v>48</v>
      </c>
      <c r="L387">
        <v>2016</v>
      </c>
      <c r="M387" t="s">
        <v>56</v>
      </c>
      <c r="N387" t="s">
        <v>55</v>
      </c>
      <c r="P387" s="6" t="s">
        <v>1059</v>
      </c>
    </row>
    <row r="388" spans="1:16" x14ac:dyDescent="0.2">
      <c r="A388">
        <v>684014860</v>
      </c>
      <c r="B388" t="s">
        <v>524</v>
      </c>
      <c r="C388" t="s">
        <v>77</v>
      </c>
      <c r="E388" s="22">
        <v>0.4933333333333334</v>
      </c>
      <c r="F388" t="s">
        <v>648</v>
      </c>
      <c r="G388" t="s">
        <v>649</v>
      </c>
      <c r="H388" t="s">
        <v>650</v>
      </c>
      <c r="I388" t="s">
        <v>651</v>
      </c>
      <c r="J388" t="s">
        <v>652</v>
      </c>
      <c r="K388" t="s">
        <v>48</v>
      </c>
      <c r="L388">
        <v>2016</v>
      </c>
      <c r="M388" t="s">
        <v>56</v>
      </c>
      <c r="N388" t="s">
        <v>55</v>
      </c>
      <c r="P388" s="6" t="s">
        <v>1060</v>
      </c>
    </row>
    <row r="389" spans="1:16" x14ac:dyDescent="0.2">
      <c r="A389">
        <v>843228181</v>
      </c>
      <c r="B389" t="s">
        <v>524</v>
      </c>
      <c r="C389" t="s">
        <v>77</v>
      </c>
      <c r="E389" s="22">
        <v>0.53722222222222227</v>
      </c>
      <c r="F389" t="s">
        <v>648</v>
      </c>
      <c r="G389" t="s">
        <v>649</v>
      </c>
      <c r="H389" t="s">
        <v>650</v>
      </c>
      <c r="I389" t="s">
        <v>651</v>
      </c>
      <c r="J389" t="s">
        <v>652</v>
      </c>
      <c r="K389" t="s">
        <v>48</v>
      </c>
      <c r="L389">
        <v>2016</v>
      </c>
      <c r="M389" t="s">
        <v>56</v>
      </c>
      <c r="N389" t="s">
        <v>55</v>
      </c>
      <c r="P389" s="6" t="s">
        <v>1061</v>
      </c>
    </row>
    <row r="390" spans="1:16" x14ac:dyDescent="0.2">
      <c r="A390">
        <v>820549378</v>
      </c>
      <c r="B390" t="s">
        <v>524</v>
      </c>
      <c r="C390" t="s">
        <v>77</v>
      </c>
      <c r="E390" s="22">
        <v>0.46055555555555561</v>
      </c>
      <c r="F390" t="s">
        <v>648</v>
      </c>
      <c r="G390" t="s">
        <v>649</v>
      </c>
      <c r="H390" t="s">
        <v>650</v>
      </c>
      <c r="I390" t="s">
        <v>651</v>
      </c>
      <c r="J390" t="s">
        <v>652</v>
      </c>
      <c r="K390" t="s">
        <v>48</v>
      </c>
      <c r="L390">
        <v>2016</v>
      </c>
      <c r="M390" t="s">
        <v>56</v>
      </c>
      <c r="N390" t="s">
        <v>55</v>
      </c>
      <c r="P390" s="6" t="s">
        <v>1062</v>
      </c>
    </row>
    <row r="391" spans="1:16" x14ac:dyDescent="0.2">
      <c r="A391">
        <v>533572169</v>
      </c>
      <c r="B391" t="s">
        <v>524</v>
      </c>
      <c r="C391" t="s">
        <v>77</v>
      </c>
      <c r="E391" s="22">
        <v>0.3816666666666666</v>
      </c>
      <c r="F391" t="s">
        <v>648</v>
      </c>
      <c r="G391" t="s">
        <v>649</v>
      </c>
      <c r="H391" t="s">
        <v>650</v>
      </c>
      <c r="I391" t="s">
        <v>651</v>
      </c>
      <c r="J391" t="s">
        <v>652</v>
      </c>
      <c r="K391" t="s">
        <v>48</v>
      </c>
      <c r="L391">
        <v>2016</v>
      </c>
      <c r="M391" t="s">
        <v>56</v>
      </c>
      <c r="N391" t="s">
        <v>55</v>
      </c>
      <c r="P391" s="6" t="s">
        <v>1063</v>
      </c>
    </row>
    <row r="392" spans="1:16" x14ac:dyDescent="0.2">
      <c r="A392">
        <v>975325712</v>
      </c>
      <c r="B392" t="s">
        <v>524</v>
      </c>
      <c r="C392" t="s">
        <v>77</v>
      </c>
      <c r="E392" s="22">
        <v>0.41944444444444445</v>
      </c>
      <c r="F392" t="s">
        <v>648</v>
      </c>
      <c r="G392" t="s">
        <v>649</v>
      </c>
      <c r="H392" t="s">
        <v>650</v>
      </c>
      <c r="I392" t="s">
        <v>651</v>
      </c>
      <c r="J392" t="s">
        <v>652</v>
      </c>
      <c r="K392" t="s">
        <v>48</v>
      </c>
      <c r="L392">
        <v>2016</v>
      </c>
      <c r="M392" t="s">
        <v>56</v>
      </c>
      <c r="N392" t="s">
        <v>55</v>
      </c>
      <c r="P392" s="6" t="s">
        <v>1064</v>
      </c>
    </row>
    <row r="393" spans="1:16" x14ac:dyDescent="0.2">
      <c r="A393">
        <v>310082419</v>
      </c>
      <c r="B393" t="s">
        <v>524</v>
      </c>
      <c r="C393" t="s">
        <v>77</v>
      </c>
      <c r="E393" s="22">
        <v>0.30166666666666675</v>
      </c>
      <c r="F393" t="s">
        <v>648</v>
      </c>
      <c r="G393" t="s">
        <v>649</v>
      </c>
      <c r="H393" t="s">
        <v>650</v>
      </c>
      <c r="I393" t="s">
        <v>651</v>
      </c>
      <c r="J393" t="s">
        <v>652</v>
      </c>
      <c r="K393" t="s">
        <v>48</v>
      </c>
      <c r="L393">
        <v>2016</v>
      </c>
      <c r="M393" t="s">
        <v>56</v>
      </c>
      <c r="N393" t="s">
        <v>55</v>
      </c>
      <c r="P393" s="6" t="s">
        <v>1065</v>
      </c>
    </row>
    <row r="394" spans="1:16" x14ac:dyDescent="0.2">
      <c r="A394">
        <v>242132470</v>
      </c>
      <c r="B394" t="s">
        <v>524</v>
      </c>
      <c r="C394" t="s">
        <v>77</v>
      </c>
      <c r="E394" s="22">
        <v>0.35833333333333334</v>
      </c>
      <c r="F394" t="s">
        <v>648</v>
      </c>
      <c r="G394" t="s">
        <v>649</v>
      </c>
      <c r="H394" t="s">
        <v>650</v>
      </c>
      <c r="I394" t="s">
        <v>651</v>
      </c>
      <c r="J394" t="s">
        <v>652</v>
      </c>
      <c r="K394" t="s">
        <v>48</v>
      </c>
      <c r="L394">
        <v>2016</v>
      </c>
      <c r="M394" t="s">
        <v>56</v>
      </c>
      <c r="N394" t="s">
        <v>55</v>
      </c>
      <c r="P394" s="6" t="s">
        <v>1066</v>
      </c>
    </row>
    <row r="395" spans="1:16" x14ac:dyDescent="0.2">
      <c r="A395">
        <v>208248363</v>
      </c>
      <c r="B395" t="s">
        <v>524</v>
      </c>
      <c r="C395" t="s">
        <v>77</v>
      </c>
      <c r="E395" s="22">
        <v>0.5427777777777778</v>
      </c>
      <c r="F395" t="s">
        <v>648</v>
      </c>
      <c r="G395" t="s">
        <v>649</v>
      </c>
      <c r="H395" t="s">
        <v>650</v>
      </c>
      <c r="I395" t="s">
        <v>651</v>
      </c>
      <c r="J395" t="s">
        <v>652</v>
      </c>
      <c r="K395" t="s">
        <v>48</v>
      </c>
      <c r="L395">
        <v>2016</v>
      </c>
      <c r="M395" t="s">
        <v>56</v>
      </c>
      <c r="N395" t="s">
        <v>55</v>
      </c>
      <c r="P395" s="6" t="s">
        <v>1067</v>
      </c>
    </row>
    <row r="396" spans="1:16" x14ac:dyDescent="0.2">
      <c r="A396">
        <v>277055951</v>
      </c>
      <c r="B396" t="s">
        <v>524</v>
      </c>
      <c r="C396" t="s">
        <v>77</v>
      </c>
      <c r="E396" s="22">
        <v>0.37111111111111117</v>
      </c>
      <c r="F396" t="s">
        <v>648</v>
      </c>
      <c r="G396" t="s">
        <v>649</v>
      </c>
      <c r="H396" t="s">
        <v>650</v>
      </c>
      <c r="I396" t="s">
        <v>651</v>
      </c>
      <c r="J396" t="s">
        <v>652</v>
      </c>
      <c r="K396" t="s">
        <v>48</v>
      </c>
      <c r="L396">
        <v>2016</v>
      </c>
      <c r="M396" t="s">
        <v>56</v>
      </c>
      <c r="N396" t="s">
        <v>55</v>
      </c>
      <c r="P396" s="6" t="s">
        <v>1068</v>
      </c>
    </row>
    <row r="397" spans="1:16" x14ac:dyDescent="0.2">
      <c r="A397">
        <v>902907559</v>
      </c>
      <c r="B397" t="s">
        <v>524</v>
      </c>
      <c r="C397" t="s">
        <v>77</v>
      </c>
      <c r="E397" s="22">
        <v>0.52444444444444438</v>
      </c>
      <c r="F397" t="s">
        <v>648</v>
      </c>
      <c r="G397" t="s">
        <v>649</v>
      </c>
      <c r="H397" t="s">
        <v>650</v>
      </c>
      <c r="I397" t="s">
        <v>651</v>
      </c>
      <c r="J397" t="s">
        <v>652</v>
      </c>
      <c r="K397" t="s">
        <v>48</v>
      </c>
      <c r="L397">
        <v>2016</v>
      </c>
      <c r="M397" t="s">
        <v>56</v>
      </c>
      <c r="N397" t="s">
        <v>55</v>
      </c>
      <c r="P397" s="6" t="s">
        <v>1069</v>
      </c>
    </row>
    <row r="398" spans="1:16" x14ac:dyDescent="0.2">
      <c r="A398">
        <v>528297980</v>
      </c>
      <c r="B398" t="s">
        <v>524</v>
      </c>
      <c r="C398" t="s">
        <v>77</v>
      </c>
      <c r="E398" s="22">
        <v>0.61222222222222222</v>
      </c>
      <c r="F398" t="s">
        <v>648</v>
      </c>
      <c r="G398" t="s">
        <v>649</v>
      </c>
      <c r="H398" t="s">
        <v>650</v>
      </c>
      <c r="I398" t="s">
        <v>651</v>
      </c>
      <c r="J398" t="s">
        <v>652</v>
      </c>
      <c r="K398" t="s">
        <v>48</v>
      </c>
      <c r="L398">
        <v>2016</v>
      </c>
      <c r="M398" t="s">
        <v>56</v>
      </c>
      <c r="N398" t="s">
        <v>55</v>
      </c>
      <c r="P398" s="6" t="s">
        <v>1070</v>
      </c>
    </row>
    <row r="399" spans="1:16" x14ac:dyDescent="0.2">
      <c r="A399">
        <v>444882790</v>
      </c>
      <c r="B399" t="s">
        <v>524</v>
      </c>
      <c r="C399" t="s">
        <v>77</v>
      </c>
      <c r="E399" s="22">
        <v>0.32666666666666672</v>
      </c>
      <c r="F399" t="s">
        <v>648</v>
      </c>
      <c r="G399" t="s">
        <v>649</v>
      </c>
      <c r="H399" t="s">
        <v>650</v>
      </c>
      <c r="I399" t="s">
        <v>651</v>
      </c>
      <c r="J399" t="s">
        <v>652</v>
      </c>
      <c r="K399" t="s">
        <v>48</v>
      </c>
      <c r="L399">
        <v>2016</v>
      </c>
      <c r="M399" t="s">
        <v>56</v>
      </c>
      <c r="N399" t="s">
        <v>55</v>
      </c>
      <c r="P399" s="6" t="s">
        <v>1071</v>
      </c>
    </row>
    <row r="400" spans="1:16" x14ac:dyDescent="0.2">
      <c r="A400">
        <v>112085131</v>
      </c>
      <c r="B400" t="s">
        <v>524</v>
      </c>
      <c r="C400" t="s">
        <v>77</v>
      </c>
      <c r="E400" s="22">
        <v>0.2794444444444445</v>
      </c>
      <c r="F400" t="s">
        <v>648</v>
      </c>
      <c r="G400" t="s">
        <v>649</v>
      </c>
      <c r="H400" t="s">
        <v>650</v>
      </c>
      <c r="I400" t="s">
        <v>651</v>
      </c>
      <c r="J400" t="s">
        <v>652</v>
      </c>
      <c r="K400" t="s">
        <v>48</v>
      </c>
      <c r="L400">
        <v>2016</v>
      </c>
      <c r="M400" t="s">
        <v>56</v>
      </c>
      <c r="N400" t="s">
        <v>55</v>
      </c>
      <c r="P400" s="6" t="s">
        <v>1072</v>
      </c>
    </row>
    <row r="401" spans="1:16" x14ac:dyDescent="0.2">
      <c r="A401">
        <v>588642518</v>
      </c>
      <c r="B401" t="s">
        <v>524</v>
      </c>
      <c r="C401" t="s">
        <v>77</v>
      </c>
      <c r="E401" s="22">
        <v>0.51111111111111118</v>
      </c>
      <c r="F401" t="s">
        <v>648</v>
      </c>
      <c r="G401" t="s">
        <v>649</v>
      </c>
      <c r="H401" t="s">
        <v>650</v>
      </c>
      <c r="I401" t="s">
        <v>651</v>
      </c>
      <c r="J401" t="s">
        <v>652</v>
      </c>
      <c r="K401" t="s">
        <v>48</v>
      </c>
      <c r="L401">
        <v>2016</v>
      </c>
      <c r="M401" t="s">
        <v>56</v>
      </c>
      <c r="N401" t="s">
        <v>55</v>
      </c>
      <c r="P401" s="6" t="s">
        <v>1073</v>
      </c>
    </row>
    <row r="402" spans="1:16" x14ac:dyDescent="0.2">
      <c r="A402">
        <v>414520736</v>
      </c>
      <c r="B402" t="s">
        <v>524</v>
      </c>
      <c r="C402" t="s">
        <v>77</v>
      </c>
      <c r="E402" s="22">
        <v>0.55277777777777781</v>
      </c>
      <c r="F402" t="s">
        <v>648</v>
      </c>
      <c r="G402" t="s">
        <v>649</v>
      </c>
      <c r="H402" t="s">
        <v>650</v>
      </c>
      <c r="I402" t="s">
        <v>651</v>
      </c>
      <c r="J402" t="s">
        <v>652</v>
      </c>
      <c r="K402" t="s">
        <v>48</v>
      </c>
      <c r="L402">
        <v>2016</v>
      </c>
      <c r="M402" t="s">
        <v>56</v>
      </c>
      <c r="N402" t="s">
        <v>55</v>
      </c>
      <c r="P402" s="6" t="s">
        <v>1074</v>
      </c>
    </row>
    <row r="403" spans="1:16" x14ac:dyDescent="0.2">
      <c r="A403">
        <v>356558346</v>
      </c>
      <c r="B403" t="s">
        <v>524</v>
      </c>
      <c r="C403" t="s">
        <v>77</v>
      </c>
      <c r="E403" s="22">
        <v>0.39499999999999996</v>
      </c>
      <c r="F403" t="s">
        <v>648</v>
      </c>
      <c r="G403" t="s">
        <v>649</v>
      </c>
      <c r="H403" t="s">
        <v>650</v>
      </c>
      <c r="I403" t="s">
        <v>651</v>
      </c>
      <c r="J403" t="s">
        <v>652</v>
      </c>
      <c r="K403" t="s">
        <v>48</v>
      </c>
      <c r="L403">
        <v>2016</v>
      </c>
      <c r="M403" t="s">
        <v>56</v>
      </c>
      <c r="N403" t="s">
        <v>55</v>
      </c>
      <c r="P403" s="6" t="s">
        <v>1075</v>
      </c>
    </row>
    <row r="404" spans="1:16" x14ac:dyDescent="0.2">
      <c r="A404">
        <v>970698993</v>
      </c>
      <c r="B404" t="s">
        <v>524</v>
      </c>
      <c r="C404" t="s">
        <v>77</v>
      </c>
      <c r="E404" s="22">
        <v>0.52333333333333332</v>
      </c>
      <c r="F404" t="s">
        <v>648</v>
      </c>
      <c r="G404" t="s">
        <v>649</v>
      </c>
      <c r="H404" t="s">
        <v>650</v>
      </c>
      <c r="I404" t="s">
        <v>651</v>
      </c>
      <c r="J404" t="s">
        <v>652</v>
      </c>
      <c r="K404" t="s">
        <v>48</v>
      </c>
      <c r="L404">
        <v>2016</v>
      </c>
      <c r="M404" t="s">
        <v>56</v>
      </c>
      <c r="N404" t="s">
        <v>55</v>
      </c>
      <c r="P404" s="6" t="s">
        <v>1076</v>
      </c>
    </row>
    <row r="405" spans="1:16" x14ac:dyDescent="0.2">
      <c r="A405">
        <v>633537205</v>
      </c>
      <c r="B405" t="s">
        <v>524</v>
      </c>
      <c r="C405" t="s">
        <v>77</v>
      </c>
      <c r="E405" s="22">
        <v>0.25888888888888889</v>
      </c>
      <c r="F405" t="s">
        <v>648</v>
      </c>
      <c r="G405" t="s">
        <v>649</v>
      </c>
      <c r="H405" t="s">
        <v>650</v>
      </c>
      <c r="I405" t="s">
        <v>651</v>
      </c>
      <c r="J405" t="s">
        <v>652</v>
      </c>
      <c r="K405" t="s">
        <v>48</v>
      </c>
      <c r="L405">
        <v>2016</v>
      </c>
      <c r="M405" t="s">
        <v>56</v>
      </c>
      <c r="N405" t="s">
        <v>55</v>
      </c>
      <c r="P405" s="6" t="s">
        <v>1077</v>
      </c>
    </row>
    <row r="406" spans="1:16" x14ac:dyDescent="0.2">
      <c r="A406">
        <v>534292868</v>
      </c>
      <c r="B406" t="s">
        <v>524</v>
      </c>
      <c r="C406" t="s">
        <v>77</v>
      </c>
      <c r="E406" s="22">
        <v>0.4366666666666667</v>
      </c>
      <c r="F406" t="s">
        <v>648</v>
      </c>
      <c r="G406" t="s">
        <v>649</v>
      </c>
      <c r="H406" t="s">
        <v>650</v>
      </c>
      <c r="I406" t="s">
        <v>651</v>
      </c>
      <c r="J406" t="s">
        <v>652</v>
      </c>
      <c r="K406" t="s">
        <v>48</v>
      </c>
      <c r="L406">
        <v>2016</v>
      </c>
      <c r="M406" t="s">
        <v>56</v>
      </c>
      <c r="N406" t="s">
        <v>55</v>
      </c>
      <c r="P406" s="6" t="s">
        <v>1078</v>
      </c>
    </row>
    <row r="407" spans="1:16" x14ac:dyDescent="0.2">
      <c r="A407">
        <v>816787809</v>
      </c>
      <c r="B407" t="s">
        <v>524</v>
      </c>
      <c r="C407" t="s">
        <v>77</v>
      </c>
      <c r="E407" s="22">
        <v>0.56611111111111112</v>
      </c>
      <c r="F407" t="s">
        <v>648</v>
      </c>
      <c r="G407" t="s">
        <v>649</v>
      </c>
      <c r="H407" t="s">
        <v>650</v>
      </c>
      <c r="I407" t="s">
        <v>651</v>
      </c>
      <c r="J407" t="s">
        <v>652</v>
      </c>
      <c r="K407" t="s">
        <v>48</v>
      </c>
      <c r="L407">
        <v>2016</v>
      </c>
      <c r="M407" t="s">
        <v>56</v>
      </c>
      <c r="N407" t="s">
        <v>55</v>
      </c>
      <c r="P407" s="6" t="s">
        <v>1079</v>
      </c>
    </row>
    <row r="408" spans="1:16" x14ac:dyDescent="0.2">
      <c r="A408">
        <v>220052551</v>
      </c>
      <c r="B408" t="s">
        <v>524</v>
      </c>
      <c r="C408" t="s">
        <v>77</v>
      </c>
      <c r="E408" s="22">
        <v>0.54166666666666663</v>
      </c>
      <c r="F408" t="s">
        <v>648</v>
      </c>
      <c r="G408" t="s">
        <v>649</v>
      </c>
      <c r="H408" t="s">
        <v>650</v>
      </c>
      <c r="I408" t="s">
        <v>651</v>
      </c>
      <c r="J408" t="s">
        <v>652</v>
      </c>
      <c r="K408" t="s">
        <v>48</v>
      </c>
      <c r="L408">
        <v>2016</v>
      </c>
      <c r="M408" t="s">
        <v>56</v>
      </c>
      <c r="N408" t="s">
        <v>55</v>
      </c>
      <c r="P408" s="6" t="s">
        <v>1080</v>
      </c>
    </row>
    <row r="409" spans="1:16" x14ac:dyDescent="0.2">
      <c r="A409">
        <v>858571733</v>
      </c>
      <c r="B409" t="s">
        <v>524</v>
      </c>
      <c r="C409" t="s">
        <v>77</v>
      </c>
      <c r="E409" s="22">
        <v>0.22666666666666666</v>
      </c>
      <c r="F409" t="s">
        <v>648</v>
      </c>
      <c r="G409" t="s">
        <v>649</v>
      </c>
      <c r="H409" t="s">
        <v>650</v>
      </c>
      <c r="I409" t="s">
        <v>651</v>
      </c>
      <c r="J409" t="s">
        <v>652</v>
      </c>
      <c r="K409" t="s">
        <v>48</v>
      </c>
      <c r="L409">
        <v>2016</v>
      </c>
      <c r="M409" t="s">
        <v>56</v>
      </c>
      <c r="N409" t="s">
        <v>55</v>
      </c>
      <c r="P409" s="6" t="s">
        <v>1081</v>
      </c>
    </row>
    <row r="410" spans="1:16" x14ac:dyDescent="0.2">
      <c r="A410">
        <v>363436152</v>
      </c>
      <c r="B410" t="s">
        <v>524</v>
      </c>
      <c r="C410" t="s">
        <v>77</v>
      </c>
      <c r="E410" s="22">
        <v>0.41944444444444445</v>
      </c>
      <c r="F410" t="s">
        <v>648</v>
      </c>
      <c r="G410" t="s">
        <v>649</v>
      </c>
      <c r="H410" t="s">
        <v>650</v>
      </c>
      <c r="I410" t="s">
        <v>651</v>
      </c>
      <c r="J410" t="s">
        <v>652</v>
      </c>
      <c r="K410" t="s">
        <v>48</v>
      </c>
      <c r="L410">
        <v>2016</v>
      </c>
      <c r="M410" t="s">
        <v>56</v>
      </c>
      <c r="N410" t="s">
        <v>55</v>
      </c>
      <c r="P410" s="6" t="s">
        <v>1082</v>
      </c>
    </row>
    <row r="411" spans="1:16" x14ac:dyDescent="0.2">
      <c r="A411">
        <v>393495083</v>
      </c>
      <c r="B411" t="s">
        <v>524</v>
      </c>
      <c r="C411" t="s">
        <v>77</v>
      </c>
      <c r="E411" s="22">
        <v>0.47277777777777785</v>
      </c>
      <c r="F411" t="s">
        <v>648</v>
      </c>
      <c r="G411" t="s">
        <v>649</v>
      </c>
      <c r="H411" t="s">
        <v>650</v>
      </c>
      <c r="I411" t="s">
        <v>651</v>
      </c>
      <c r="J411" t="s">
        <v>652</v>
      </c>
      <c r="K411" t="s">
        <v>48</v>
      </c>
      <c r="L411">
        <v>2016</v>
      </c>
      <c r="M411" t="s">
        <v>56</v>
      </c>
      <c r="N411" t="s">
        <v>55</v>
      </c>
      <c r="P411" s="6" t="s">
        <v>1083</v>
      </c>
    </row>
    <row r="412" spans="1:16" x14ac:dyDescent="0.2">
      <c r="A412">
        <v>769635714</v>
      </c>
      <c r="B412" t="s">
        <v>524</v>
      </c>
      <c r="C412" t="s">
        <v>77</v>
      </c>
      <c r="E412" s="22">
        <v>0.60388888888888903</v>
      </c>
      <c r="F412" t="s">
        <v>648</v>
      </c>
      <c r="G412" t="s">
        <v>649</v>
      </c>
      <c r="H412" t="s">
        <v>650</v>
      </c>
      <c r="I412" t="s">
        <v>651</v>
      </c>
      <c r="J412" t="s">
        <v>652</v>
      </c>
      <c r="K412" t="s">
        <v>48</v>
      </c>
      <c r="L412">
        <v>2016</v>
      </c>
      <c r="M412" t="s">
        <v>56</v>
      </c>
      <c r="N412" t="s">
        <v>55</v>
      </c>
      <c r="P412" s="6" t="s">
        <v>1084</v>
      </c>
    </row>
    <row r="413" spans="1:16" x14ac:dyDescent="0.2">
      <c r="A413">
        <v>373048949</v>
      </c>
      <c r="B413" t="s">
        <v>524</v>
      </c>
      <c r="C413" t="s">
        <v>77</v>
      </c>
      <c r="E413" s="22">
        <v>0.59777777777777774</v>
      </c>
      <c r="F413" t="s">
        <v>648</v>
      </c>
      <c r="G413" t="s">
        <v>649</v>
      </c>
      <c r="H413" t="s">
        <v>650</v>
      </c>
      <c r="I413" t="s">
        <v>651</v>
      </c>
      <c r="J413" t="s">
        <v>652</v>
      </c>
      <c r="K413" t="s">
        <v>48</v>
      </c>
      <c r="L413">
        <v>2016</v>
      </c>
      <c r="M413" t="s">
        <v>56</v>
      </c>
      <c r="N413" t="s">
        <v>55</v>
      </c>
      <c r="P413" s="6" t="s">
        <v>1085</v>
      </c>
    </row>
    <row r="414" spans="1:16" x14ac:dyDescent="0.2">
      <c r="A414">
        <v>357061292</v>
      </c>
      <c r="B414" t="s">
        <v>524</v>
      </c>
      <c r="C414" t="s">
        <v>77</v>
      </c>
      <c r="E414" s="22">
        <v>0.42611111111111111</v>
      </c>
      <c r="F414" t="s">
        <v>648</v>
      </c>
      <c r="G414" t="s">
        <v>649</v>
      </c>
      <c r="H414" t="s">
        <v>650</v>
      </c>
      <c r="I414" t="s">
        <v>651</v>
      </c>
      <c r="J414" t="s">
        <v>652</v>
      </c>
      <c r="K414" t="s">
        <v>48</v>
      </c>
      <c r="L414">
        <v>2016</v>
      </c>
      <c r="M414" t="s">
        <v>56</v>
      </c>
      <c r="N414" t="s">
        <v>55</v>
      </c>
      <c r="P414" s="6" t="s">
        <v>1086</v>
      </c>
    </row>
    <row r="415" spans="1:16" x14ac:dyDescent="0.2">
      <c r="A415">
        <v>837310284</v>
      </c>
      <c r="B415" t="s">
        <v>524</v>
      </c>
      <c r="C415" t="s">
        <v>77</v>
      </c>
      <c r="E415" s="22">
        <v>0.39777777777777784</v>
      </c>
      <c r="F415" t="s">
        <v>648</v>
      </c>
      <c r="G415" t="s">
        <v>649</v>
      </c>
      <c r="H415" t="s">
        <v>650</v>
      </c>
      <c r="I415" t="s">
        <v>651</v>
      </c>
      <c r="J415" t="s">
        <v>652</v>
      </c>
      <c r="K415" t="s">
        <v>48</v>
      </c>
      <c r="L415">
        <v>2016</v>
      </c>
      <c r="M415" t="s">
        <v>56</v>
      </c>
      <c r="N415" t="s">
        <v>55</v>
      </c>
      <c r="P415" s="6" t="s">
        <v>1087</v>
      </c>
    </row>
    <row r="416" spans="1:16" x14ac:dyDescent="0.2">
      <c r="A416">
        <v>815854164</v>
      </c>
      <c r="B416" t="s">
        <v>524</v>
      </c>
      <c r="C416" t="s">
        <v>77</v>
      </c>
      <c r="E416" s="22">
        <v>0.51444444444444448</v>
      </c>
      <c r="F416" t="s">
        <v>648</v>
      </c>
      <c r="G416" t="s">
        <v>649</v>
      </c>
      <c r="H416" t="s">
        <v>650</v>
      </c>
      <c r="I416" t="s">
        <v>651</v>
      </c>
      <c r="J416" t="s">
        <v>652</v>
      </c>
      <c r="K416" t="s">
        <v>48</v>
      </c>
      <c r="L416">
        <v>2016</v>
      </c>
      <c r="M416" t="s">
        <v>56</v>
      </c>
      <c r="N416" t="s">
        <v>55</v>
      </c>
      <c r="P416" s="6" t="s">
        <v>1088</v>
      </c>
    </row>
    <row r="417" spans="1:16" x14ac:dyDescent="0.2">
      <c r="A417">
        <v>315378369</v>
      </c>
      <c r="B417" t="s">
        <v>524</v>
      </c>
      <c r="C417" t="s">
        <v>77</v>
      </c>
      <c r="E417" s="22">
        <v>0.23777777777777781</v>
      </c>
      <c r="F417" t="s">
        <v>648</v>
      </c>
      <c r="G417" t="s">
        <v>649</v>
      </c>
      <c r="H417" t="s">
        <v>650</v>
      </c>
      <c r="I417" t="s">
        <v>651</v>
      </c>
      <c r="J417" t="s">
        <v>652</v>
      </c>
      <c r="K417" t="s">
        <v>48</v>
      </c>
      <c r="L417">
        <v>2016</v>
      </c>
      <c r="M417" t="s">
        <v>56</v>
      </c>
      <c r="N417" t="s">
        <v>55</v>
      </c>
      <c r="P417" s="6" t="s">
        <v>1089</v>
      </c>
    </row>
    <row r="418" spans="1:16" x14ac:dyDescent="0.2">
      <c r="A418">
        <v>564410540</v>
      </c>
      <c r="B418" t="s">
        <v>524</v>
      </c>
      <c r="C418" t="s">
        <v>77</v>
      </c>
      <c r="E418" s="22">
        <v>0.50944444444444448</v>
      </c>
      <c r="F418" t="s">
        <v>648</v>
      </c>
      <c r="G418" t="s">
        <v>649</v>
      </c>
      <c r="H418" t="s">
        <v>650</v>
      </c>
      <c r="I418" t="s">
        <v>651</v>
      </c>
      <c r="J418" t="s">
        <v>652</v>
      </c>
      <c r="K418" t="s">
        <v>48</v>
      </c>
      <c r="L418">
        <v>2016</v>
      </c>
      <c r="M418" t="s">
        <v>56</v>
      </c>
      <c r="N418" t="s">
        <v>55</v>
      </c>
      <c r="P418" s="6" t="s">
        <v>1090</v>
      </c>
    </row>
    <row r="419" spans="1:16" x14ac:dyDescent="0.2">
      <c r="A419">
        <v>126539887</v>
      </c>
      <c r="B419" t="s">
        <v>524</v>
      </c>
      <c r="C419" t="s">
        <v>77</v>
      </c>
      <c r="E419" s="22">
        <v>0.48222222222222222</v>
      </c>
      <c r="F419" t="s">
        <v>648</v>
      </c>
      <c r="G419" t="s">
        <v>649</v>
      </c>
      <c r="H419" t="s">
        <v>650</v>
      </c>
      <c r="I419" t="s">
        <v>651</v>
      </c>
      <c r="J419" t="s">
        <v>652</v>
      </c>
      <c r="K419" t="s">
        <v>48</v>
      </c>
      <c r="L419">
        <v>2016</v>
      </c>
      <c r="M419" t="s">
        <v>56</v>
      </c>
      <c r="N419" t="s">
        <v>55</v>
      </c>
      <c r="P419" s="6" t="s">
        <v>1091</v>
      </c>
    </row>
    <row r="420" spans="1:16" x14ac:dyDescent="0.2">
      <c r="A420">
        <v>563937624</v>
      </c>
      <c r="B420" t="s">
        <v>524</v>
      </c>
      <c r="C420" t="s">
        <v>77</v>
      </c>
      <c r="E420" s="22">
        <v>0.41333333333333339</v>
      </c>
      <c r="F420" t="s">
        <v>648</v>
      </c>
      <c r="G420" t="s">
        <v>649</v>
      </c>
      <c r="H420" t="s">
        <v>650</v>
      </c>
      <c r="I420" t="s">
        <v>651</v>
      </c>
      <c r="J420" t="s">
        <v>652</v>
      </c>
      <c r="K420" t="s">
        <v>48</v>
      </c>
      <c r="L420">
        <v>2016</v>
      </c>
      <c r="M420" t="s">
        <v>56</v>
      </c>
      <c r="N420" t="s">
        <v>55</v>
      </c>
      <c r="P420" s="6" t="s">
        <v>1092</v>
      </c>
    </row>
    <row r="421" spans="1:16" x14ac:dyDescent="0.2">
      <c r="A421">
        <v>684291511</v>
      </c>
      <c r="B421" t="s">
        <v>524</v>
      </c>
      <c r="C421" t="s">
        <v>77</v>
      </c>
      <c r="E421" s="22">
        <v>0.51888888888888896</v>
      </c>
      <c r="F421" t="s">
        <v>648</v>
      </c>
      <c r="G421" t="s">
        <v>649</v>
      </c>
      <c r="H421" t="s">
        <v>650</v>
      </c>
      <c r="I421" t="s">
        <v>651</v>
      </c>
      <c r="J421" t="s">
        <v>652</v>
      </c>
      <c r="K421" t="s">
        <v>48</v>
      </c>
      <c r="L421">
        <v>2016</v>
      </c>
      <c r="M421" t="s">
        <v>56</v>
      </c>
      <c r="N421" t="s">
        <v>55</v>
      </c>
      <c r="P421" s="6" t="s">
        <v>1093</v>
      </c>
    </row>
    <row r="422" spans="1:16" x14ac:dyDescent="0.2">
      <c r="A422">
        <v>598829620</v>
      </c>
      <c r="B422" t="s">
        <v>524</v>
      </c>
      <c r="C422" t="s">
        <v>78</v>
      </c>
      <c r="E422" s="22">
        <v>0.4</v>
      </c>
      <c r="F422" t="s">
        <v>648</v>
      </c>
      <c r="G422" t="s">
        <v>649</v>
      </c>
      <c r="H422" t="s">
        <v>650</v>
      </c>
      <c r="I422" t="s">
        <v>651</v>
      </c>
      <c r="J422" t="s">
        <v>652</v>
      </c>
      <c r="K422" t="s">
        <v>48</v>
      </c>
      <c r="L422">
        <v>2016</v>
      </c>
      <c r="M422" t="s">
        <v>56</v>
      </c>
      <c r="N422" t="s">
        <v>55</v>
      </c>
      <c r="P422" s="6" t="s">
        <v>1094</v>
      </c>
    </row>
    <row r="423" spans="1:16" x14ac:dyDescent="0.2">
      <c r="A423">
        <v>684014860</v>
      </c>
      <c r="B423" t="s">
        <v>524</v>
      </c>
      <c r="C423" t="s">
        <v>78</v>
      </c>
      <c r="E423" s="22">
        <v>0.56000000000000005</v>
      </c>
      <c r="F423" t="s">
        <v>648</v>
      </c>
      <c r="G423" t="s">
        <v>649</v>
      </c>
      <c r="H423" t="s">
        <v>650</v>
      </c>
      <c r="I423" t="s">
        <v>651</v>
      </c>
      <c r="J423" t="s">
        <v>652</v>
      </c>
      <c r="K423" t="s">
        <v>48</v>
      </c>
      <c r="L423">
        <v>2016</v>
      </c>
      <c r="M423" t="s">
        <v>56</v>
      </c>
      <c r="N423" t="s">
        <v>55</v>
      </c>
      <c r="P423" s="6" t="s">
        <v>1095</v>
      </c>
    </row>
    <row r="424" spans="1:16" x14ac:dyDescent="0.2">
      <c r="A424">
        <v>843228181</v>
      </c>
      <c r="B424" t="s">
        <v>524</v>
      </c>
      <c r="C424" t="s">
        <v>78</v>
      </c>
      <c r="E424" s="22">
        <v>0.42000000000000004</v>
      </c>
      <c r="F424" t="s">
        <v>648</v>
      </c>
      <c r="G424" t="s">
        <v>649</v>
      </c>
      <c r="H424" t="s">
        <v>650</v>
      </c>
      <c r="I424" t="s">
        <v>651</v>
      </c>
      <c r="J424" t="s">
        <v>652</v>
      </c>
      <c r="K424" t="s">
        <v>48</v>
      </c>
      <c r="L424">
        <v>2016</v>
      </c>
      <c r="M424" t="s">
        <v>56</v>
      </c>
      <c r="N424" t="s">
        <v>55</v>
      </c>
      <c r="P424" s="6" t="s">
        <v>1096</v>
      </c>
    </row>
    <row r="425" spans="1:16" x14ac:dyDescent="0.2">
      <c r="A425">
        <v>820549378</v>
      </c>
      <c r="B425" t="s">
        <v>524</v>
      </c>
      <c r="C425" t="s">
        <v>78</v>
      </c>
      <c r="E425" s="22">
        <v>0.26</v>
      </c>
      <c r="F425" t="s">
        <v>648</v>
      </c>
      <c r="G425" t="s">
        <v>649</v>
      </c>
      <c r="H425" t="s">
        <v>650</v>
      </c>
      <c r="I425" t="s">
        <v>651</v>
      </c>
      <c r="J425" t="s">
        <v>652</v>
      </c>
      <c r="K425" t="s">
        <v>48</v>
      </c>
      <c r="L425">
        <v>2016</v>
      </c>
      <c r="M425" t="s">
        <v>56</v>
      </c>
      <c r="N425" t="s">
        <v>55</v>
      </c>
      <c r="P425" s="6" t="s">
        <v>1097</v>
      </c>
    </row>
    <row r="426" spans="1:16" x14ac:dyDescent="0.2">
      <c r="A426">
        <v>533572169</v>
      </c>
      <c r="B426" t="s">
        <v>524</v>
      </c>
      <c r="C426" t="s">
        <v>78</v>
      </c>
      <c r="E426" s="22">
        <v>0.04</v>
      </c>
      <c r="F426" t="s">
        <v>648</v>
      </c>
      <c r="G426" t="s">
        <v>649</v>
      </c>
      <c r="H426" t="s">
        <v>650</v>
      </c>
      <c r="I426" t="s">
        <v>651</v>
      </c>
      <c r="J426" t="s">
        <v>652</v>
      </c>
      <c r="K426" t="s">
        <v>48</v>
      </c>
      <c r="L426">
        <v>2016</v>
      </c>
      <c r="M426" t="s">
        <v>56</v>
      </c>
      <c r="N426" t="s">
        <v>55</v>
      </c>
      <c r="P426" s="6" t="s">
        <v>1098</v>
      </c>
    </row>
    <row r="427" spans="1:16" x14ac:dyDescent="0.2">
      <c r="A427">
        <v>975325712</v>
      </c>
      <c r="B427" t="s">
        <v>524</v>
      </c>
      <c r="C427" t="s">
        <v>78</v>
      </c>
      <c r="E427" s="22">
        <v>0.36</v>
      </c>
      <c r="F427" t="s">
        <v>648</v>
      </c>
      <c r="G427" t="s">
        <v>649</v>
      </c>
      <c r="H427" t="s">
        <v>650</v>
      </c>
      <c r="I427" t="s">
        <v>651</v>
      </c>
      <c r="J427" t="s">
        <v>652</v>
      </c>
      <c r="K427" t="s">
        <v>48</v>
      </c>
      <c r="L427">
        <v>2016</v>
      </c>
      <c r="M427" t="s">
        <v>56</v>
      </c>
      <c r="N427" t="s">
        <v>55</v>
      </c>
      <c r="P427" s="6" t="s">
        <v>1099</v>
      </c>
    </row>
    <row r="428" spans="1:16" x14ac:dyDescent="0.2">
      <c r="A428">
        <v>310082419</v>
      </c>
      <c r="B428" t="s">
        <v>524</v>
      </c>
      <c r="C428" t="s">
        <v>78</v>
      </c>
      <c r="E428" s="22">
        <v>0.22000000000000003</v>
      </c>
      <c r="F428" t="s">
        <v>648</v>
      </c>
      <c r="G428" t="s">
        <v>649</v>
      </c>
      <c r="H428" t="s">
        <v>650</v>
      </c>
      <c r="I428" t="s">
        <v>651</v>
      </c>
      <c r="J428" t="s">
        <v>652</v>
      </c>
      <c r="K428" t="s">
        <v>48</v>
      </c>
      <c r="L428">
        <v>2016</v>
      </c>
      <c r="M428" t="s">
        <v>56</v>
      </c>
      <c r="N428" t="s">
        <v>55</v>
      </c>
      <c r="P428" s="6" t="s">
        <v>1100</v>
      </c>
    </row>
    <row r="429" spans="1:16" x14ac:dyDescent="0.2">
      <c r="A429">
        <v>242132470</v>
      </c>
      <c r="B429" t="s">
        <v>524</v>
      </c>
      <c r="C429" t="s">
        <v>78</v>
      </c>
      <c r="E429" s="22">
        <v>0.56000000000000005</v>
      </c>
      <c r="F429" t="s">
        <v>648</v>
      </c>
      <c r="G429" t="s">
        <v>649</v>
      </c>
      <c r="H429" t="s">
        <v>650</v>
      </c>
      <c r="I429" t="s">
        <v>651</v>
      </c>
      <c r="J429" t="s">
        <v>652</v>
      </c>
      <c r="K429" t="s">
        <v>48</v>
      </c>
      <c r="L429">
        <v>2016</v>
      </c>
      <c r="M429" t="s">
        <v>56</v>
      </c>
      <c r="N429" t="s">
        <v>55</v>
      </c>
      <c r="P429" s="6" t="s">
        <v>1101</v>
      </c>
    </row>
    <row r="430" spans="1:16" x14ac:dyDescent="0.2">
      <c r="A430">
        <v>208248363</v>
      </c>
      <c r="B430" t="s">
        <v>524</v>
      </c>
      <c r="C430" t="s">
        <v>78</v>
      </c>
      <c r="E430" s="22">
        <v>0.4</v>
      </c>
      <c r="F430" t="s">
        <v>648</v>
      </c>
      <c r="G430" t="s">
        <v>649</v>
      </c>
      <c r="H430" t="s">
        <v>650</v>
      </c>
      <c r="I430" t="s">
        <v>651</v>
      </c>
      <c r="J430" t="s">
        <v>652</v>
      </c>
      <c r="K430" t="s">
        <v>48</v>
      </c>
      <c r="L430">
        <v>2016</v>
      </c>
      <c r="M430" t="s">
        <v>56</v>
      </c>
      <c r="N430" t="s">
        <v>55</v>
      </c>
      <c r="P430" s="6" t="s">
        <v>1102</v>
      </c>
    </row>
    <row r="431" spans="1:16" x14ac:dyDescent="0.2">
      <c r="A431">
        <v>277055951</v>
      </c>
      <c r="B431" t="s">
        <v>524</v>
      </c>
      <c r="C431" t="s">
        <v>78</v>
      </c>
      <c r="E431" s="22">
        <v>0</v>
      </c>
      <c r="F431" t="s">
        <v>648</v>
      </c>
      <c r="G431" t="s">
        <v>649</v>
      </c>
      <c r="H431" t="s">
        <v>650</v>
      </c>
      <c r="I431" t="s">
        <v>651</v>
      </c>
      <c r="J431" t="s">
        <v>652</v>
      </c>
      <c r="K431" t="s">
        <v>48</v>
      </c>
      <c r="L431">
        <v>2016</v>
      </c>
      <c r="M431" t="s">
        <v>56</v>
      </c>
      <c r="N431" t="s">
        <v>55</v>
      </c>
      <c r="P431" s="6" t="s">
        <v>1103</v>
      </c>
    </row>
    <row r="432" spans="1:16" x14ac:dyDescent="0.2">
      <c r="A432">
        <v>902907559</v>
      </c>
      <c r="B432" t="s">
        <v>524</v>
      </c>
      <c r="C432" t="s">
        <v>78</v>
      </c>
      <c r="E432" s="22">
        <v>0.12000000000000002</v>
      </c>
      <c r="F432" t="s">
        <v>648</v>
      </c>
      <c r="G432" t="s">
        <v>649</v>
      </c>
      <c r="H432" t="s">
        <v>650</v>
      </c>
      <c r="I432" t="s">
        <v>651</v>
      </c>
      <c r="J432" t="s">
        <v>652</v>
      </c>
      <c r="K432" t="s">
        <v>48</v>
      </c>
      <c r="L432">
        <v>2016</v>
      </c>
      <c r="M432" t="s">
        <v>56</v>
      </c>
      <c r="N432" t="s">
        <v>55</v>
      </c>
      <c r="P432" s="6" t="s">
        <v>1104</v>
      </c>
    </row>
    <row r="433" spans="1:16" x14ac:dyDescent="0.2">
      <c r="A433">
        <v>528297980</v>
      </c>
      <c r="B433" t="s">
        <v>524</v>
      </c>
      <c r="C433" t="s">
        <v>78</v>
      </c>
      <c r="E433" s="22">
        <v>0.62</v>
      </c>
      <c r="F433" t="s">
        <v>648</v>
      </c>
      <c r="G433" t="s">
        <v>649</v>
      </c>
      <c r="H433" t="s">
        <v>650</v>
      </c>
      <c r="I433" t="s">
        <v>651</v>
      </c>
      <c r="J433" t="s">
        <v>652</v>
      </c>
      <c r="K433" t="s">
        <v>48</v>
      </c>
      <c r="L433">
        <v>2016</v>
      </c>
      <c r="M433" t="s">
        <v>56</v>
      </c>
      <c r="N433" t="s">
        <v>55</v>
      </c>
      <c r="P433" s="6" t="s">
        <v>1105</v>
      </c>
    </row>
    <row r="434" spans="1:16" x14ac:dyDescent="0.2">
      <c r="A434">
        <v>444882790</v>
      </c>
      <c r="B434" t="s">
        <v>524</v>
      </c>
      <c r="C434" t="s">
        <v>78</v>
      </c>
      <c r="E434" s="22">
        <v>0.14000000000000001</v>
      </c>
      <c r="F434" t="s">
        <v>648</v>
      </c>
      <c r="G434" t="s">
        <v>649</v>
      </c>
      <c r="H434" t="s">
        <v>650</v>
      </c>
      <c r="I434" t="s">
        <v>651</v>
      </c>
      <c r="J434" t="s">
        <v>652</v>
      </c>
      <c r="K434" t="s">
        <v>48</v>
      </c>
      <c r="L434">
        <v>2016</v>
      </c>
      <c r="M434" t="s">
        <v>56</v>
      </c>
      <c r="N434" t="s">
        <v>55</v>
      </c>
      <c r="P434" s="6" t="s">
        <v>1106</v>
      </c>
    </row>
    <row r="435" spans="1:16" x14ac:dyDescent="0.2">
      <c r="A435">
        <v>112085131</v>
      </c>
      <c r="B435" t="s">
        <v>524</v>
      </c>
      <c r="C435" t="s">
        <v>78</v>
      </c>
      <c r="E435" s="22">
        <v>0.18</v>
      </c>
      <c r="F435" t="s">
        <v>648</v>
      </c>
      <c r="G435" t="s">
        <v>649</v>
      </c>
      <c r="H435" t="s">
        <v>650</v>
      </c>
      <c r="I435" t="s">
        <v>651</v>
      </c>
      <c r="J435" t="s">
        <v>652</v>
      </c>
      <c r="K435" t="s">
        <v>48</v>
      </c>
      <c r="L435">
        <v>2016</v>
      </c>
      <c r="M435" t="s">
        <v>56</v>
      </c>
      <c r="N435" t="s">
        <v>55</v>
      </c>
      <c r="P435" s="6" t="s">
        <v>1107</v>
      </c>
    </row>
    <row r="436" spans="1:16" x14ac:dyDescent="0.2">
      <c r="A436">
        <v>588642518</v>
      </c>
      <c r="B436" t="s">
        <v>524</v>
      </c>
      <c r="C436" t="s">
        <v>78</v>
      </c>
      <c r="E436" s="22">
        <v>0.68</v>
      </c>
      <c r="F436" t="s">
        <v>648</v>
      </c>
      <c r="G436" t="s">
        <v>649</v>
      </c>
      <c r="H436" t="s">
        <v>650</v>
      </c>
      <c r="I436" t="s">
        <v>651</v>
      </c>
      <c r="J436" t="s">
        <v>652</v>
      </c>
      <c r="K436" t="s">
        <v>48</v>
      </c>
      <c r="L436">
        <v>2016</v>
      </c>
      <c r="M436" t="s">
        <v>56</v>
      </c>
      <c r="N436" t="s">
        <v>55</v>
      </c>
      <c r="P436" s="6" t="s">
        <v>1108</v>
      </c>
    </row>
    <row r="437" spans="1:16" x14ac:dyDescent="0.2">
      <c r="A437">
        <v>414520736</v>
      </c>
      <c r="B437" t="s">
        <v>524</v>
      </c>
      <c r="C437" t="s">
        <v>78</v>
      </c>
      <c r="E437" s="22">
        <v>0.14000000000000001</v>
      </c>
      <c r="F437" t="s">
        <v>648</v>
      </c>
      <c r="G437" t="s">
        <v>649</v>
      </c>
      <c r="H437" t="s">
        <v>650</v>
      </c>
      <c r="I437" t="s">
        <v>651</v>
      </c>
      <c r="J437" t="s">
        <v>652</v>
      </c>
      <c r="K437" t="s">
        <v>48</v>
      </c>
      <c r="L437">
        <v>2016</v>
      </c>
      <c r="M437" t="s">
        <v>56</v>
      </c>
      <c r="N437" t="s">
        <v>55</v>
      </c>
      <c r="P437" s="6" t="s">
        <v>1109</v>
      </c>
    </row>
    <row r="438" spans="1:16" x14ac:dyDescent="0.2">
      <c r="A438">
        <v>356558346</v>
      </c>
      <c r="B438" t="s">
        <v>524</v>
      </c>
      <c r="C438" t="s">
        <v>78</v>
      </c>
      <c r="E438" s="22">
        <v>0.04</v>
      </c>
      <c r="F438" t="s">
        <v>648</v>
      </c>
      <c r="G438" t="s">
        <v>649</v>
      </c>
      <c r="H438" t="s">
        <v>650</v>
      </c>
      <c r="I438" t="s">
        <v>651</v>
      </c>
      <c r="J438" t="s">
        <v>652</v>
      </c>
      <c r="K438" t="s">
        <v>48</v>
      </c>
      <c r="L438">
        <v>2016</v>
      </c>
      <c r="M438" t="s">
        <v>56</v>
      </c>
      <c r="N438" t="s">
        <v>55</v>
      </c>
      <c r="P438" s="6" t="s">
        <v>1110</v>
      </c>
    </row>
    <row r="439" spans="1:16" x14ac:dyDescent="0.2">
      <c r="A439">
        <v>970698993</v>
      </c>
      <c r="B439" t="s">
        <v>524</v>
      </c>
      <c r="C439" t="s">
        <v>78</v>
      </c>
      <c r="E439" s="22">
        <v>0.08</v>
      </c>
      <c r="F439" t="s">
        <v>648</v>
      </c>
      <c r="G439" t="s">
        <v>649</v>
      </c>
      <c r="H439" t="s">
        <v>650</v>
      </c>
      <c r="I439" t="s">
        <v>651</v>
      </c>
      <c r="J439" t="s">
        <v>652</v>
      </c>
      <c r="K439" t="s">
        <v>48</v>
      </c>
      <c r="L439">
        <v>2016</v>
      </c>
      <c r="M439" t="s">
        <v>56</v>
      </c>
      <c r="N439" t="s">
        <v>55</v>
      </c>
      <c r="P439" s="6" t="s">
        <v>1111</v>
      </c>
    </row>
    <row r="440" spans="1:16" x14ac:dyDescent="0.2">
      <c r="A440">
        <v>633537205</v>
      </c>
      <c r="B440" t="s">
        <v>524</v>
      </c>
      <c r="C440" t="s">
        <v>78</v>
      </c>
      <c r="E440" s="22">
        <v>0.1</v>
      </c>
      <c r="F440" t="s">
        <v>648</v>
      </c>
      <c r="G440" t="s">
        <v>649</v>
      </c>
      <c r="H440" t="s">
        <v>650</v>
      </c>
      <c r="I440" t="s">
        <v>651</v>
      </c>
      <c r="J440" t="s">
        <v>652</v>
      </c>
      <c r="K440" t="s">
        <v>48</v>
      </c>
      <c r="L440">
        <v>2016</v>
      </c>
      <c r="M440" t="s">
        <v>56</v>
      </c>
      <c r="N440" t="s">
        <v>55</v>
      </c>
      <c r="P440" s="6" t="s">
        <v>1112</v>
      </c>
    </row>
    <row r="441" spans="1:16" x14ac:dyDescent="0.2">
      <c r="A441">
        <v>534292868</v>
      </c>
      <c r="B441" t="s">
        <v>524</v>
      </c>
      <c r="C441" t="s">
        <v>78</v>
      </c>
      <c r="E441" s="22">
        <v>0.08</v>
      </c>
      <c r="F441" t="s">
        <v>648</v>
      </c>
      <c r="G441" t="s">
        <v>649</v>
      </c>
      <c r="H441" t="s">
        <v>650</v>
      </c>
      <c r="I441" t="s">
        <v>651</v>
      </c>
      <c r="J441" t="s">
        <v>652</v>
      </c>
      <c r="K441" t="s">
        <v>48</v>
      </c>
      <c r="L441">
        <v>2016</v>
      </c>
      <c r="M441" t="s">
        <v>56</v>
      </c>
      <c r="N441" t="s">
        <v>55</v>
      </c>
      <c r="P441" s="6" t="s">
        <v>1113</v>
      </c>
    </row>
    <row r="442" spans="1:16" x14ac:dyDescent="0.2">
      <c r="A442">
        <v>816787809</v>
      </c>
      <c r="B442" t="s">
        <v>524</v>
      </c>
      <c r="C442" t="s">
        <v>78</v>
      </c>
      <c r="E442" s="22">
        <v>0.64</v>
      </c>
      <c r="F442" t="s">
        <v>648</v>
      </c>
      <c r="G442" t="s">
        <v>649</v>
      </c>
      <c r="H442" t="s">
        <v>650</v>
      </c>
      <c r="I442" t="s">
        <v>651</v>
      </c>
      <c r="J442" t="s">
        <v>652</v>
      </c>
      <c r="K442" t="s">
        <v>48</v>
      </c>
      <c r="L442">
        <v>2016</v>
      </c>
      <c r="M442" t="s">
        <v>56</v>
      </c>
      <c r="N442" t="s">
        <v>55</v>
      </c>
      <c r="P442" s="6" t="s">
        <v>1114</v>
      </c>
    </row>
    <row r="443" spans="1:16" x14ac:dyDescent="0.2">
      <c r="A443">
        <v>220052551</v>
      </c>
      <c r="B443" t="s">
        <v>524</v>
      </c>
      <c r="C443" t="s">
        <v>78</v>
      </c>
      <c r="E443" s="22">
        <v>0.14000000000000001</v>
      </c>
      <c r="F443" t="s">
        <v>648</v>
      </c>
      <c r="G443" t="s">
        <v>649</v>
      </c>
      <c r="H443" t="s">
        <v>650</v>
      </c>
      <c r="I443" t="s">
        <v>651</v>
      </c>
      <c r="J443" t="s">
        <v>652</v>
      </c>
      <c r="K443" t="s">
        <v>48</v>
      </c>
      <c r="L443">
        <v>2016</v>
      </c>
      <c r="M443" t="s">
        <v>56</v>
      </c>
      <c r="N443" t="s">
        <v>55</v>
      </c>
      <c r="P443" s="6" t="s">
        <v>1115</v>
      </c>
    </row>
    <row r="444" spans="1:16" x14ac:dyDescent="0.2">
      <c r="A444">
        <v>858571733</v>
      </c>
      <c r="B444" t="s">
        <v>524</v>
      </c>
      <c r="C444" t="s">
        <v>78</v>
      </c>
      <c r="E444" s="22">
        <v>0.16</v>
      </c>
      <c r="F444" t="s">
        <v>648</v>
      </c>
      <c r="G444" t="s">
        <v>649</v>
      </c>
      <c r="H444" t="s">
        <v>650</v>
      </c>
      <c r="I444" t="s">
        <v>651</v>
      </c>
      <c r="J444" t="s">
        <v>652</v>
      </c>
      <c r="K444" t="s">
        <v>48</v>
      </c>
      <c r="L444">
        <v>2016</v>
      </c>
      <c r="M444" t="s">
        <v>56</v>
      </c>
      <c r="N444" t="s">
        <v>55</v>
      </c>
      <c r="P444" s="6" t="s">
        <v>1116</v>
      </c>
    </row>
    <row r="445" spans="1:16" x14ac:dyDescent="0.2">
      <c r="A445">
        <v>363436152</v>
      </c>
      <c r="B445" t="s">
        <v>524</v>
      </c>
      <c r="C445" t="s">
        <v>78</v>
      </c>
      <c r="E445" s="22">
        <v>0.46000000000000008</v>
      </c>
      <c r="F445" t="s">
        <v>648</v>
      </c>
      <c r="G445" t="s">
        <v>649</v>
      </c>
      <c r="H445" t="s">
        <v>650</v>
      </c>
      <c r="I445" t="s">
        <v>651</v>
      </c>
      <c r="J445" t="s">
        <v>652</v>
      </c>
      <c r="K445" t="s">
        <v>48</v>
      </c>
      <c r="L445">
        <v>2016</v>
      </c>
      <c r="M445" t="s">
        <v>56</v>
      </c>
      <c r="N445" t="s">
        <v>55</v>
      </c>
      <c r="P445" s="6" t="s">
        <v>1117</v>
      </c>
    </row>
    <row r="446" spans="1:16" x14ac:dyDescent="0.2">
      <c r="A446">
        <v>393495083</v>
      </c>
      <c r="B446" t="s">
        <v>524</v>
      </c>
      <c r="C446" t="s">
        <v>78</v>
      </c>
      <c r="E446" s="22">
        <v>0.18</v>
      </c>
      <c r="F446" t="s">
        <v>648</v>
      </c>
      <c r="G446" t="s">
        <v>649</v>
      </c>
      <c r="H446" t="s">
        <v>650</v>
      </c>
      <c r="I446" t="s">
        <v>651</v>
      </c>
      <c r="J446" t="s">
        <v>652</v>
      </c>
      <c r="K446" t="s">
        <v>48</v>
      </c>
      <c r="L446">
        <v>2016</v>
      </c>
      <c r="M446" t="s">
        <v>56</v>
      </c>
      <c r="N446" t="s">
        <v>55</v>
      </c>
      <c r="P446" s="6" t="s">
        <v>1118</v>
      </c>
    </row>
    <row r="447" spans="1:16" x14ac:dyDescent="0.2">
      <c r="A447">
        <v>769635714</v>
      </c>
      <c r="B447" t="s">
        <v>524</v>
      </c>
      <c r="C447" t="s">
        <v>78</v>
      </c>
      <c r="E447" s="22">
        <v>0.64</v>
      </c>
      <c r="F447" t="s">
        <v>648</v>
      </c>
      <c r="G447" t="s">
        <v>649</v>
      </c>
      <c r="H447" t="s">
        <v>650</v>
      </c>
      <c r="I447" t="s">
        <v>651</v>
      </c>
      <c r="J447" t="s">
        <v>652</v>
      </c>
      <c r="K447" t="s">
        <v>48</v>
      </c>
      <c r="L447">
        <v>2016</v>
      </c>
      <c r="M447" t="s">
        <v>56</v>
      </c>
      <c r="N447" t="s">
        <v>55</v>
      </c>
      <c r="P447" s="6" t="s">
        <v>1119</v>
      </c>
    </row>
    <row r="448" spans="1:16" x14ac:dyDescent="0.2">
      <c r="A448">
        <v>373048949</v>
      </c>
      <c r="B448" t="s">
        <v>524</v>
      </c>
      <c r="C448" t="s">
        <v>78</v>
      </c>
      <c r="E448" s="22">
        <v>0.3</v>
      </c>
      <c r="F448" t="s">
        <v>648</v>
      </c>
      <c r="G448" t="s">
        <v>649</v>
      </c>
      <c r="H448" t="s">
        <v>650</v>
      </c>
      <c r="I448" t="s">
        <v>651</v>
      </c>
      <c r="J448" t="s">
        <v>652</v>
      </c>
      <c r="K448" t="s">
        <v>48</v>
      </c>
      <c r="L448">
        <v>2016</v>
      </c>
      <c r="M448" t="s">
        <v>56</v>
      </c>
      <c r="N448" t="s">
        <v>55</v>
      </c>
      <c r="P448" s="6" t="s">
        <v>1120</v>
      </c>
    </row>
    <row r="449" spans="1:16" x14ac:dyDescent="0.2">
      <c r="A449">
        <v>357061292</v>
      </c>
      <c r="B449" t="s">
        <v>524</v>
      </c>
      <c r="C449" t="s">
        <v>78</v>
      </c>
      <c r="E449" s="22">
        <v>0.5</v>
      </c>
      <c r="F449" t="s">
        <v>648</v>
      </c>
      <c r="G449" t="s">
        <v>649</v>
      </c>
      <c r="H449" t="s">
        <v>650</v>
      </c>
      <c r="I449" t="s">
        <v>651</v>
      </c>
      <c r="J449" t="s">
        <v>652</v>
      </c>
      <c r="K449" t="s">
        <v>48</v>
      </c>
      <c r="L449">
        <v>2016</v>
      </c>
      <c r="M449" t="s">
        <v>56</v>
      </c>
      <c r="N449" t="s">
        <v>55</v>
      </c>
      <c r="P449" s="6" t="s">
        <v>1121</v>
      </c>
    </row>
    <row r="450" spans="1:16" x14ac:dyDescent="0.2">
      <c r="A450">
        <v>837310284</v>
      </c>
      <c r="B450" t="s">
        <v>524</v>
      </c>
      <c r="C450" t="s">
        <v>78</v>
      </c>
      <c r="E450" s="22">
        <v>0.36</v>
      </c>
      <c r="F450" t="s">
        <v>648</v>
      </c>
      <c r="G450" t="s">
        <v>649</v>
      </c>
      <c r="H450" t="s">
        <v>650</v>
      </c>
      <c r="I450" t="s">
        <v>651</v>
      </c>
      <c r="J450" t="s">
        <v>652</v>
      </c>
      <c r="K450" t="s">
        <v>48</v>
      </c>
      <c r="L450">
        <v>2016</v>
      </c>
      <c r="M450" t="s">
        <v>56</v>
      </c>
      <c r="N450" t="s">
        <v>55</v>
      </c>
      <c r="P450" s="6" t="s">
        <v>1122</v>
      </c>
    </row>
    <row r="451" spans="1:16" x14ac:dyDescent="0.2">
      <c r="A451">
        <v>815854164</v>
      </c>
      <c r="B451" t="s">
        <v>524</v>
      </c>
      <c r="C451" t="s">
        <v>78</v>
      </c>
      <c r="E451" s="22">
        <v>0.62</v>
      </c>
      <c r="F451" t="s">
        <v>648</v>
      </c>
      <c r="G451" t="s">
        <v>649</v>
      </c>
      <c r="H451" t="s">
        <v>650</v>
      </c>
      <c r="I451" t="s">
        <v>651</v>
      </c>
      <c r="J451" t="s">
        <v>652</v>
      </c>
      <c r="K451" t="s">
        <v>48</v>
      </c>
      <c r="L451">
        <v>2016</v>
      </c>
      <c r="M451" t="s">
        <v>56</v>
      </c>
      <c r="N451" t="s">
        <v>55</v>
      </c>
      <c r="P451" s="6" t="s">
        <v>1123</v>
      </c>
    </row>
    <row r="452" spans="1:16" x14ac:dyDescent="0.2">
      <c r="A452">
        <v>315378369</v>
      </c>
      <c r="B452" t="s">
        <v>524</v>
      </c>
      <c r="C452" t="s">
        <v>78</v>
      </c>
      <c r="E452" s="22">
        <v>0.36</v>
      </c>
      <c r="F452" t="s">
        <v>648</v>
      </c>
      <c r="G452" t="s">
        <v>649</v>
      </c>
      <c r="H452" t="s">
        <v>650</v>
      </c>
      <c r="I452" t="s">
        <v>651</v>
      </c>
      <c r="J452" t="s">
        <v>652</v>
      </c>
      <c r="K452" t="s">
        <v>48</v>
      </c>
      <c r="L452">
        <v>2016</v>
      </c>
      <c r="M452" t="s">
        <v>56</v>
      </c>
      <c r="N452" t="s">
        <v>55</v>
      </c>
      <c r="P452" s="6" t="s">
        <v>1124</v>
      </c>
    </row>
    <row r="453" spans="1:16" x14ac:dyDescent="0.2">
      <c r="A453">
        <v>564410540</v>
      </c>
      <c r="B453" t="s">
        <v>524</v>
      </c>
      <c r="C453" t="s">
        <v>78</v>
      </c>
      <c r="E453" s="22">
        <v>0.72</v>
      </c>
      <c r="F453" t="s">
        <v>648</v>
      </c>
      <c r="G453" t="s">
        <v>649</v>
      </c>
      <c r="H453" t="s">
        <v>650</v>
      </c>
      <c r="I453" t="s">
        <v>651</v>
      </c>
      <c r="J453" t="s">
        <v>652</v>
      </c>
      <c r="K453" t="s">
        <v>48</v>
      </c>
      <c r="L453">
        <v>2016</v>
      </c>
      <c r="M453" t="s">
        <v>56</v>
      </c>
      <c r="N453" t="s">
        <v>55</v>
      </c>
      <c r="P453" s="6" t="s">
        <v>1125</v>
      </c>
    </row>
    <row r="454" spans="1:16" x14ac:dyDescent="0.2">
      <c r="A454">
        <v>126539887</v>
      </c>
      <c r="B454" t="s">
        <v>524</v>
      </c>
      <c r="C454" t="s">
        <v>78</v>
      </c>
      <c r="E454" s="22">
        <v>0.62</v>
      </c>
      <c r="F454" t="s">
        <v>648</v>
      </c>
      <c r="G454" t="s">
        <v>649</v>
      </c>
      <c r="H454" t="s">
        <v>650</v>
      </c>
      <c r="I454" t="s">
        <v>651</v>
      </c>
      <c r="J454" t="s">
        <v>652</v>
      </c>
      <c r="K454" t="s">
        <v>48</v>
      </c>
      <c r="L454">
        <v>2016</v>
      </c>
      <c r="M454" t="s">
        <v>56</v>
      </c>
      <c r="N454" t="s">
        <v>55</v>
      </c>
      <c r="P454" s="6" t="s">
        <v>1126</v>
      </c>
    </row>
    <row r="455" spans="1:16" x14ac:dyDescent="0.2">
      <c r="A455">
        <v>563937624</v>
      </c>
      <c r="B455" t="s">
        <v>524</v>
      </c>
      <c r="C455" t="s">
        <v>78</v>
      </c>
      <c r="E455" s="22">
        <v>0.2</v>
      </c>
      <c r="F455" t="s">
        <v>648</v>
      </c>
      <c r="G455" t="s">
        <v>649</v>
      </c>
      <c r="H455" t="s">
        <v>650</v>
      </c>
      <c r="I455" t="s">
        <v>651</v>
      </c>
      <c r="J455" t="s">
        <v>652</v>
      </c>
      <c r="K455" t="s">
        <v>48</v>
      </c>
      <c r="L455">
        <v>2016</v>
      </c>
      <c r="M455" t="s">
        <v>56</v>
      </c>
      <c r="N455" t="s">
        <v>55</v>
      </c>
      <c r="P455" s="6" t="s">
        <v>1127</v>
      </c>
    </row>
    <row r="456" spans="1:16" x14ac:dyDescent="0.2">
      <c r="A456">
        <v>684291511</v>
      </c>
      <c r="B456" t="s">
        <v>524</v>
      </c>
      <c r="C456" t="s">
        <v>78</v>
      </c>
      <c r="E456" s="22">
        <v>0.52</v>
      </c>
      <c r="F456" t="s">
        <v>648</v>
      </c>
      <c r="G456" t="s">
        <v>649</v>
      </c>
      <c r="H456" t="s">
        <v>650</v>
      </c>
      <c r="I456" t="s">
        <v>651</v>
      </c>
      <c r="J456" t="s">
        <v>652</v>
      </c>
      <c r="K456" t="s">
        <v>48</v>
      </c>
      <c r="L456">
        <v>2016</v>
      </c>
      <c r="M456" t="s">
        <v>56</v>
      </c>
      <c r="N456" t="s">
        <v>55</v>
      </c>
      <c r="P456" s="6" t="s">
        <v>1128</v>
      </c>
    </row>
    <row r="457" spans="1:16" x14ac:dyDescent="0.2">
      <c r="A457">
        <v>598829620</v>
      </c>
      <c r="B457" t="s">
        <v>527</v>
      </c>
      <c r="C457" t="s">
        <v>660</v>
      </c>
      <c r="E457" s="22">
        <v>0.23333333333333334</v>
      </c>
      <c r="F457" t="s">
        <v>648</v>
      </c>
      <c r="G457" t="s">
        <v>649</v>
      </c>
      <c r="H457" t="s">
        <v>650</v>
      </c>
      <c r="I457" t="s">
        <v>651</v>
      </c>
      <c r="J457" t="s">
        <v>652</v>
      </c>
      <c r="K457" t="s">
        <v>48</v>
      </c>
      <c r="L457">
        <v>2016</v>
      </c>
      <c r="M457" t="s">
        <v>56</v>
      </c>
      <c r="N457" t="s">
        <v>55</v>
      </c>
      <c r="P457" s="6" t="s">
        <v>1129</v>
      </c>
    </row>
    <row r="458" spans="1:16" x14ac:dyDescent="0.2">
      <c r="A458">
        <v>684014860</v>
      </c>
      <c r="B458" t="s">
        <v>527</v>
      </c>
      <c r="C458" t="s">
        <v>660</v>
      </c>
      <c r="E458" s="22">
        <v>0.56000000000000005</v>
      </c>
      <c r="F458" t="s">
        <v>648</v>
      </c>
      <c r="G458" t="s">
        <v>649</v>
      </c>
      <c r="H458" t="s">
        <v>650</v>
      </c>
      <c r="I458" t="s">
        <v>651</v>
      </c>
      <c r="J458" t="s">
        <v>652</v>
      </c>
      <c r="K458" t="s">
        <v>48</v>
      </c>
      <c r="L458">
        <v>2016</v>
      </c>
      <c r="M458" t="s">
        <v>56</v>
      </c>
      <c r="N458" t="s">
        <v>55</v>
      </c>
      <c r="P458" s="6" t="s">
        <v>1130</v>
      </c>
    </row>
    <row r="459" spans="1:16" x14ac:dyDescent="0.2">
      <c r="A459">
        <v>843228181</v>
      </c>
      <c r="B459" t="s">
        <v>527</v>
      </c>
      <c r="C459" t="s">
        <v>660</v>
      </c>
      <c r="E459" s="22">
        <v>0.54666666666666675</v>
      </c>
      <c r="F459" t="s">
        <v>648</v>
      </c>
      <c r="G459" t="s">
        <v>649</v>
      </c>
      <c r="H459" t="s">
        <v>650</v>
      </c>
      <c r="I459" t="s">
        <v>651</v>
      </c>
      <c r="J459" t="s">
        <v>652</v>
      </c>
      <c r="K459" t="s">
        <v>48</v>
      </c>
      <c r="L459">
        <v>2016</v>
      </c>
      <c r="M459" t="s">
        <v>56</v>
      </c>
      <c r="N459" t="s">
        <v>55</v>
      </c>
      <c r="P459" s="6" t="s">
        <v>1131</v>
      </c>
    </row>
    <row r="460" spans="1:16" x14ac:dyDescent="0.2">
      <c r="A460">
        <v>820549378</v>
      </c>
      <c r="B460" t="s">
        <v>527</v>
      </c>
      <c r="C460" t="s">
        <v>660</v>
      </c>
      <c r="E460" s="22">
        <v>0.3</v>
      </c>
      <c r="F460" t="s">
        <v>648</v>
      </c>
      <c r="G460" t="s">
        <v>649</v>
      </c>
      <c r="H460" t="s">
        <v>650</v>
      </c>
      <c r="I460" t="s">
        <v>651</v>
      </c>
      <c r="J460" t="s">
        <v>652</v>
      </c>
      <c r="K460" t="s">
        <v>48</v>
      </c>
      <c r="L460">
        <v>2016</v>
      </c>
      <c r="M460" t="s">
        <v>56</v>
      </c>
      <c r="N460" t="s">
        <v>55</v>
      </c>
      <c r="P460" s="6" t="s">
        <v>1132</v>
      </c>
    </row>
    <row r="461" spans="1:16" x14ac:dyDescent="0.2">
      <c r="A461">
        <v>533572169</v>
      </c>
      <c r="B461" t="s">
        <v>527</v>
      </c>
      <c r="C461" t="s">
        <v>660</v>
      </c>
      <c r="E461" s="22">
        <v>0.21333333333333335</v>
      </c>
      <c r="F461" t="s">
        <v>648</v>
      </c>
      <c r="G461" t="s">
        <v>649</v>
      </c>
      <c r="H461" t="s">
        <v>650</v>
      </c>
      <c r="I461" t="s">
        <v>651</v>
      </c>
      <c r="J461" t="s">
        <v>652</v>
      </c>
      <c r="K461" t="s">
        <v>48</v>
      </c>
      <c r="L461">
        <v>2016</v>
      </c>
      <c r="M461" t="s">
        <v>56</v>
      </c>
      <c r="N461" t="s">
        <v>55</v>
      </c>
      <c r="P461" s="6" t="s">
        <v>1133</v>
      </c>
    </row>
    <row r="462" spans="1:16" x14ac:dyDescent="0.2">
      <c r="A462">
        <v>975325712</v>
      </c>
      <c r="B462" t="s">
        <v>527</v>
      </c>
      <c r="C462" t="s">
        <v>660</v>
      </c>
      <c r="E462" s="22">
        <v>0.38666666666666666</v>
      </c>
      <c r="F462" t="s">
        <v>648</v>
      </c>
      <c r="G462" t="s">
        <v>649</v>
      </c>
      <c r="H462" t="s">
        <v>650</v>
      </c>
      <c r="I462" t="s">
        <v>651</v>
      </c>
      <c r="J462" t="s">
        <v>652</v>
      </c>
      <c r="K462" t="s">
        <v>48</v>
      </c>
      <c r="L462">
        <v>2016</v>
      </c>
      <c r="M462" t="s">
        <v>56</v>
      </c>
      <c r="N462" t="s">
        <v>55</v>
      </c>
      <c r="P462" s="6" t="s">
        <v>1134</v>
      </c>
    </row>
    <row r="463" spans="1:16" x14ac:dyDescent="0.2">
      <c r="A463">
        <v>310082419</v>
      </c>
      <c r="B463" t="s">
        <v>527</v>
      </c>
      <c r="C463" t="s">
        <v>660</v>
      </c>
      <c r="E463" s="22">
        <v>0.1</v>
      </c>
      <c r="F463" t="s">
        <v>648</v>
      </c>
      <c r="G463" t="s">
        <v>649</v>
      </c>
      <c r="H463" t="s">
        <v>650</v>
      </c>
      <c r="I463" t="s">
        <v>651</v>
      </c>
      <c r="J463" t="s">
        <v>652</v>
      </c>
      <c r="K463" t="s">
        <v>48</v>
      </c>
      <c r="L463">
        <v>2016</v>
      </c>
      <c r="M463" t="s">
        <v>56</v>
      </c>
      <c r="N463" t="s">
        <v>55</v>
      </c>
      <c r="P463" s="6" t="s">
        <v>1135</v>
      </c>
    </row>
    <row r="464" spans="1:16" x14ac:dyDescent="0.2">
      <c r="A464">
        <v>242132470</v>
      </c>
      <c r="B464" t="s">
        <v>527</v>
      </c>
      <c r="C464" t="s">
        <v>660</v>
      </c>
      <c r="E464" s="22">
        <v>0.26</v>
      </c>
      <c r="F464" t="s">
        <v>648</v>
      </c>
      <c r="G464" t="s">
        <v>649</v>
      </c>
      <c r="H464" t="s">
        <v>650</v>
      </c>
      <c r="I464" t="s">
        <v>651</v>
      </c>
      <c r="J464" t="s">
        <v>652</v>
      </c>
      <c r="K464" t="s">
        <v>48</v>
      </c>
      <c r="L464">
        <v>2016</v>
      </c>
      <c r="M464" t="s">
        <v>56</v>
      </c>
      <c r="N464" t="s">
        <v>55</v>
      </c>
      <c r="P464" s="6" t="s">
        <v>1136</v>
      </c>
    </row>
    <row r="465" spans="1:16" x14ac:dyDescent="0.2">
      <c r="A465">
        <v>208248363</v>
      </c>
      <c r="B465" t="s">
        <v>527</v>
      </c>
      <c r="C465" t="s">
        <v>660</v>
      </c>
      <c r="E465" s="22">
        <v>0.47333333333333338</v>
      </c>
      <c r="F465" t="s">
        <v>648</v>
      </c>
      <c r="G465" t="s">
        <v>649</v>
      </c>
      <c r="H465" t="s">
        <v>650</v>
      </c>
      <c r="I465" t="s">
        <v>651</v>
      </c>
      <c r="J465" t="s">
        <v>652</v>
      </c>
      <c r="K465" t="s">
        <v>48</v>
      </c>
      <c r="L465">
        <v>2016</v>
      </c>
      <c r="M465" t="s">
        <v>56</v>
      </c>
      <c r="N465" t="s">
        <v>55</v>
      </c>
      <c r="P465" s="6" t="s">
        <v>1137</v>
      </c>
    </row>
    <row r="466" spans="1:16" x14ac:dyDescent="0.2">
      <c r="A466">
        <v>277055951</v>
      </c>
      <c r="B466" t="s">
        <v>527</v>
      </c>
      <c r="C466" t="s">
        <v>660</v>
      </c>
      <c r="E466" s="22">
        <v>0.17333333333333334</v>
      </c>
      <c r="F466" t="s">
        <v>648</v>
      </c>
      <c r="G466" t="s">
        <v>649</v>
      </c>
      <c r="H466" t="s">
        <v>650</v>
      </c>
      <c r="I466" t="s">
        <v>651</v>
      </c>
      <c r="J466" t="s">
        <v>652</v>
      </c>
      <c r="K466" t="s">
        <v>48</v>
      </c>
      <c r="L466">
        <v>2016</v>
      </c>
      <c r="M466" t="s">
        <v>56</v>
      </c>
      <c r="N466" t="s">
        <v>55</v>
      </c>
      <c r="P466" s="6" t="s">
        <v>1138</v>
      </c>
    </row>
    <row r="467" spans="1:16" x14ac:dyDescent="0.2">
      <c r="A467">
        <v>902907559</v>
      </c>
      <c r="B467" t="s">
        <v>527</v>
      </c>
      <c r="C467" t="s">
        <v>660</v>
      </c>
      <c r="E467" s="22">
        <v>0.61333333333333329</v>
      </c>
      <c r="F467" t="s">
        <v>648</v>
      </c>
      <c r="G467" t="s">
        <v>649</v>
      </c>
      <c r="H467" t="s">
        <v>650</v>
      </c>
      <c r="I467" t="s">
        <v>651</v>
      </c>
      <c r="J467" t="s">
        <v>652</v>
      </c>
      <c r="K467" t="s">
        <v>48</v>
      </c>
      <c r="L467">
        <v>2016</v>
      </c>
      <c r="M467" t="s">
        <v>56</v>
      </c>
      <c r="N467" t="s">
        <v>55</v>
      </c>
      <c r="P467" s="6" t="s">
        <v>1139</v>
      </c>
    </row>
    <row r="468" spans="1:16" x14ac:dyDescent="0.2">
      <c r="A468">
        <v>528297980</v>
      </c>
      <c r="B468" t="s">
        <v>527</v>
      </c>
      <c r="C468" t="s">
        <v>660</v>
      </c>
      <c r="E468" s="22">
        <v>0.59333333333333338</v>
      </c>
      <c r="F468" t="s">
        <v>648</v>
      </c>
      <c r="G468" t="s">
        <v>649</v>
      </c>
      <c r="H468" t="s">
        <v>650</v>
      </c>
      <c r="I468" t="s">
        <v>651</v>
      </c>
      <c r="J468" t="s">
        <v>652</v>
      </c>
      <c r="K468" t="s">
        <v>48</v>
      </c>
      <c r="L468">
        <v>2016</v>
      </c>
      <c r="M468" t="s">
        <v>56</v>
      </c>
      <c r="N468" t="s">
        <v>55</v>
      </c>
      <c r="P468" s="6" t="s">
        <v>1140</v>
      </c>
    </row>
    <row r="469" spans="1:16" x14ac:dyDescent="0.2">
      <c r="A469">
        <v>444882790</v>
      </c>
      <c r="B469" t="s">
        <v>527</v>
      </c>
      <c r="C469" t="s">
        <v>660</v>
      </c>
      <c r="E469" s="22">
        <v>8.0000000000000016E-2</v>
      </c>
      <c r="F469" t="s">
        <v>648</v>
      </c>
      <c r="G469" t="s">
        <v>649</v>
      </c>
      <c r="H469" t="s">
        <v>650</v>
      </c>
      <c r="I469" t="s">
        <v>651</v>
      </c>
      <c r="J469" t="s">
        <v>652</v>
      </c>
      <c r="K469" t="s">
        <v>48</v>
      </c>
      <c r="L469">
        <v>2016</v>
      </c>
      <c r="M469" t="s">
        <v>56</v>
      </c>
      <c r="N469" t="s">
        <v>55</v>
      </c>
      <c r="P469" s="6" t="s">
        <v>1141</v>
      </c>
    </row>
    <row r="470" spans="1:16" x14ac:dyDescent="0.2">
      <c r="A470">
        <v>112085131</v>
      </c>
      <c r="B470" t="s">
        <v>527</v>
      </c>
      <c r="C470" t="s">
        <v>660</v>
      </c>
      <c r="E470" s="22">
        <v>0.14666666666666667</v>
      </c>
      <c r="F470" t="s">
        <v>648</v>
      </c>
      <c r="G470" t="s">
        <v>649</v>
      </c>
      <c r="H470" t="s">
        <v>650</v>
      </c>
      <c r="I470" t="s">
        <v>651</v>
      </c>
      <c r="J470" t="s">
        <v>652</v>
      </c>
      <c r="K470" t="s">
        <v>48</v>
      </c>
      <c r="L470">
        <v>2016</v>
      </c>
      <c r="M470" t="s">
        <v>56</v>
      </c>
      <c r="N470" t="s">
        <v>55</v>
      </c>
      <c r="P470" s="6" t="s">
        <v>1142</v>
      </c>
    </row>
    <row r="471" spans="1:16" x14ac:dyDescent="0.2">
      <c r="A471">
        <v>588642518</v>
      </c>
      <c r="B471" t="s">
        <v>527</v>
      </c>
      <c r="C471" t="s">
        <v>660</v>
      </c>
      <c r="E471" s="22">
        <v>0.85333333333333339</v>
      </c>
      <c r="F471" t="s">
        <v>648</v>
      </c>
      <c r="G471" t="s">
        <v>649</v>
      </c>
      <c r="H471" t="s">
        <v>650</v>
      </c>
      <c r="I471" t="s">
        <v>651</v>
      </c>
      <c r="J471" t="s">
        <v>652</v>
      </c>
      <c r="K471" t="s">
        <v>48</v>
      </c>
      <c r="L471">
        <v>2016</v>
      </c>
      <c r="M471" t="s">
        <v>56</v>
      </c>
      <c r="N471" t="s">
        <v>55</v>
      </c>
      <c r="P471" s="6" t="s">
        <v>1143</v>
      </c>
    </row>
    <row r="472" spans="1:16" x14ac:dyDescent="0.2">
      <c r="A472">
        <v>414520736</v>
      </c>
      <c r="B472" t="s">
        <v>527</v>
      </c>
      <c r="C472" t="s">
        <v>660</v>
      </c>
      <c r="E472" s="22">
        <v>0.58666666666666656</v>
      </c>
      <c r="F472" t="s">
        <v>648</v>
      </c>
      <c r="G472" t="s">
        <v>649</v>
      </c>
      <c r="H472" t="s">
        <v>650</v>
      </c>
      <c r="I472" t="s">
        <v>651</v>
      </c>
      <c r="J472" t="s">
        <v>652</v>
      </c>
      <c r="K472" t="s">
        <v>48</v>
      </c>
      <c r="L472">
        <v>2016</v>
      </c>
      <c r="M472" t="s">
        <v>56</v>
      </c>
      <c r="N472" t="s">
        <v>55</v>
      </c>
      <c r="P472" s="6" t="s">
        <v>1144</v>
      </c>
    </row>
    <row r="473" spans="1:16" x14ac:dyDescent="0.2">
      <c r="A473">
        <v>356558346</v>
      </c>
      <c r="B473" t="s">
        <v>527</v>
      </c>
      <c r="C473" t="s">
        <v>660</v>
      </c>
      <c r="E473" s="22">
        <v>0.3</v>
      </c>
      <c r="F473" t="s">
        <v>648</v>
      </c>
      <c r="G473" t="s">
        <v>649</v>
      </c>
      <c r="H473" t="s">
        <v>650</v>
      </c>
      <c r="I473" t="s">
        <v>651</v>
      </c>
      <c r="J473" t="s">
        <v>652</v>
      </c>
      <c r="K473" t="s">
        <v>48</v>
      </c>
      <c r="L473">
        <v>2016</v>
      </c>
      <c r="M473" t="s">
        <v>56</v>
      </c>
      <c r="N473" t="s">
        <v>55</v>
      </c>
      <c r="P473" s="6" t="s">
        <v>1145</v>
      </c>
    </row>
    <row r="474" spans="1:16" x14ac:dyDescent="0.2">
      <c r="A474">
        <v>970698993</v>
      </c>
      <c r="B474" t="s">
        <v>527</v>
      </c>
      <c r="C474" t="s">
        <v>660</v>
      </c>
      <c r="E474" s="22">
        <v>0.66</v>
      </c>
      <c r="F474" t="s">
        <v>648</v>
      </c>
      <c r="G474" t="s">
        <v>649</v>
      </c>
      <c r="H474" t="s">
        <v>650</v>
      </c>
      <c r="I474" t="s">
        <v>651</v>
      </c>
      <c r="J474" t="s">
        <v>652</v>
      </c>
      <c r="K474" t="s">
        <v>48</v>
      </c>
      <c r="L474">
        <v>2016</v>
      </c>
      <c r="M474" t="s">
        <v>56</v>
      </c>
      <c r="N474" t="s">
        <v>55</v>
      </c>
      <c r="P474" s="6" t="s">
        <v>1146</v>
      </c>
    </row>
    <row r="475" spans="1:16" x14ac:dyDescent="0.2">
      <c r="A475">
        <v>633537205</v>
      </c>
      <c r="B475" t="s">
        <v>527</v>
      </c>
      <c r="C475" t="s">
        <v>660</v>
      </c>
      <c r="E475" s="22">
        <v>0.27333333333333332</v>
      </c>
      <c r="F475" t="s">
        <v>648</v>
      </c>
      <c r="G475" t="s">
        <v>649</v>
      </c>
      <c r="H475" t="s">
        <v>650</v>
      </c>
      <c r="I475" t="s">
        <v>651</v>
      </c>
      <c r="J475" t="s">
        <v>652</v>
      </c>
      <c r="K475" t="s">
        <v>48</v>
      </c>
      <c r="L475">
        <v>2016</v>
      </c>
      <c r="M475" t="s">
        <v>56</v>
      </c>
      <c r="N475" t="s">
        <v>55</v>
      </c>
      <c r="P475" s="6" t="s">
        <v>1147</v>
      </c>
    </row>
    <row r="476" spans="1:16" x14ac:dyDescent="0.2">
      <c r="A476">
        <v>534292868</v>
      </c>
      <c r="B476" t="s">
        <v>527</v>
      </c>
      <c r="C476" t="s">
        <v>660</v>
      </c>
      <c r="E476" s="22">
        <v>0.62666666666666671</v>
      </c>
      <c r="F476" t="s">
        <v>648</v>
      </c>
      <c r="G476" t="s">
        <v>649</v>
      </c>
      <c r="H476" t="s">
        <v>650</v>
      </c>
      <c r="I476" t="s">
        <v>651</v>
      </c>
      <c r="J476" t="s">
        <v>652</v>
      </c>
      <c r="K476" t="s">
        <v>48</v>
      </c>
      <c r="L476">
        <v>2016</v>
      </c>
      <c r="M476" t="s">
        <v>56</v>
      </c>
      <c r="N476" t="s">
        <v>55</v>
      </c>
      <c r="P476" s="6" t="s">
        <v>1148</v>
      </c>
    </row>
    <row r="477" spans="1:16" x14ac:dyDescent="0.2">
      <c r="A477">
        <v>816787809</v>
      </c>
      <c r="B477" t="s">
        <v>527</v>
      </c>
      <c r="C477" t="s">
        <v>660</v>
      </c>
      <c r="E477" s="22">
        <v>0.52666666666666673</v>
      </c>
      <c r="F477" t="s">
        <v>648</v>
      </c>
      <c r="G477" t="s">
        <v>649</v>
      </c>
      <c r="H477" t="s">
        <v>650</v>
      </c>
      <c r="I477" t="s">
        <v>651</v>
      </c>
      <c r="J477" t="s">
        <v>652</v>
      </c>
      <c r="K477" t="s">
        <v>48</v>
      </c>
      <c r="L477">
        <v>2016</v>
      </c>
      <c r="M477" t="s">
        <v>56</v>
      </c>
      <c r="N477" t="s">
        <v>55</v>
      </c>
      <c r="P477" s="6" t="s">
        <v>1149</v>
      </c>
    </row>
    <row r="478" spans="1:16" x14ac:dyDescent="0.2">
      <c r="A478">
        <v>220052551</v>
      </c>
      <c r="B478" t="s">
        <v>527</v>
      </c>
      <c r="C478" t="s">
        <v>660</v>
      </c>
      <c r="E478" s="22">
        <v>0.53999999999999992</v>
      </c>
      <c r="F478" t="s">
        <v>648</v>
      </c>
      <c r="G478" t="s">
        <v>649</v>
      </c>
      <c r="H478" t="s">
        <v>650</v>
      </c>
      <c r="I478" t="s">
        <v>651</v>
      </c>
      <c r="J478" t="s">
        <v>652</v>
      </c>
      <c r="K478" t="s">
        <v>48</v>
      </c>
      <c r="L478">
        <v>2016</v>
      </c>
      <c r="M478" t="s">
        <v>56</v>
      </c>
      <c r="N478" t="s">
        <v>55</v>
      </c>
      <c r="P478" s="6" t="s">
        <v>1150</v>
      </c>
    </row>
    <row r="479" spans="1:16" x14ac:dyDescent="0.2">
      <c r="A479">
        <v>858571733</v>
      </c>
      <c r="B479" t="s">
        <v>527</v>
      </c>
      <c r="C479" t="s">
        <v>660</v>
      </c>
      <c r="E479" s="22">
        <v>0.18000000000000002</v>
      </c>
      <c r="F479" t="s">
        <v>648</v>
      </c>
      <c r="G479" t="s">
        <v>649</v>
      </c>
      <c r="H479" t="s">
        <v>650</v>
      </c>
      <c r="I479" t="s">
        <v>651</v>
      </c>
      <c r="J479" t="s">
        <v>652</v>
      </c>
      <c r="K479" t="s">
        <v>48</v>
      </c>
      <c r="L479">
        <v>2016</v>
      </c>
      <c r="M479" t="s">
        <v>56</v>
      </c>
      <c r="N479" t="s">
        <v>55</v>
      </c>
      <c r="P479" s="6" t="s">
        <v>1151</v>
      </c>
    </row>
    <row r="480" spans="1:16" x14ac:dyDescent="0.2">
      <c r="A480">
        <v>363436152</v>
      </c>
      <c r="B480" t="s">
        <v>527</v>
      </c>
      <c r="C480" t="s">
        <v>660</v>
      </c>
      <c r="E480" s="22">
        <v>0.29333333333333333</v>
      </c>
      <c r="F480" t="s">
        <v>648</v>
      </c>
      <c r="G480" t="s">
        <v>649</v>
      </c>
      <c r="H480" t="s">
        <v>650</v>
      </c>
      <c r="I480" t="s">
        <v>651</v>
      </c>
      <c r="J480" t="s">
        <v>652</v>
      </c>
      <c r="K480" t="s">
        <v>48</v>
      </c>
      <c r="L480">
        <v>2016</v>
      </c>
      <c r="M480" t="s">
        <v>56</v>
      </c>
      <c r="N480" t="s">
        <v>55</v>
      </c>
      <c r="P480" s="6" t="s">
        <v>1152</v>
      </c>
    </row>
    <row r="481" spans="1:16" x14ac:dyDescent="0.2">
      <c r="A481">
        <v>393495083</v>
      </c>
      <c r="B481" t="s">
        <v>527</v>
      </c>
      <c r="C481" t="s">
        <v>660</v>
      </c>
      <c r="E481" s="22">
        <v>0.66666666666666663</v>
      </c>
      <c r="F481" t="s">
        <v>648</v>
      </c>
      <c r="G481" t="s">
        <v>649</v>
      </c>
      <c r="H481" t="s">
        <v>650</v>
      </c>
      <c r="I481" t="s">
        <v>651</v>
      </c>
      <c r="J481" t="s">
        <v>652</v>
      </c>
      <c r="K481" t="s">
        <v>48</v>
      </c>
      <c r="L481">
        <v>2016</v>
      </c>
      <c r="M481" t="s">
        <v>56</v>
      </c>
      <c r="N481" t="s">
        <v>55</v>
      </c>
      <c r="P481" s="6" t="s">
        <v>1153</v>
      </c>
    </row>
    <row r="482" spans="1:16" x14ac:dyDescent="0.2">
      <c r="A482">
        <v>769635714</v>
      </c>
      <c r="B482" t="s">
        <v>527</v>
      </c>
      <c r="C482" t="s">
        <v>660</v>
      </c>
      <c r="E482" s="22">
        <v>0.8</v>
      </c>
      <c r="F482" t="s">
        <v>648</v>
      </c>
      <c r="G482" t="s">
        <v>649</v>
      </c>
      <c r="H482" t="s">
        <v>650</v>
      </c>
      <c r="I482" t="s">
        <v>651</v>
      </c>
      <c r="J482" t="s">
        <v>652</v>
      </c>
      <c r="K482" t="s">
        <v>48</v>
      </c>
      <c r="L482">
        <v>2016</v>
      </c>
      <c r="M482" t="s">
        <v>56</v>
      </c>
      <c r="N482" t="s">
        <v>55</v>
      </c>
      <c r="P482" s="6" t="s">
        <v>1154</v>
      </c>
    </row>
    <row r="483" spans="1:16" x14ac:dyDescent="0.2">
      <c r="A483">
        <v>373048949</v>
      </c>
      <c r="B483" t="s">
        <v>527</v>
      </c>
      <c r="C483" t="s">
        <v>660</v>
      </c>
      <c r="E483" s="22">
        <v>0.6333333333333333</v>
      </c>
      <c r="F483" t="s">
        <v>648</v>
      </c>
      <c r="G483" t="s">
        <v>649</v>
      </c>
      <c r="H483" t="s">
        <v>650</v>
      </c>
      <c r="I483" t="s">
        <v>651</v>
      </c>
      <c r="J483" t="s">
        <v>652</v>
      </c>
      <c r="K483" t="s">
        <v>48</v>
      </c>
      <c r="L483">
        <v>2016</v>
      </c>
      <c r="M483" t="s">
        <v>56</v>
      </c>
      <c r="N483" t="s">
        <v>55</v>
      </c>
      <c r="P483" s="6" t="s">
        <v>1155</v>
      </c>
    </row>
    <row r="484" spans="1:16" x14ac:dyDescent="0.2">
      <c r="A484">
        <v>357061292</v>
      </c>
      <c r="B484" t="s">
        <v>527</v>
      </c>
      <c r="C484" t="s">
        <v>660</v>
      </c>
      <c r="E484" s="22">
        <v>0.23333333333333334</v>
      </c>
      <c r="F484" t="s">
        <v>648</v>
      </c>
      <c r="G484" t="s">
        <v>649</v>
      </c>
      <c r="H484" t="s">
        <v>650</v>
      </c>
      <c r="I484" t="s">
        <v>651</v>
      </c>
      <c r="J484" t="s">
        <v>652</v>
      </c>
      <c r="K484" t="s">
        <v>48</v>
      </c>
      <c r="L484">
        <v>2016</v>
      </c>
      <c r="M484" t="s">
        <v>56</v>
      </c>
      <c r="N484" t="s">
        <v>55</v>
      </c>
      <c r="P484" s="6" t="s">
        <v>1156</v>
      </c>
    </row>
    <row r="485" spans="1:16" x14ac:dyDescent="0.2">
      <c r="A485">
        <v>837310284</v>
      </c>
      <c r="B485" t="s">
        <v>527</v>
      </c>
      <c r="C485" t="s">
        <v>660</v>
      </c>
      <c r="E485" s="22">
        <v>0.42</v>
      </c>
      <c r="F485" t="s">
        <v>648</v>
      </c>
      <c r="G485" t="s">
        <v>649</v>
      </c>
      <c r="H485" t="s">
        <v>650</v>
      </c>
      <c r="I485" t="s">
        <v>651</v>
      </c>
      <c r="J485" t="s">
        <v>652</v>
      </c>
      <c r="K485" t="s">
        <v>48</v>
      </c>
      <c r="L485">
        <v>2016</v>
      </c>
      <c r="M485" t="s">
        <v>56</v>
      </c>
      <c r="N485" t="s">
        <v>55</v>
      </c>
      <c r="P485" s="6" t="s">
        <v>1157</v>
      </c>
    </row>
    <row r="486" spans="1:16" x14ac:dyDescent="0.2">
      <c r="A486">
        <v>815854164</v>
      </c>
      <c r="B486" t="s">
        <v>527</v>
      </c>
      <c r="C486" t="s">
        <v>660</v>
      </c>
      <c r="E486" s="22">
        <v>0.8</v>
      </c>
      <c r="F486" t="s">
        <v>648</v>
      </c>
      <c r="G486" t="s">
        <v>649</v>
      </c>
      <c r="H486" t="s">
        <v>650</v>
      </c>
      <c r="I486" t="s">
        <v>651</v>
      </c>
      <c r="J486" t="s">
        <v>652</v>
      </c>
      <c r="K486" t="s">
        <v>48</v>
      </c>
      <c r="L486">
        <v>2016</v>
      </c>
      <c r="M486" t="s">
        <v>56</v>
      </c>
      <c r="N486" t="s">
        <v>55</v>
      </c>
      <c r="P486" s="6" t="s">
        <v>1158</v>
      </c>
    </row>
    <row r="487" spans="1:16" x14ac:dyDescent="0.2">
      <c r="A487">
        <v>315378369</v>
      </c>
      <c r="B487" t="s">
        <v>527</v>
      </c>
      <c r="C487" t="s">
        <v>660</v>
      </c>
      <c r="E487" s="22">
        <v>0.2</v>
      </c>
      <c r="F487" t="s">
        <v>648</v>
      </c>
      <c r="G487" t="s">
        <v>649</v>
      </c>
      <c r="H487" t="s">
        <v>650</v>
      </c>
      <c r="I487" t="s">
        <v>651</v>
      </c>
      <c r="J487" t="s">
        <v>652</v>
      </c>
      <c r="K487" t="s">
        <v>48</v>
      </c>
      <c r="L487">
        <v>2016</v>
      </c>
      <c r="M487" t="s">
        <v>56</v>
      </c>
      <c r="N487" t="s">
        <v>55</v>
      </c>
      <c r="P487" s="6" t="s">
        <v>1159</v>
      </c>
    </row>
    <row r="488" spans="1:16" x14ac:dyDescent="0.2">
      <c r="A488">
        <v>564410540</v>
      </c>
      <c r="B488" t="s">
        <v>527</v>
      </c>
      <c r="C488" t="s">
        <v>660</v>
      </c>
      <c r="E488" s="22">
        <v>0.38</v>
      </c>
      <c r="F488" t="s">
        <v>648</v>
      </c>
      <c r="G488" t="s">
        <v>649</v>
      </c>
      <c r="H488" t="s">
        <v>650</v>
      </c>
      <c r="I488" t="s">
        <v>651</v>
      </c>
      <c r="J488" t="s">
        <v>652</v>
      </c>
      <c r="K488" t="s">
        <v>48</v>
      </c>
      <c r="L488">
        <v>2016</v>
      </c>
      <c r="M488" t="s">
        <v>56</v>
      </c>
      <c r="N488" t="s">
        <v>55</v>
      </c>
      <c r="P488" s="6" t="s">
        <v>1160</v>
      </c>
    </row>
    <row r="489" spans="1:16" x14ac:dyDescent="0.2">
      <c r="A489">
        <v>126539887</v>
      </c>
      <c r="B489" t="s">
        <v>527</v>
      </c>
      <c r="C489" t="s">
        <v>660</v>
      </c>
      <c r="E489" s="22">
        <v>0.25333333333333335</v>
      </c>
      <c r="F489" t="s">
        <v>648</v>
      </c>
      <c r="G489" t="s">
        <v>649</v>
      </c>
      <c r="H489" t="s">
        <v>650</v>
      </c>
      <c r="I489" t="s">
        <v>651</v>
      </c>
      <c r="J489" t="s">
        <v>652</v>
      </c>
      <c r="K489" t="s">
        <v>48</v>
      </c>
      <c r="L489">
        <v>2016</v>
      </c>
      <c r="M489" t="s">
        <v>56</v>
      </c>
      <c r="N489" t="s">
        <v>55</v>
      </c>
      <c r="P489" s="6" t="s">
        <v>1161</v>
      </c>
    </row>
    <row r="490" spans="1:16" x14ac:dyDescent="0.2">
      <c r="A490">
        <v>563937624</v>
      </c>
      <c r="B490" t="s">
        <v>527</v>
      </c>
      <c r="C490" t="s">
        <v>660</v>
      </c>
      <c r="E490" s="22">
        <v>0.1</v>
      </c>
      <c r="F490" t="s">
        <v>648</v>
      </c>
      <c r="G490" t="s">
        <v>649</v>
      </c>
      <c r="H490" t="s">
        <v>650</v>
      </c>
      <c r="I490" t="s">
        <v>651</v>
      </c>
      <c r="J490" t="s">
        <v>652</v>
      </c>
      <c r="K490" t="s">
        <v>48</v>
      </c>
      <c r="L490">
        <v>2016</v>
      </c>
      <c r="M490" t="s">
        <v>56</v>
      </c>
      <c r="N490" t="s">
        <v>55</v>
      </c>
      <c r="P490" s="6" t="s">
        <v>1162</v>
      </c>
    </row>
    <row r="491" spans="1:16" x14ac:dyDescent="0.2">
      <c r="A491">
        <v>684291511</v>
      </c>
      <c r="B491" t="s">
        <v>527</v>
      </c>
      <c r="C491" t="s">
        <v>660</v>
      </c>
      <c r="E491" s="22">
        <v>0.42000000000000004</v>
      </c>
      <c r="F491" t="s">
        <v>648</v>
      </c>
      <c r="G491" t="s">
        <v>649</v>
      </c>
      <c r="H491" t="s">
        <v>650</v>
      </c>
      <c r="I491" t="s">
        <v>651</v>
      </c>
      <c r="J491" t="s">
        <v>652</v>
      </c>
      <c r="K491" t="s">
        <v>48</v>
      </c>
      <c r="L491">
        <v>2016</v>
      </c>
      <c r="M491" t="s">
        <v>56</v>
      </c>
      <c r="N491" t="s">
        <v>55</v>
      </c>
      <c r="P491" s="6" t="s">
        <v>1163</v>
      </c>
    </row>
    <row r="492" spans="1:16" x14ac:dyDescent="0.2">
      <c r="A492">
        <v>598829620</v>
      </c>
      <c r="B492" t="s">
        <v>527</v>
      </c>
      <c r="C492" t="s">
        <v>661</v>
      </c>
      <c r="E492" s="22">
        <v>0.23333333333333334</v>
      </c>
      <c r="F492" t="s">
        <v>648</v>
      </c>
      <c r="G492" t="s">
        <v>649</v>
      </c>
      <c r="H492" t="s">
        <v>650</v>
      </c>
      <c r="I492" t="s">
        <v>651</v>
      </c>
      <c r="J492" t="s">
        <v>652</v>
      </c>
      <c r="K492" t="s">
        <v>48</v>
      </c>
      <c r="L492">
        <v>2016</v>
      </c>
      <c r="M492" t="s">
        <v>56</v>
      </c>
      <c r="N492" t="s">
        <v>55</v>
      </c>
      <c r="P492" s="6" t="s">
        <v>1164</v>
      </c>
    </row>
    <row r="493" spans="1:16" x14ac:dyDescent="0.2">
      <c r="A493">
        <v>684014860</v>
      </c>
      <c r="B493" t="s">
        <v>527</v>
      </c>
      <c r="C493" t="s">
        <v>661</v>
      </c>
      <c r="E493" s="22">
        <v>0.56000000000000005</v>
      </c>
      <c r="F493" t="s">
        <v>648</v>
      </c>
      <c r="G493" t="s">
        <v>649</v>
      </c>
      <c r="H493" t="s">
        <v>650</v>
      </c>
      <c r="I493" t="s">
        <v>651</v>
      </c>
      <c r="J493" t="s">
        <v>652</v>
      </c>
      <c r="K493" t="s">
        <v>48</v>
      </c>
      <c r="L493">
        <v>2016</v>
      </c>
      <c r="M493" t="s">
        <v>56</v>
      </c>
      <c r="N493" t="s">
        <v>55</v>
      </c>
      <c r="P493" s="6" t="s">
        <v>1165</v>
      </c>
    </row>
    <row r="494" spans="1:16" x14ac:dyDescent="0.2">
      <c r="A494">
        <v>843228181</v>
      </c>
      <c r="B494" t="s">
        <v>527</v>
      </c>
      <c r="C494" t="s">
        <v>661</v>
      </c>
      <c r="E494" s="22">
        <v>0.54666666666666675</v>
      </c>
      <c r="F494" t="s">
        <v>648</v>
      </c>
      <c r="G494" t="s">
        <v>649</v>
      </c>
      <c r="H494" t="s">
        <v>650</v>
      </c>
      <c r="I494" t="s">
        <v>651</v>
      </c>
      <c r="J494" t="s">
        <v>652</v>
      </c>
      <c r="K494" t="s">
        <v>48</v>
      </c>
      <c r="L494">
        <v>2016</v>
      </c>
      <c r="M494" t="s">
        <v>56</v>
      </c>
      <c r="N494" t="s">
        <v>55</v>
      </c>
      <c r="P494" s="6" t="s">
        <v>1166</v>
      </c>
    </row>
    <row r="495" spans="1:16" x14ac:dyDescent="0.2">
      <c r="A495">
        <v>820549378</v>
      </c>
      <c r="B495" t="s">
        <v>527</v>
      </c>
      <c r="C495" t="s">
        <v>661</v>
      </c>
      <c r="E495" s="22">
        <v>0.3</v>
      </c>
      <c r="F495" t="s">
        <v>648</v>
      </c>
      <c r="G495" t="s">
        <v>649</v>
      </c>
      <c r="H495" t="s">
        <v>650</v>
      </c>
      <c r="I495" t="s">
        <v>651</v>
      </c>
      <c r="J495" t="s">
        <v>652</v>
      </c>
      <c r="K495" t="s">
        <v>48</v>
      </c>
      <c r="L495">
        <v>2016</v>
      </c>
      <c r="M495" t="s">
        <v>56</v>
      </c>
      <c r="N495" t="s">
        <v>55</v>
      </c>
      <c r="P495" s="6" t="s">
        <v>1167</v>
      </c>
    </row>
    <row r="496" spans="1:16" x14ac:dyDescent="0.2">
      <c r="A496">
        <v>533572169</v>
      </c>
      <c r="B496" t="s">
        <v>527</v>
      </c>
      <c r="C496" t="s">
        <v>661</v>
      </c>
      <c r="E496" s="22">
        <v>0.21333333333333335</v>
      </c>
      <c r="F496" t="s">
        <v>648</v>
      </c>
      <c r="G496" t="s">
        <v>649</v>
      </c>
      <c r="H496" t="s">
        <v>650</v>
      </c>
      <c r="I496" t="s">
        <v>651</v>
      </c>
      <c r="J496" t="s">
        <v>652</v>
      </c>
      <c r="K496" t="s">
        <v>48</v>
      </c>
      <c r="L496">
        <v>2016</v>
      </c>
      <c r="M496" t="s">
        <v>56</v>
      </c>
      <c r="N496" t="s">
        <v>55</v>
      </c>
      <c r="P496" s="6" t="s">
        <v>1168</v>
      </c>
    </row>
    <row r="497" spans="1:16" x14ac:dyDescent="0.2">
      <c r="A497">
        <v>975325712</v>
      </c>
      <c r="B497" t="s">
        <v>527</v>
      </c>
      <c r="C497" t="s">
        <v>661</v>
      </c>
      <c r="E497" s="22">
        <v>0.38666666666666666</v>
      </c>
      <c r="F497" t="s">
        <v>648</v>
      </c>
      <c r="G497" t="s">
        <v>649</v>
      </c>
      <c r="H497" t="s">
        <v>650</v>
      </c>
      <c r="I497" t="s">
        <v>651</v>
      </c>
      <c r="J497" t="s">
        <v>652</v>
      </c>
      <c r="K497" t="s">
        <v>48</v>
      </c>
      <c r="L497">
        <v>2016</v>
      </c>
      <c r="M497" t="s">
        <v>56</v>
      </c>
      <c r="N497" t="s">
        <v>55</v>
      </c>
      <c r="P497" s="6" t="s">
        <v>1169</v>
      </c>
    </row>
    <row r="498" spans="1:16" x14ac:dyDescent="0.2">
      <c r="A498">
        <v>310082419</v>
      </c>
      <c r="B498" t="s">
        <v>527</v>
      </c>
      <c r="C498" t="s">
        <v>661</v>
      </c>
      <c r="E498" s="22">
        <v>0.1</v>
      </c>
      <c r="F498" t="s">
        <v>648</v>
      </c>
      <c r="G498" t="s">
        <v>649</v>
      </c>
      <c r="H498" t="s">
        <v>650</v>
      </c>
      <c r="I498" t="s">
        <v>651</v>
      </c>
      <c r="J498" t="s">
        <v>652</v>
      </c>
      <c r="K498" t="s">
        <v>48</v>
      </c>
      <c r="L498">
        <v>2016</v>
      </c>
      <c r="M498" t="s">
        <v>56</v>
      </c>
      <c r="N498" t="s">
        <v>55</v>
      </c>
      <c r="P498" s="6" t="s">
        <v>1170</v>
      </c>
    </row>
    <row r="499" spans="1:16" x14ac:dyDescent="0.2">
      <c r="A499">
        <v>242132470</v>
      </c>
      <c r="B499" t="s">
        <v>527</v>
      </c>
      <c r="C499" t="s">
        <v>661</v>
      </c>
      <c r="E499" s="22">
        <v>0.26</v>
      </c>
      <c r="F499" t="s">
        <v>648</v>
      </c>
      <c r="G499" t="s">
        <v>649</v>
      </c>
      <c r="H499" t="s">
        <v>650</v>
      </c>
      <c r="I499" t="s">
        <v>651</v>
      </c>
      <c r="J499" t="s">
        <v>652</v>
      </c>
      <c r="K499" t="s">
        <v>48</v>
      </c>
      <c r="L499">
        <v>2016</v>
      </c>
      <c r="M499" t="s">
        <v>56</v>
      </c>
      <c r="N499" t="s">
        <v>55</v>
      </c>
      <c r="P499" s="6" t="s">
        <v>1171</v>
      </c>
    </row>
    <row r="500" spans="1:16" x14ac:dyDescent="0.2">
      <c r="A500">
        <v>208248363</v>
      </c>
      <c r="B500" t="s">
        <v>527</v>
      </c>
      <c r="C500" t="s">
        <v>661</v>
      </c>
      <c r="E500" s="22">
        <v>0.47333333333333338</v>
      </c>
      <c r="F500" t="s">
        <v>648</v>
      </c>
      <c r="G500" t="s">
        <v>649</v>
      </c>
      <c r="H500" t="s">
        <v>650</v>
      </c>
      <c r="I500" t="s">
        <v>651</v>
      </c>
      <c r="J500" t="s">
        <v>652</v>
      </c>
      <c r="K500" t="s">
        <v>48</v>
      </c>
      <c r="L500">
        <v>2016</v>
      </c>
      <c r="M500" t="s">
        <v>56</v>
      </c>
      <c r="N500" t="s">
        <v>55</v>
      </c>
      <c r="P500" s="6" t="s">
        <v>1172</v>
      </c>
    </row>
    <row r="501" spans="1:16" x14ac:dyDescent="0.2">
      <c r="A501">
        <v>277055951</v>
      </c>
      <c r="B501" t="s">
        <v>527</v>
      </c>
      <c r="C501" t="s">
        <v>661</v>
      </c>
      <c r="E501" s="22">
        <v>0.17333333333333334</v>
      </c>
      <c r="F501" t="s">
        <v>648</v>
      </c>
      <c r="G501" t="s">
        <v>649</v>
      </c>
      <c r="H501" t="s">
        <v>650</v>
      </c>
      <c r="I501" t="s">
        <v>651</v>
      </c>
      <c r="J501" t="s">
        <v>652</v>
      </c>
      <c r="K501" t="s">
        <v>48</v>
      </c>
      <c r="L501">
        <v>2016</v>
      </c>
      <c r="M501" t="s">
        <v>56</v>
      </c>
      <c r="N501" t="s">
        <v>55</v>
      </c>
      <c r="P501" s="6" t="s">
        <v>1173</v>
      </c>
    </row>
    <row r="502" spans="1:16" x14ac:dyDescent="0.2">
      <c r="A502">
        <v>902907559</v>
      </c>
      <c r="B502" t="s">
        <v>527</v>
      </c>
      <c r="C502" t="s">
        <v>661</v>
      </c>
      <c r="E502" s="22">
        <v>0.61333333333333329</v>
      </c>
      <c r="F502" t="s">
        <v>648</v>
      </c>
      <c r="G502" t="s">
        <v>649</v>
      </c>
      <c r="H502" t="s">
        <v>650</v>
      </c>
      <c r="I502" t="s">
        <v>651</v>
      </c>
      <c r="J502" t="s">
        <v>652</v>
      </c>
      <c r="K502" t="s">
        <v>48</v>
      </c>
      <c r="L502">
        <v>2016</v>
      </c>
      <c r="M502" t="s">
        <v>56</v>
      </c>
      <c r="N502" t="s">
        <v>55</v>
      </c>
      <c r="P502" s="6" t="s">
        <v>1174</v>
      </c>
    </row>
    <row r="503" spans="1:16" x14ac:dyDescent="0.2">
      <c r="A503">
        <v>528297980</v>
      </c>
      <c r="B503" t="s">
        <v>527</v>
      </c>
      <c r="C503" t="s">
        <v>661</v>
      </c>
      <c r="E503" s="22">
        <v>0.59333333333333338</v>
      </c>
      <c r="F503" t="s">
        <v>648</v>
      </c>
      <c r="G503" t="s">
        <v>649</v>
      </c>
      <c r="H503" t="s">
        <v>650</v>
      </c>
      <c r="I503" t="s">
        <v>651</v>
      </c>
      <c r="J503" t="s">
        <v>652</v>
      </c>
      <c r="K503" t="s">
        <v>48</v>
      </c>
      <c r="L503">
        <v>2016</v>
      </c>
      <c r="M503" t="s">
        <v>56</v>
      </c>
      <c r="N503" t="s">
        <v>55</v>
      </c>
      <c r="P503" s="6" t="s">
        <v>1175</v>
      </c>
    </row>
    <row r="504" spans="1:16" x14ac:dyDescent="0.2">
      <c r="A504">
        <v>444882790</v>
      </c>
      <c r="B504" t="s">
        <v>527</v>
      </c>
      <c r="C504" t="s">
        <v>661</v>
      </c>
      <c r="E504" s="22">
        <v>8.0000000000000016E-2</v>
      </c>
      <c r="F504" t="s">
        <v>648</v>
      </c>
      <c r="G504" t="s">
        <v>649</v>
      </c>
      <c r="H504" t="s">
        <v>650</v>
      </c>
      <c r="I504" t="s">
        <v>651</v>
      </c>
      <c r="J504" t="s">
        <v>652</v>
      </c>
      <c r="K504" t="s">
        <v>48</v>
      </c>
      <c r="L504">
        <v>2016</v>
      </c>
      <c r="M504" t="s">
        <v>56</v>
      </c>
      <c r="N504" t="s">
        <v>55</v>
      </c>
      <c r="P504" s="6" t="s">
        <v>1176</v>
      </c>
    </row>
    <row r="505" spans="1:16" x14ac:dyDescent="0.2">
      <c r="A505">
        <v>112085131</v>
      </c>
      <c r="B505" t="s">
        <v>527</v>
      </c>
      <c r="C505" t="s">
        <v>661</v>
      </c>
      <c r="E505" s="22">
        <v>0.14666666666666667</v>
      </c>
      <c r="F505" t="s">
        <v>648</v>
      </c>
      <c r="G505" t="s">
        <v>649</v>
      </c>
      <c r="H505" t="s">
        <v>650</v>
      </c>
      <c r="I505" t="s">
        <v>651</v>
      </c>
      <c r="J505" t="s">
        <v>652</v>
      </c>
      <c r="K505" t="s">
        <v>48</v>
      </c>
      <c r="L505">
        <v>2016</v>
      </c>
      <c r="M505" t="s">
        <v>56</v>
      </c>
      <c r="N505" t="s">
        <v>55</v>
      </c>
      <c r="P505" s="6" t="s">
        <v>1177</v>
      </c>
    </row>
    <row r="506" spans="1:16" x14ac:dyDescent="0.2">
      <c r="A506">
        <v>588642518</v>
      </c>
      <c r="B506" t="s">
        <v>527</v>
      </c>
      <c r="C506" t="s">
        <v>661</v>
      </c>
      <c r="E506" s="22">
        <v>0.85333333333333339</v>
      </c>
      <c r="F506" t="s">
        <v>648</v>
      </c>
      <c r="G506" t="s">
        <v>649</v>
      </c>
      <c r="H506" t="s">
        <v>650</v>
      </c>
      <c r="I506" t="s">
        <v>651</v>
      </c>
      <c r="J506" t="s">
        <v>652</v>
      </c>
      <c r="K506" t="s">
        <v>48</v>
      </c>
      <c r="L506">
        <v>2016</v>
      </c>
      <c r="M506" t="s">
        <v>56</v>
      </c>
      <c r="N506" t="s">
        <v>55</v>
      </c>
      <c r="P506" s="6" t="s">
        <v>1178</v>
      </c>
    </row>
    <row r="507" spans="1:16" x14ac:dyDescent="0.2">
      <c r="A507">
        <v>414520736</v>
      </c>
      <c r="B507" t="s">
        <v>527</v>
      </c>
      <c r="C507" t="s">
        <v>661</v>
      </c>
      <c r="E507" s="22">
        <v>0.58666666666666656</v>
      </c>
      <c r="F507" t="s">
        <v>648</v>
      </c>
      <c r="G507" t="s">
        <v>649</v>
      </c>
      <c r="H507" t="s">
        <v>650</v>
      </c>
      <c r="I507" t="s">
        <v>651</v>
      </c>
      <c r="J507" t="s">
        <v>652</v>
      </c>
      <c r="K507" t="s">
        <v>48</v>
      </c>
      <c r="L507">
        <v>2016</v>
      </c>
      <c r="M507" t="s">
        <v>56</v>
      </c>
      <c r="N507" t="s">
        <v>55</v>
      </c>
      <c r="P507" s="6" t="s">
        <v>1179</v>
      </c>
    </row>
    <row r="508" spans="1:16" x14ac:dyDescent="0.2">
      <c r="A508">
        <v>356558346</v>
      </c>
      <c r="B508" t="s">
        <v>527</v>
      </c>
      <c r="C508" t="s">
        <v>661</v>
      </c>
      <c r="E508" s="22">
        <v>0.3</v>
      </c>
      <c r="F508" t="s">
        <v>648</v>
      </c>
      <c r="G508" t="s">
        <v>649</v>
      </c>
      <c r="H508" t="s">
        <v>650</v>
      </c>
      <c r="I508" t="s">
        <v>651</v>
      </c>
      <c r="J508" t="s">
        <v>652</v>
      </c>
      <c r="K508" t="s">
        <v>48</v>
      </c>
      <c r="L508">
        <v>2016</v>
      </c>
      <c r="M508" t="s">
        <v>56</v>
      </c>
      <c r="N508" t="s">
        <v>55</v>
      </c>
      <c r="P508" s="6" t="s">
        <v>1180</v>
      </c>
    </row>
    <row r="509" spans="1:16" x14ac:dyDescent="0.2">
      <c r="A509">
        <v>970698993</v>
      </c>
      <c r="B509" t="s">
        <v>527</v>
      </c>
      <c r="C509" t="s">
        <v>661</v>
      </c>
      <c r="E509" s="22">
        <v>0.66</v>
      </c>
      <c r="F509" t="s">
        <v>648</v>
      </c>
      <c r="G509" t="s">
        <v>649</v>
      </c>
      <c r="H509" t="s">
        <v>650</v>
      </c>
      <c r="I509" t="s">
        <v>651</v>
      </c>
      <c r="J509" t="s">
        <v>652</v>
      </c>
      <c r="K509" t="s">
        <v>48</v>
      </c>
      <c r="L509">
        <v>2016</v>
      </c>
      <c r="M509" t="s">
        <v>56</v>
      </c>
      <c r="N509" t="s">
        <v>55</v>
      </c>
      <c r="P509" s="6" t="s">
        <v>1181</v>
      </c>
    </row>
    <row r="510" spans="1:16" x14ac:dyDescent="0.2">
      <c r="A510">
        <v>633537205</v>
      </c>
      <c r="B510" t="s">
        <v>527</v>
      </c>
      <c r="C510" t="s">
        <v>661</v>
      </c>
      <c r="E510" s="22">
        <v>0.27333333333333332</v>
      </c>
      <c r="F510" t="s">
        <v>648</v>
      </c>
      <c r="G510" t="s">
        <v>649</v>
      </c>
      <c r="H510" t="s">
        <v>650</v>
      </c>
      <c r="I510" t="s">
        <v>651</v>
      </c>
      <c r="J510" t="s">
        <v>652</v>
      </c>
      <c r="K510" t="s">
        <v>48</v>
      </c>
      <c r="L510">
        <v>2016</v>
      </c>
      <c r="M510" t="s">
        <v>56</v>
      </c>
      <c r="N510" t="s">
        <v>55</v>
      </c>
      <c r="P510" s="6" t="s">
        <v>1182</v>
      </c>
    </row>
    <row r="511" spans="1:16" x14ac:dyDescent="0.2">
      <c r="A511">
        <v>534292868</v>
      </c>
      <c r="B511" t="s">
        <v>527</v>
      </c>
      <c r="C511" t="s">
        <v>661</v>
      </c>
      <c r="E511" s="22">
        <v>0.62666666666666671</v>
      </c>
      <c r="F511" t="s">
        <v>648</v>
      </c>
      <c r="G511" t="s">
        <v>649</v>
      </c>
      <c r="H511" t="s">
        <v>650</v>
      </c>
      <c r="I511" t="s">
        <v>651</v>
      </c>
      <c r="J511" t="s">
        <v>652</v>
      </c>
      <c r="K511" t="s">
        <v>48</v>
      </c>
      <c r="L511">
        <v>2016</v>
      </c>
      <c r="M511" t="s">
        <v>56</v>
      </c>
      <c r="N511" t="s">
        <v>55</v>
      </c>
      <c r="P511" s="6" t="s">
        <v>1183</v>
      </c>
    </row>
    <row r="512" spans="1:16" x14ac:dyDescent="0.2">
      <c r="A512">
        <v>816787809</v>
      </c>
      <c r="B512" t="s">
        <v>527</v>
      </c>
      <c r="C512" t="s">
        <v>661</v>
      </c>
      <c r="E512" s="22">
        <v>0.52666666666666673</v>
      </c>
      <c r="F512" t="s">
        <v>648</v>
      </c>
      <c r="G512" t="s">
        <v>649</v>
      </c>
      <c r="H512" t="s">
        <v>650</v>
      </c>
      <c r="I512" t="s">
        <v>651</v>
      </c>
      <c r="J512" t="s">
        <v>652</v>
      </c>
      <c r="K512" t="s">
        <v>48</v>
      </c>
      <c r="L512">
        <v>2016</v>
      </c>
      <c r="M512" t="s">
        <v>56</v>
      </c>
      <c r="N512" t="s">
        <v>55</v>
      </c>
      <c r="P512" s="6" t="s">
        <v>1184</v>
      </c>
    </row>
    <row r="513" spans="1:16" x14ac:dyDescent="0.2">
      <c r="A513">
        <v>220052551</v>
      </c>
      <c r="B513" t="s">
        <v>527</v>
      </c>
      <c r="C513" t="s">
        <v>661</v>
      </c>
      <c r="E513" s="22">
        <v>0.53999999999999992</v>
      </c>
      <c r="F513" t="s">
        <v>648</v>
      </c>
      <c r="G513" t="s">
        <v>649</v>
      </c>
      <c r="H513" t="s">
        <v>650</v>
      </c>
      <c r="I513" t="s">
        <v>651</v>
      </c>
      <c r="J513" t="s">
        <v>652</v>
      </c>
      <c r="K513" t="s">
        <v>48</v>
      </c>
      <c r="L513">
        <v>2016</v>
      </c>
      <c r="M513" t="s">
        <v>56</v>
      </c>
      <c r="N513" t="s">
        <v>55</v>
      </c>
      <c r="P513" s="6" t="s">
        <v>1185</v>
      </c>
    </row>
    <row r="514" spans="1:16" x14ac:dyDescent="0.2">
      <c r="A514">
        <v>858571733</v>
      </c>
      <c r="B514" t="s">
        <v>527</v>
      </c>
      <c r="C514" t="s">
        <v>661</v>
      </c>
      <c r="E514" s="22">
        <v>0.18000000000000002</v>
      </c>
      <c r="F514" t="s">
        <v>648</v>
      </c>
      <c r="G514" t="s">
        <v>649</v>
      </c>
      <c r="H514" t="s">
        <v>650</v>
      </c>
      <c r="I514" t="s">
        <v>651</v>
      </c>
      <c r="J514" t="s">
        <v>652</v>
      </c>
      <c r="K514" t="s">
        <v>48</v>
      </c>
      <c r="L514">
        <v>2016</v>
      </c>
      <c r="M514" t="s">
        <v>56</v>
      </c>
      <c r="N514" t="s">
        <v>55</v>
      </c>
      <c r="P514" s="6" t="s">
        <v>1186</v>
      </c>
    </row>
    <row r="515" spans="1:16" x14ac:dyDescent="0.2">
      <c r="A515">
        <v>363436152</v>
      </c>
      <c r="B515" t="s">
        <v>527</v>
      </c>
      <c r="C515" t="s">
        <v>661</v>
      </c>
      <c r="E515" s="22">
        <v>0.29333333333333333</v>
      </c>
      <c r="F515" t="s">
        <v>648</v>
      </c>
      <c r="G515" t="s">
        <v>649</v>
      </c>
      <c r="H515" t="s">
        <v>650</v>
      </c>
      <c r="I515" t="s">
        <v>651</v>
      </c>
      <c r="J515" t="s">
        <v>652</v>
      </c>
      <c r="K515" t="s">
        <v>48</v>
      </c>
      <c r="L515">
        <v>2016</v>
      </c>
      <c r="M515" t="s">
        <v>56</v>
      </c>
      <c r="N515" t="s">
        <v>55</v>
      </c>
      <c r="P515" s="6" t="s">
        <v>1187</v>
      </c>
    </row>
    <row r="516" spans="1:16" x14ac:dyDescent="0.2">
      <c r="A516">
        <v>393495083</v>
      </c>
      <c r="B516" t="s">
        <v>527</v>
      </c>
      <c r="C516" t="s">
        <v>661</v>
      </c>
      <c r="E516" s="22">
        <v>0.66666666666666663</v>
      </c>
      <c r="F516" t="s">
        <v>648</v>
      </c>
      <c r="G516" t="s">
        <v>649</v>
      </c>
      <c r="H516" t="s">
        <v>650</v>
      </c>
      <c r="I516" t="s">
        <v>651</v>
      </c>
      <c r="J516" t="s">
        <v>652</v>
      </c>
      <c r="K516" t="s">
        <v>48</v>
      </c>
      <c r="L516">
        <v>2016</v>
      </c>
      <c r="M516" t="s">
        <v>56</v>
      </c>
      <c r="N516" t="s">
        <v>55</v>
      </c>
      <c r="P516" s="6" t="s">
        <v>1188</v>
      </c>
    </row>
    <row r="517" spans="1:16" x14ac:dyDescent="0.2">
      <c r="A517">
        <v>769635714</v>
      </c>
      <c r="B517" t="s">
        <v>527</v>
      </c>
      <c r="C517" t="s">
        <v>661</v>
      </c>
      <c r="E517" s="22">
        <v>0.8</v>
      </c>
      <c r="F517" t="s">
        <v>648</v>
      </c>
      <c r="G517" t="s">
        <v>649</v>
      </c>
      <c r="H517" t="s">
        <v>650</v>
      </c>
      <c r="I517" t="s">
        <v>651</v>
      </c>
      <c r="J517" t="s">
        <v>652</v>
      </c>
      <c r="K517" t="s">
        <v>48</v>
      </c>
      <c r="L517">
        <v>2016</v>
      </c>
      <c r="M517" t="s">
        <v>56</v>
      </c>
      <c r="N517" t="s">
        <v>55</v>
      </c>
      <c r="P517" s="6" t="s">
        <v>1189</v>
      </c>
    </row>
    <row r="518" spans="1:16" x14ac:dyDescent="0.2">
      <c r="A518">
        <v>373048949</v>
      </c>
      <c r="B518" t="s">
        <v>527</v>
      </c>
      <c r="C518" t="s">
        <v>661</v>
      </c>
      <c r="E518" s="22">
        <v>0.6333333333333333</v>
      </c>
      <c r="F518" t="s">
        <v>648</v>
      </c>
      <c r="G518" t="s">
        <v>649</v>
      </c>
      <c r="H518" t="s">
        <v>650</v>
      </c>
      <c r="I518" t="s">
        <v>651</v>
      </c>
      <c r="J518" t="s">
        <v>652</v>
      </c>
      <c r="K518" t="s">
        <v>48</v>
      </c>
      <c r="L518">
        <v>2016</v>
      </c>
      <c r="M518" t="s">
        <v>56</v>
      </c>
      <c r="N518" t="s">
        <v>55</v>
      </c>
      <c r="P518" s="6" t="s">
        <v>1190</v>
      </c>
    </row>
    <row r="519" spans="1:16" x14ac:dyDescent="0.2">
      <c r="A519">
        <v>357061292</v>
      </c>
      <c r="B519" t="s">
        <v>527</v>
      </c>
      <c r="C519" t="s">
        <v>661</v>
      </c>
      <c r="E519" s="22">
        <v>0.23333333333333334</v>
      </c>
      <c r="F519" t="s">
        <v>648</v>
      </c>
      <c r="G519" t="s">
        <v>649</v>
      </c>
      <c r="H519" t="s">
        <v>650</v>
      </c>
      <c r="I519" t="s">
        <v>651</v>
      </c>
      <c r="J519" t="s">
        <v>652</v>
      </c>
      <c r="K519" t="s">
        <v>48</v>
      </c>
      <c r="L519">
        <v>2016</v>
      </c>
      <c r="M519" t="s">
        <v>56</v>
      </c>
      <c r="N519" t="s">
        <v>55</v>
      </c>
      <c r="P519" s="6" t="s">
        <v>1191</v>
      </c>
    </row>
    <row r="520" spans="1:16" x14ac:dyDescent="0.2">
      <c r="A520">
        <v>837310284</v>
      </c>
      <c r="B520" t="s">
        <v>527</v>
      </c>
      <c r="C520" t="s">
        <v>661</v>
      </c>
      <c r="E520" s="22">
        <v>0.42</v>
      </c>
      <c r="F520" t="s">
        <v>648</v>
      </c>
      <c r="G520" t="s">
        <v>649</v>
      </c>
      <c r="H520" t="s">
        <v>650</v>
      </c>
      <c r="I520" t="s">
        <v>651</v>
      </c>
      <c r="J520" t="s">
        <v>652</v>
      </c>
      <c r="K520" t="s">
        <v>48</v>
      </c>
      <c r="L520">
        <v>2016</v>
      </c>
      <c r="M520" t="s">
        <v>56</v>
      </c>
      <c r="N520" t="s">
        <v>55</v>
      </c>
      <c r="P520" s="6" t="s">
        <v>1192</v>
      </c>
    </row>
    <row r="521" spans="1:16" x14ac:dyDescent="0.2">
      <c r="A521">
        <v>815854164</v>
      </c>
      <c r="B521" t="s">
        <v>527</v>
      </c>
      <c r="C521" t="s">
        <v>661</v>
      </c>
      <c r="E521" s="22">
        <v>0.8</v>
      </c>
      <c r="F521" t="s">
        <v>648</v>
      </c>
      <c r="G521" t="s">
        <v>649</v>
      </c>
      <c r="H521" t="s">
        <v>650</v>
      </c>
      <c r="I521" t="s">
        <v>651</v>
      </c>
      <c r="J521" t="s">
        <v>652</v>
      </c>
      <c r="K521" t="s">
        <v>48</v>
      </c>
      <c r="L521">
        <v>2016</v>
      </c>
      <c r="M521" t="s">
        <v>56</v>
      </c>
      <c r="N521" t="s">
        <v>55</v>
      </c>
      <c r="P521" s="6" t="s">
        <v>1193</v>
      </c>
    </row>
    <row r="522" spans="1:16" x14ac:dyDescent="0.2">
      <c r="A522">
        <v>315378369</v>
      </c>
      <c r="B522" t="s">
        <v>527</v>
      </c>
      <c r="C522" t="s">
        <v>661</v>
      </c>
      <c r="E522" s="22">
        <v>0.2</v>
      </c>
      <c r="F522" t="s">
        <v>648</v>
      </c>
      <c r="G522" t="s">
        <v>649</v>
      </c>
      <c r="H522" t="s">
        <v>650</v>
      </c>
      <c r="I522" t="s">
        <v>651</v>
      </c>
      <c r="J522" t="s">
        <v>652</v>
      </c>
      <c r="K522" t="s">
        <v>48</v>
      </c>
      <c r="L522">
        <v>2016</v>
      </c>
      <c r="M522" t="s">
        <v>56</v>
      </c>
      <c r="N522" t="s">
        <v>55</v>
      </c>
      <c r="P522" s="6" t="s">
        <v>1194</v>
      </c>
    </row>
    <row r="523" spans="1:16" x14ac:dyDescent="0.2">
      <c r="A523">
        <v>564410540</v>
      </c>
      <c r="B523" t="s">
        <v>527</v>
      </c>
      <c r="C523" t="s">
        <v>661</v>
      </c>
      <c r="E523" s="22">
        <v>0.38</v>
      </c>
      <c r="F523" t="s">
        <v>648</v>
      </c>
      <c r="G523" t="s">
        <v>649</v>
      </c>
      <c r="H523" t="s">
        <v>650</v>
      </c>
      <c r="I523" t="s">
        <v>651</v>
      </c>
      <c r="J523" t="s">
        <v>652</v>
      </c>
      <c r="K523" t="s">
        <v>48</v>
      </c>
      <c r="L523">
        <v>2016</v>
      </c>
      <c r="M523" t="s">
        <v>56</v>
      </c>
      <c r="N523" t="s">
        <v>55</v>
      </c>
      <c r="P523" s="6" t="s">
        <v>1195</v>
      </c>
    </row>
    <row r="524" spans="1:16" x14ac:dyDescent="0.2">
      <c r="A524">
        <v>126539887</v>
      </c>
      <c r="B524" t="s">
        <v>527</v>
      </c>
      <c r="C524" t="s">
        <v>661</v>
      </c>
      <c r="E524" s="22">
        <v>0.25333333333333335</v>
      </c>
      <c r="F524" t="s">
        <v>648</v>
      </c>
      <c r="G524" t="s">
        <v>649</v>
      </c>
      <c r="H524" t="s">
        <v>650</v>
      </c>
      <c r="I524" t="s">
        <v>651</v>
      </c>
      <c r="J524" t="s">
        <v>652</v>
      </c>
      <c r="K524" t="s">
        <v>48</v>
      </c>
      <c r="L524">
        <v>2016</v>
      </c>
      <c r="M524" t="s">
        <v>56</v>
      </c>
      <c r="N524" t="s">
        <v>55</v>
      </c>
      <c r="P524" s="6" t="s">
        <v>1196</v>
      </c>
    </row>
    <row r="525" spans="1:16" x14ac:dyDescent="0.2">
      <c r="A525">
        <v>563937624</v>
      </c>
      <c r="B525" t="s">
        <v>527</v>
      </c>
      <c r="C525" t="s">
        <v>661</v>
      </c>
      <c r="E525" s="22">
        <v>0.1</v>
      </c>
      <c r="F525" t="s">
        <v>648</v>
      </c>
      <c r="G525" t="s">
        <v>649</v>
      </c>
      <c r="H525" t="s">
        <v>650</v>
      </c>
      <c r="I525" t="s">
        <v>651</v>
      </c>
      <c r="J525" t="s">
        <v>652</v>
      </c>
      <c r="K525" t="s">
        <v>48</v>
      </c>
      <c r="L525">
        <v>2016</v>
      </c>
      <c r="M525" t="s">
        <v>56</v>
      </c>
      <c r="N525" t="s">
        <v>55</v>
      </c>
      <c r="P525" s="6" t="s">
        <v>1197</v>
      </c>
    </row>
    <row r="526" spans="1:16" x14ac:dyDescent="0.2">
      <c r="A526">
        <v>684291511</v>
      </c>
      <c r="B526" t="s">
        <v>527</v>
      </c>
      <c r="C526" t="s">
        <v>661</v>
      </c>
      <c r="E526" s="22">
        <v>0.42000000000000004</v>
      </c>
      <c r="F526" t="s">
        <v>648</v>
      </c>
      <c r="G526" t="s">
        <v>649</v>
      </c>
      <c r="H526" t="s">
        <v>650</v>
      </c>
      <c r="I526" t="s">
        <v>651</v>
      </c>
      <c r="J526" t="s">
        <v>652</v>
      </c>
      <c r="K526" t="s">
        <v>48</v>
      </c>
      <c r="L526">
        <v>2016</v>
      </c>
      <c r="M526" t="s">
        <v>56</v>
      </c>
      <c r="N526" t="s">
        <v>55</v>
      </c>
      <c r="P526" s="6" t="s">
        <v>1198</v>
      </c>
    </row>
    <row r="527" spans="1:16" x14ac:dyDescent="0.2">
      <c r="A527">
        <v>598829620</v>
      </c>
      <c r="B527" t="s">
        <v>530</v>
      </c>
      <c r="C527" t="s">
        <v>662</v>
      </c>
      <c r="E527" s="22">
        <v>0.4</v>
      </c>
      <c r="F527" t="s">
        <v>648</v>
      </c>
      <c r="G527" t="s">
        <v>649</v>
      </c>
      <c r="H527" t="s">
        <v>650</v>
      </c>
      <c r="I527" t="s">
        <v>651</v>
      </c>
      <c r="J527" t="s">
        <v>652</v>
      </c>
      <c r="K527" t="s">
        <v>48</v>
      </c>
      <c r="L527">
        <v>2016</v>
      </c>
      <c r="M527" t="s">
        <v>56</v>
      </c>
      <c r="N527" t="s">
        <v>55</v>
      </c>
      <c r="P527" s="6" t="s">
        <v>1199</v>
      </c>
    </row>
    <row r="528" spans="1:16" x14ac:dyDescent="0.2">
      <c r="A528">
        <v>684014860</v>
      </c>
      <c r="B528" t="s">
        <v>530</v>
      </c>
      <c r="C528" t="s">
        <v>662</v>
      </c>
      <c r="E528" s="22">
        <v>0.56000000000000005</v>
      </c>
      <c r="F528" t="s">
        <v>648</v>
      </c>
      <c r="G528" t="s">
        <v>649</v>
      </c>
      <c r="H528" t="s">
        <v>650</v>
      </c>
      <c r="I528" t="s">
        <v>651</v>
      </c>
      <c r="J528" t="s">
        <v>652</v>
      </c>
      <c r="K528" t="s">
        <v>48</v>
      </c>
      <c r="L528">
        <v>2016</v>
      </c>
      <c r="M528" t="s">
        <v>56</v>
      </c>
      <c r="N528" t="s">
        <v>55</v>
      </c>
      <c r="P528" s="6" t="s">
        <v>1200</v>
      </c>
    </row>
    <row r="529" spans="1:16" x14ac:dyDescent="0.2">
      <c r="A529">
        <v>843228181</v>
      </c>
      <c r="B529" t="s">
        <v>530</v>
      </c>
      <c r="C529" t="s">
        <v>662</v>
      </c>
      <c r="E529" s="22">
        <v>0.42000000000000004</v>
      </c>
      <c r="F529" t="s">
        <v>648</v>
      </c>
      <c r="G529" t="s">
        <v>649</v>
      </c>
      <c r="H529" t="s">
        <v>650</v>
      </c>
      <c r="I529" t="s">
        <v>651</v>
      </c>
      <c r="J529" t="s">
        <v>652</v>
      </c>
      <c r="K529" t="s">
        <v>48</v>
      </c>
      <c r="L529">
        <v>2016</v>
      </c>
      <c r="M529" t="s">
        <v>56</v>
      </c>
      <c r="N529" t="s">
        <v>55</v>
      </c>
      <c r="P529" s="6" t="s">
        <v>1201</v>
      </c>
    </row>
    <row r="530" spans="1:16" x14ac:dyDescent="0.2">
      <c r="A530">
        <v>820549378</v>
      </c>
      <c r="B530" t="s">
        <v>530</v>
      </c>
      <c r="C530" t="s">
        <v>662</v>
      </c>
      <c r="E530" s="22">
        <v>0.26</v>
      </c>
      <c r="F530" t="s">
        <v>648</v>
      </c>
      <c r="G530" t="s">
        <v>649</v>
      </c>
      <c r="H530" t="s">
        <v>650</v>
      </c>
      <c r="I530" t="s">
        <v>651</v>
      </c>
      <c r="J530" t="s">
        <v>652</v>
      </c>
      <c r="K530" t="s">
        <v>48</v>
      </c>
      <c r="L530">
        <v>2016</v>
      </c>
      <c r="M530" t="s">
        <v>56</v>
      </c>
      <c r="N530" t="s">
        <v>55</v>
      </c>
      <c r="P530" s="6" t="s">
        <v>1202</v>
      </c>
    </row>
    <row r="531" spans="1:16" x14ac:dyDescent="0.2">
      <c r="A531">
        <v>533572169</v>
      </c>
      <c r="B531" t="s">
        <v>530</v>
      </c>
      <c r="C531" t="s">
        <v>662</v>
      </c>
      <c r="E531" s="22">
        <v>0.04</v>
      </c>
      <c r="F531" t="s">
        <v>648</v>
      </c>
      <c r="G531" t="s">
        <v>649</v>
      </c>
      <c r="H531" t="s">
        <v>650</v>
      </c>
      <c r="I531" t="s">
        <v>651</v>
      </c>
      <c r="J531" t="s">
        <v>652</v>
      </c>
      <c r="K531" t="s">
        <v>48</v>
      </c>
      <c r="L531">
        <v>2016</v>
      </c>
      <c r="M531" t="s">
        <v>56</v>
      </c>
      <c r="N531" t="s">
        <v>55</v>
      </c>
      <c r="P531" s="6" t="s">
        <v>1203</v>
      </c>
    </row>
    <row r="532" spans="1:16" x14ac:dyDescent="0.2">
      <c r="A532">
        <v>975325712</v>
      </c>
      <c r="B532" t="s">
        <v>530</v>
      </c>
      <c r="C532" t="s">
        <v>662</v>
      </c>
      <c r="E532" s="22">
        <v>0.36</v>
      </c>
      <c r="F532" t="s">
        <v>648</v>
      </c>
      <c r="G532" t="s">
        <v>649</v>
      </c>
      <c r="H532" t="s">
        <v>650</v>
      </c>
      <c r="I532" t="s">
        <v>651</v>
      </c>
      <c r="J532" t="s">
        <v>652</v>
      </c>
      <c r="K532" t="s">
        <v>48</v>
      </c>
      <c r="L532">
        <v>2016</v>
      </c>
      <c r="M532" t="s">
        <v>56</v>
      </c>
      <c r="N532" t="s">
        <v>55</v>
      </c>
      <c r="P532" s="6" t="s">
        <v>1204</v>
      </c>
    </row>
    <row r="533" spans="1:16" x14ac:dyDescent="0.2">
      <c r="A533">
        <v>310082419</v>
      </c>
      <c r="B533" t="s">
        <v>530</v>
      </c>
      <c r="C533" t="s">
        <v>662</v>
      </c>
      <c r="E533" s="22">
        <v>0.22000000000000003</v>
      </c>
      <c r="F533" t="s">
        <v>648</v>
      </c>
      <c r="G533" t="s">
        <v>649</v>
      </c>
      <c r="H533" t="s">
        <v>650</v>
      </c>
      <c r="I533" t="s">
        <v>651</v>
      </c>
      <c r="J533" t="s">
        <v>652</v>
      </c>
      <c r="K533" t="s">
        <v>48</v>
      </c>
      <c r="L533">
        <v>2016</v>
      </c>
      <c r="M533" t="s">
        <v>56</v>
      </c>
      <c r="N533" t="s">
        <v>55</v>
      </c>
      <c r="P533" s="6" t="s">
        <v>1205</v>
      </c>
    </row>
    <row r="534" spans="1:16" x14ac:dyDescent="0.2">
      <c r="A534">
        <v>242132470</v>
      </c>
      <c r="B534" t="s">
        <v>530</v>
      </c>
      <c r="C534" t="s">
        <v>662</v>
      </c>
      <c r="E534" s="22">
        <v>0.56000000000000005</v>
      </c>
      <c r="F534" t="s">
        <v>648</v>
      </c>
      <c r="G534" t="s">
        <v>649</v>
      </c>
      <c r="H534" t="s">
        <v>650</v>
      </c>
      <c r="I534" t="s">
        <v>651</v>
      </c>
      <c r="J534" t="s">
        <v>652</v>
      </c>
      <c r="K534" t="s">
        <v>48</v>
      </c>
      <c r="L534">
        <v>2016</v>
      </c>
      <c r="M534" t="s">
        <v>56</v>
      </c>
      <c r="N534" t="s">
        <v>55</v>
      </c>
      <c r="P534" s="6" t="s">
        <v>1206</v>
      </c>
    </row>
    <row r="535" spans="1:16" x14ac:dyDescent="0.2">
      <c r="A535">
        <v>208248363</v>
      </c>
      <c r="B535" t="s">
        <v>530</v>
      </c>
      <c r="C535" t="s">
        <v>662</v>
      </c>
      <c r="E535" s="22">
        <v>0.4</v>
      </c>
      <c r="F535" t="s">
        <v>648</v>
      </c>
      <c r="G535" t="s">
        <v>649</v>
      </c>
      <c r="H535" t="s">
        <v>650</v>
      </c>
      <c r="I535" t="s">
        <v>651</v>
      </c>
      <c r="J535" t="s">
        <v>652</v>
      </c>
      <c r="K535" t="s">
        <v>48</v>
      </c>
      <c r="L535">
        <v>2016</v>
      </c>
      <c r="M535" t="s">
        <v>56</v>
      </c>
      <c r="N535" t="s">
        <v>55</v>
      </c>
      <c r="P535" s="6" t="s">
        <v>1207</v>
      </c>
    </row>
    <row r="536" spans="1:16" x14ac:dyDescent="0.2">
      <c r="A536">
        <v>277055951</v>
      </c>
      <c r="B536" t="s">
        <v>530</v>
      </c>
      <c r="C536" t="s">
        <v>662</v>
      </c>
      <c r="E536" s="22">
        <v>0</v>
      </c>
      <c r="F536" t="s">
        <v>648</v>
      </c>
      <c r="G536" t="s">
        <v>649</v>
      </c>
      <c r="H536" t="s">
        <v>650</v>
      </c>
      <c r="I536" t="s">
        <v>651</v>
      </c>
      <c r="J536" t="s">
        <v>652</v>
      </c>
      <c r="K536" t="s">
        <v>48</v>
      </c>
      <c r="L536">
        <v>2016</v>
      </c>
      <c r="M536" t="s">
        <v>56</v>
      </c>
      <c r="N536" t="s">
        <v>55</v>
      </c>
      <c r="P536" s="6" t="s">
        <v>1208</v>
      </c>
    </row>
    <row r="537" spans="1:16" x14ac:dyDescent="0.2">
      <c r="A537">
        <v>902907559</v>
      </c>
      <c r="B537" t="s">
        <v>530</v>
      </c>
      <c r="C537" t="s">
        <v>662</v>
      </c>
      <c r="E537" s="22">
        <v>0.12000000000000002</v>
      </c>
      <c r="F537" t="s">
        <v>648</v>
      </c>
      <c r="G537" t="s">
        <v>649</v>
      </c>
      <c r="H537" t="s">
        <v>650</v>
      </c>
      <c r="I537" t="s">
        <v>651</v>
      </c>
      <c r="J537" t="s">
        <v>652</v>
      </c>
      <c r="K537" t="s">
        <v>48</v>
      </c>
      <c r="L537">
        <v>2016</v>
      </c>
      <c r="M537" t="s">
        <v>56</v>
      </c>
      <c r="N537" t="s">
        <v>55</v>
      </c>
      <c r="P537" s="6" t="s">
        <v>1209</v>
      </c>
    </row>
    <row r="538" spans="1:16" x14ac:dyDescent="0.2">
      <c r="A538">
        <v>528297980</v>
      </c>
      <c r="B538" t="s">
        <v>530</v>
      </c>
      <c r="C538" t="s">
        <v>662</v>
      </c>
      <c r="E538" s="22">
        <v>0.62</v>
      </c>
      <c r="F538" t="s">
        <v>648</v>
      </c>
      <c r="G538" t="s">
        <v>649</v>
      </c>
      <c r="H538" t="s">
        <v>650</v>
      </c>
      <c r="I538" t="s">
        <v>651</v>
      </c>
      <c r="J538" t="s">
        <v>652</v>
      </c>
      <c r="K538" t="s">
        <v>48</v>
      </c>
      <c r="L538">
        <v>2016</v>
      </c>
      <c r="M538" t="s">
        <v>56</v>
      </c>
      <c r="N538" t="s">
        <v>55</v>
      </c>
      <c r="P538" s="6" t="s">
        <v>1210</v>
      </c>
    </row>
    <row r="539" spans="1:16" x14ac:dyDescent="0.2">
      <c r="A539">
        <v>444882790</v>
      </c>
      <c r="B539" t="s">
        <v>530</v>
      </c>
      <c r="C539" t="s">
        <v>662</v>
      </c>
      <c r="E539" s="22">
        <v>0.14000000000000001</v>
      </c>
      <c r="F539" t="s">
        <v>648</v>
      </c>
      <c r="G539" t="s">
        <v>649</v>
      </c>
      <c r="H539" t="s">
        <v>650</v>
      </c>
      <c r="I539" t="s">
        <v>651</v>
      </c>
      <c r="J539" t="s">
        <v>652</v>
      </c>
      <c r="K539" t="s">
        <v>48</v>
      </c>
      <c r="L539">
        <v>2016</v>
      </c>
      <c r="M539" t="s">
        <v>56</v>
      </c>
      <c r="N539" t="s">
        <v>55</v>
      </c>
      <c r="P539" s="6" t="s">
        <v>1211</v>
      </c>
    </row>
    <row r="540" spans="1:16" x14ac:dyDescent="0.2">
      <c r="A540">
        <v>112085131</v>
      </c>
      <c r="B540" t="s">
        <v>530</v>
      </c>
      <c r="C540" t="s">
        <v>662</v>
      </c>
      <c r="E540" s="22">
        <v>0.18</v>
      </c>
      <c r="F540" t="s">
        <v>648</v>
      </c>
      <c r="G540" t="s">
        <v>649</v>
      </c>
      <c r="H540" t="s">
        <v>650</v>
      </c>
      <c r="I540" t="s">
        <v>651</v>
      </c>
      <c r="J540" t="s">
        <v>652</v>
      </c>
      <c r="K540" t="s">
        <v>48</v>
      </c>
      <c r="L540">
        <v>2016</v>
      </c>
      <c r="M540" t="s">
        <v>56</v>
      </c>
      <c r="N540" t="s">
        <v>55</v>
      </c>
      <c r="P540" s="6" t="s">
        <v>1212</v>
      </c>
    </row>
    <row r="541" spans="1:16" x14ac:dyDescent="0.2">
      <c r="A541">
        <v>588642518</v>
      </c>
      <c r="B541" t="s">
        <v>530</v>
      </c>
      <c r="C541" t="s">
        <v>662</v>
      </c>
      <c r="E541" s="22">
        <v>0.68</v>
      </c>
      <c r="F541" t="s">
        <v>648</v>
      </c>
      <c r="G541" t="s">
        <v>649</v>
      </c>
      <c r="H541" t="s">
        <v>650</v>
      </c>
      <c r="I541" t="s">
        <v>651</v>
      </c>
      <c r="J541" t="s">
        <v>652</v>
      </c>
      <c r="K541" t="s">
        <v>48</v>
      </c>
      <c r="L541">
        <v>2016</v>
      </c>
      <c r="M541" t="s">
        <v>56</v>
      </c>
      <c r="N541" t="s">
        <v>55</v>
      </c>
      <c r="P541" s="6" t="s">
        <v>1213</v>
      </c>
    </row>
    <row r="542" spans="1:16" x14ac:dyDescent="0.2">
      <c r="A542">
        <v>414520736</v>
      </c>
      <c r="B542" t="s">
        <v>530</v>
      </c>
      <c r="C542" t="s">
        <v>662</v>
      </c>
      <c r="E542" s="22">
        <v>0.14000000000000001</v>
      </c>
      <c r="F542" t="s">
        <v>648</v>
      </c>
      <c r="G542" t="s">
        <v>649</v>
      </c>
      <c r="H542" t="s">
        <v>650</v>
      </c>
      <c r="I542" t="s">
        <v>651</v>
      </c>
      <c r="J542" t="s">
        <v>652</v>
      </c>
      <c r="K542" t="s">
        <v>48</v>
      </c>
      <c r="L542">
        <v>2016</v>
      </c>
      <c r="M542" t="s">
        <v>56</v>
      </c>
      <c r="N542" t="s">
        <v>55</v>
      </c>
      <c r="P542" s="6" t="s">
        <v>1214</v>
      </c>
    </row>
    <row r="543" spans="1:16" x14ac:dyDescent="0.2">
      <c r="A543">
        <v>356558346</v>
      </c>
      <c r="B543" t="s">
        <v>530</v>
      </c>
      <c r="C543" t="s">
        <v>662</v>
      </c>
      <c r="E543" s="22">
        <v>0.04</v>
      </c>
      <c r="F543" t="s">
        <v>648</v>
      </c>
      <c r="G543" t="s">
        <v>649</v>
      </c>
      <c r="H543" t="s">
        <v>650</v>
      </c>
      <c r="I543" t="s">
        <v>651</v>
      </c>
      <c r="J543" t="s">
        <v>652</v>
      </c>
      <c r="K543" t="s">
        <v>48</v>
      </c>
      <c r="L543">
        <v>2016</v>
      </c>
      <c r="M543" t="s">
        <v>56</v>
      </c>
      <c r="N543" t="s">
        <v>55</v>
      </c>
      <c r="P543" s="6" t="s">
        <v>1215</v>
      </c>
    </row>
    <row r="544" spans="1:16" x14ac:dyDescent="0.2">
      <c r="A544">
        <v>970698993</v>
      </c>
      <c r="B544" t="s">
        <v>530</v>
      </c>
      <c r="C544" t="s">
        <v>662</v>
      </c>
      <c r="E544" s="22">
        <v>0.08</v>
      </c>
      <c r="F544" t="s">
        <v>648</v>
      </c>
      <c r="G544" t="s">
        <v>649</v>
      </c>
      <c r="H544" t="s">
        <v>650</v>
      </c>
      <c r="I544" t="s">
        <v>651</v>
      </c>
      <c r="J544" t="s">
        <v>652</v>
      </c>
      <c r="K544" t="s">
        <v>48</v>
      </c>
      <c r="L544">
        <v>2016</v>
      </c>
      <c r="M544" t="s">
        <v>56</v>
      </c>
      <c r="N544" t="s">
        <v>55</v>
      </c>
      <c r="P544" s="6" t="s">
        <v>1216</v>
      </c>
    </row>
    <row r="545" spans="1:16" x14ac:dyDescent="0.2">
      <c r="A545">
        <v>633537205</v>
      </c>
      <c r="B545" t="s">
        <v>530</v>
      </c>
      <c r="C545" t="s">
        <v>662</v>
      </c>
      <c r="E545" s="22">
        <v>0.1</v>
      </c>
      <c r="F545" t="s">
        <v>648</v>
      </c>
      <c r="G545" t="s">
        <v>649</v>
      </c>
      <c r="H545" t="s">
        <v>650</v>
      </c>
      <c r="I545" t="s">
        <v>651</v>
      </c>
      <c r="J545" t="s">
        <v>652</v>
      </c>
      <c r="K545" t="s">
        <v>48</v>
      </c>
      <c r="L545">
        <v>2016</v>
      </c>
      <c r="M545" t="s">
        <v>56</v>
      </c>
      <c r="N545" t="s">
        <v>55</v>
      </c>
      <c r="P545" s="6" t="s">
        <v>1217</v>
      </c>
    </row>
    <row r="546" spans="1:16" x14ac:dyDescent="0.2">
      <c r="A546">
        <v>534292868</v>
      </c>
      <c r="B546" t="s">
        <v>530</v>
      </c>
      <c r="C546" t="s">
        <v>662</v>
      </c>
      <c r="E546" s="22">
        <v>0.08</v>
      </c>
      <c r="F546" t="s">
        <v>648</v>
      </c>
      <c r="G546" t="s">
        <v>649</v>
      </c>
      <c r="H546" t="s">
        <v>650</v>
      </c>
      <c r="I546" t="s">
        <v>651</v>
      </c>
      <c r="J546" t="s">
        <v>652</v>
      </c>
      <c r="K546" t="s">
        <v>48</v>
      </c>
      <c r="L546">
        <v>2016</v>
      </c>
      <c r="M546" t="s">
        <v>56</v>
      </c>
      <c r="N546" t="s">
        <v>55</v>
      </c>
      <c r="P546" s="6" t="s">
        <v>1218</v>
      </c>
    </row>
    <row r="547" spans="1:16" x14ac:dyDescent="0.2">
      <c r="A547">
        <v>816787809</v>
      </c>
      <c r="B547" t="s">
        <v>530</v>
      </c>
      <c r="C547" t="s">
        <v>662</v>
      </c>
      <c r="E547" s="22">
        <v>0.64</v>
      </c>
      <c r="F547" t="s">
        <v>648</v>
      </c>
      <c r="G547" t="s">
        <v>649</v>
      </c>
      <c r="H547" t="s">
        <v>650</v>
      </c>
      <c r="I547" t="s">
        <v>651</v>
      </c>
      <c r="J547" t="s">
        <v>652</v>
      </c>
      <c r="K547" t="s">
        <v>48</v>
      </c>
      <c r="L547">
        <v>2016</v>
      </c>
      <c r="M547" t="s">
        <v>56</v>
      </c>
      <c r="N547" t="s">
        <v>55</v>
      </c>
      <c r="P547" s="6" t="s">
        <v>1219</v>
      </c>
    </row>
    <row r="548" spans="1:16" x14ac:dyDescent="0.2">
      <c r="A548">
        <v>220052551</v>
      </c>
      <c r="B548" t="s">
        <v>530</v>
      </c>
      <c r="C548" t="s">
        <v>662</v>
      </c>
      <c r="E548" s="22">
        <v>0.14000000000000001</v>
      </c>
      <c r="F548" t="s">
        <v>648</v>
      </c>
      <c r="G548" t="s">
        <v>649</v>
      </c>
      <c r="H548" t="s">
        <v>650</v>
      </c>
      <c r="I548" t="s">
        <v>651</v>
      </c>
      <c r="J548" t="s">
        <v>652</v>
      </c>
      <c r="K548" t="s">
        <v>48</v>
      </c>
      <c r="L548">
        <v>2016</v>
      </c>
      <c r="M548" t="s">
        <v>56</v>
      </c>
      <c r="N548" t="s">
        <v>55</v>
      </c>
      <c r="P548" s="6" t="s">
        <v>1220</v>
      </c>
    </row>
    <row r="549" spans="1:16" x14ac:dyDescent="0.2">
      <c r="A549">
        <v>858571733</v>
      </c>
      <c r="B549" t="s">
        <v>530</v>
      </c>
      <c r="C549" t="s">
        <v>662</v>
      </c>
      <c r="E549" s="22">
        <v>0.16</v>
      </c>
      <c r="F549" t="s">
        <v>648</v>
      </c>
      <c r="G549" t="s">
        <v>649</v>
      </c>
      <c r="H549" t="s">
        <v>650</v>
      </c>
      <c r="I549" t="s">
        <v>651</v>
      </c>
      <c r="J549" t="s">
        <v>652</v>
      </c>
      <c r="K549" t="s">
        <v>48</v>
      </c>
      <c r="L549">
        <v>2016</v>
      </c>
      <c r="M549" t="s">
        <v>56</v>
      </c>
      <c r="N549" t="s">
        <v>55</v>
      </c>
      <c r="P549" s="6" t="s">
        <v>1221</v>
      </c>
    </row>
    <row r="550" spans="1:16" x14ac:dyDescent="0.2">
      <c r="A550">
        <v>363436152</v>
      </c>
      <c r="B550" t="s">
        <v>530</v>
      </c>
      <c r="C550" t="s">
        <v>662</v>
      </c>
      <c r="E550" s="22">
        <v>0.46000000000000008</v>
      </c>
      <c r="F550" t="s">
        <v>648</v>
      </c>
      <c r="G550" t="s">
        <v>649</v>
      </c>
      <c r="H550" t="s">
        <v>650</v>
      </c>
      <c r="I550" t="s">
        <v>651</v>
      </c>
      <c r="J550" t="s">
        <v>652</v>
      </c>
      <c r="K550" t="s">
        <v>48</v>
      </c>
      <c r="L550">
        <v>2016</v>
      </c>
      <c r="M550" t="s">
        <v>56</v>
      </c>
      <c r="N550" t="s">
        <v>55</v>
      </c>
      <c r="P550" s="6" t="s">
        <v>1222</v>
      </c>
    </row>
    <row r="551" spans="1:16" x14ac:dyDescent="0.2">
      <c r="A551">
        <v>393495083</v>
      </c>
      <c r="B551" t="s">
        <v>530</v>
      </c>
      <c r="C551" t="s">
        <v>662</v>
      </c>
      <c r="E551" s="22">
        <v>0.18</v>
      </c>
      <c r="F551" t="s">
        <v>648</v>
      </c>
      <c r="G551" t="s">
        <v>649</v>
      </c>
      <c r="H551" t="s">
        <v>650</v>
      </c>
      <c r="I551" t="s">
        <v>651</v>
      </c>
      <c r="J551" t="s">
        <v>652</v>
      </c>
      <c r="K551" t="s">
        <v>48</v>
      </c>
      <c r="L551">
        <v>2016</v>
      </c>
      <c r="M551" t="s">
        <v>56</v>
      </c>
      <c r="N551" t="s">
        <v>55</v>
      </c>
      <c r="P551" s="6" t="s">
        <v>1223</v>
      </c>
    </row>
    <row r="552" spans="1:16" x14ac:dyDescent="0.2">
      <c r="A552">
        <v>769635714</v>
      </c>
      <c r="B552" t="s">
        <v>530</v>
      </c>
      <c r="C552" t="s">
        <v>662</v>
      </c>
      <c r="E552" s="22">
        <v>0.64</v>
      </c>
      <c r="F552" t="s">
        <v>648</v>
      </c>
      <c r="G552" t="s">
        <v>649</v>
      </c>
      <c r="H552" t="s">
        <v>650</v>
      </c>
      <c r="I552" t="s">
        <v>651</v>
      </c>
      <c r="J552" t="s">
        <v>652</v>
      </c>
      <c r="K552" t="s">
        <v>48</v>
      </c>
      <c r="L552">
        <v>2016</v>
      </c>
      <c r="M552" t="s">
        <v>56</v>
      </c>
      <c r="N552" t="s">
        <v>55</v>
      </c>
      <c r="P552" s="6" t="s">
        <v>1224</v>
      </c>
    </row>
    <row r="553" spans="1:16" x14ac:dyDescent="0.2">
      <c r="A553">
        <v>373048949</v>
      </c>
      <c r="B553" t="s">
        <v>530</v>
      </c>
      <c r="C553" t="s">
        <v>662</v>
      </c>
      <c r="E553" s="22">
        <v>0.3</v>
      </c>
      <c r="F553" t="s">
        <v>648</v>
      </c>
      <c r="G553" t="s">
        <v>649</v>
      </c>
      <c r="H553" t="s">
        <v>650</v>
      </c>
      <c r="I553" t="s">
        <v>651</v>
      </c>
      <c r="J553" t="s">
        <v>652</v>
      </c>
      <c r="K553" t="s">
        <v>48</v>
      </c>
      <c r="L553">
        <v>2016</v>
      </c>
      <c r="M553" t="s">
        <v>56</v>
      </c>
      <c r="N553" t="s">
        <v>55</v>
      </c>
      <c r="P553" s="6" t="s">
        <v>1225</v>
      </c>
    </row>
    <row r="554" spans="1:16" x14ac:dyDescent="0.2">
      <c r="A554">
        <v>357061292</v>
      </c>
      <c r="B554" t="s">
        <v>530</v>
      </c>
      <c r="C554" t="s">
        <v>662</v>
      </c>
      <c r="E554" s="22">
        <v>0.5</v>
      </c>
      <c r="F554" t="s">
        <v>648</v>
      </c>
      <c r="G554" t="s">
        <v>649</v>
      </c>
      <c r="H554" t="s">
        <v>650</v>
      </c>
      <c r="I554" t="s">
        <v>651</v>
      </c>
      <c r="J554" t="s">
        <v>652</v>
      </c>
      <c r="K554" t="s">
        <v>48</v>
      </c>
      <c r="L554">
        <v>2016</v>
      </c>
      <c r="M554" t="s">
        <v>56</v>
      </c>
      <c r="N554" t="s">
        <v>55</v>
      </c>
      <c r="P554" s="6" t="s">
        <v>1226</v>
      </c>
    </row>
    <row r="555" spans="1:16" x14ac:dyDescent="0.2">
      <c r="A555">
        <v>837310284</v>
      </c>
      <c r="B555" t="s">
        <v>530</v>
      </c>
      <c r="C555" t="s">
        <v>662</v>
      </c>
      <c r="E555" s="22">
        <v>0.36</v>
      </c>
      <c r="F555" t="s">
        <v>648</v>
      </c>
      <c r="G555" t="s">
        <v>649</v>
      </c>
      <c r="H555" t="s">
        <v>650</v>
      </c>
      <c r="I555" t="s">
        <v>651</v>
      </c>
      <c r="J555" t="s">
        <v>652</v>
      </c>
      <c r="K555" t="s">
        <v>48</v>
      </c>
      <c r="L555">
        <v>2016</v>
      </c>
      <c r="M555" t="s">
        <v>56</v>
      </c>
      <c r="N555" t="s">
        <v>55</v>
      </c>
      <c r="P555" s="6" t="s">
        <v>1227</v>
      </c>
    </row>
    <row r="556" spans="1:16" x14ac:dyDescent="0.2">
      <c r="A556">
        <v>815854164</v>
      </c>
      <c r="B556" t="s">
        <v>530</v>
      </c>
      <c r="C556" t="s">
        <v>662</v>
      </c>
      <c r="E556" s="22">
        <v>0.62</v>
      </c>
      <c r="F556" t="s">
        <v>648</v>
      </c>
      <c r="G556" t="s">
        <v>649</v>
      </c>
      <c r="H556" t="s">
        <v>650</v>
      </c>
      <c r="I556" t="s">
        <v>651</v>
      </c>
      <c r="J556" t="s">
        <v>652</v>
      </c>
      <c r="K556" t="s">
        <v>48</v>
      </c>
      <c r="L556">
        <v>2016</v>
      </c>
      <c r="M556" t="s">
        <v>56</v>
      </c>
      <c r="N556" t="s">
        <v>55</v>
      </c>
      <c r="P556" s="6" t="s">
        <v>1228</v>
      </c>
    </row>
    <row r="557" spans="1:16" x14ac:dyDescent="0.2">
      <c r="A557">
        <v>315378369</v>
      </c>
      <c r="B557" t="s">
        <v>530</v>
      </c>
      <c r="C557" t="s">
        <v>662</v>
      </c>
      <c r="E557" s="22">
        <v>0.36</v>
      </c>
      <c r="F557" t="s">
        <v>648</v>
      </c>
      <c r="G557" t="s">
        <v>649</v>
      </c>
      <c r="H557" t="s">
        <v>650</v>
      </c>
      <c r="I557" t="s">
        <v>651</v>
      </c>
      <c r="J557" t="s">
        <v>652</v>
      </c>
      <c r="K557" t="s">
        <v>48</v>
      </c>
      <c r="L557">
        <v>2016</v>
      </c>
      <c r="M557" t="s">
        <v>56</v>
      </c>
      <c r="N557" t="s">
        <v>55</v>
      </c>
      <c r="P557" s="6" t="s">
        <v>1229</v>
      </c>
    </row>
    <row r="558" spans="1:16" x14ac:dyDescent="0.2">
      <c r="A558">
        <v>564410540</v>
      </c>
      <c r="B558" t="s">
        <v>530</v>
      </c>
      <c r="C558" t="s">
        <v>662</v>
      </c>
      <c r="E558" s="22">
        <v>0.72</v>
      </c>
      <c r="F558" t="s">
        <v>648</v>
      </c>
      <c r="G558" t="s">
        <v>649</v>
      </c>
      <c r="H558" t="s">
        <v>650</v>
      </c>
      <c r="I558" t="s">
        <v>651</v>
      </c>
      <c r="J558" t="s">
        <v>652</v>
      </c>
      <c r="K558" t="s">
        <v>48</v>
      </c>
      <c r="L558">
        <v>2016</v>
      </c>
      <c r="M558" t="s">
        <v>56</v>
      </c>
      <c r="N558" t="s">
        <v>55</v>
      </c>
      <c r="P558" s="6" t="s">
        <v>1230</v>
      </c>
    </row>
    <row r="559" spans="1:16" x14ac:dyDescent="0.2">
      <c r="A559">
        <v>126539887</v>
      </c>
      <c r="B559" t="s">
        <v>530</v>
      </c>
      <c r="C559" t="s">
        <v>662</v>
      </c>
      <c r="E559" s="22">
        <v>0.62</v>
      </c>
      <c r="F559" t="s">
        <v>648</v>
      </c>
      <c r="G559" t="s">
        <v>649</v>
      </c>
      <c r="H559" t="s">
        <v>650</v>
      </c>
      <c r="I559" t="s">
        <v>651</v>
      </c>
      <c r="J559" t="s">
        <v>652</v>
      </c>
      <c r="K559" t="s">
        <v>48</v>
      </c>
      <c r="L559">
        <v>2016</v>
      </c>
      <c r="M559" t="s">
        <v>56</v>
      </c>
      <c r="N559" t="s">
        <v>55</v>
      </c>
      <c r="P559" s="6" t="s">
        <v>1231</v>
      </c>
    </row>
    <row r="560" spans="1:16" x14ac:dyDescent="0.2">
      <c r="A560">
        <v>563937624</v>
      </c>
      <c r="B560" t="s">
        <v>530</v>
      </c>
      <c r="C560" t="s">
        <v>662</v>
      </c>
      <c r="E560" s="22">
        <v>0.2</v>
      </c>
      <c r="F560" t="s">
        <v>648</v>
      </c>
      <c r="G560" t="s">
        <v>649</v>
      </c>
      <c r="H560" t="s">
        <v>650</v>
      </c>
      <c r="I560" t="s">
        <v>651</v>
      </c>
      <c r="J560" t="s">
        <v>652</v>
      </c>
      <c r="K560" t="s">
        <v>48</v>
      </c>
      <c r="L560">
        <v>2016</v>
      </c>
      <c r="M560" t="s">
        <v>56</v>
      </c>
      <c r="N560" t="s">
        <v>55</v>
      </c>
      <c r="P560" s="6" t="s">
        <v>1232</v>
      </c>
    </row>
    <row r="561" spans="1:16" x14ac:dyDescent="0.2">
      <c r="A561">
        <v>684291511</v>
      </c>
      <c r="B561" t="s">
        <v>530</v>
      </c>
      <c r="C561" t="s">
        <v>662</v>
      </c>
      <c r="E561" s="22">
        <v>0.52</v>
      </c>
      <c r="F561" t="s">
        <v>648</v>
      </c>
      <c r="G561" t="s">
        <v>649</v>
      </c>
      <c r="H561" t="s">
        <v>650</v>
      </c>
      <c r="I561" t="s">
        <v>651</v>
      </c>
      <c r="J561" t="s">
        <v>652</v>
      </c>
      <c r="K561" t="s">
        <v>48</v>
      </c>
      <c r="L561">
        <v>2016</v>
      </c>
      <c r="M561" t="s">
        <v>56</v>
      </c>
      <c r="N561" t="s">
        <v>55</v>
      </c>
      <c r="P561" s="6" t="s">
        <v>1233</v>
      </c>
    </row>
    <row r="562" spans="1:16" x14ac:dyDescent="0.2">
      <c r="A562">
        <v>598829620</v>
      </c>
      <c r="B562" t="s">
        <v>530</v>
      </c>
      <c r="C562" t="s">
        <v>663</v>
      </c>
      <c r="E562" s="22">
        <v>0.4</v>
      </c>
      <c r="F562" t="s">
        <v>648</v>
      </c>
      <c r="G562" t="s">
        <v>649</v>
      </c>
      <c r="H562" t="s">
        <v>650</v>
      </c>
      <c r="I562" t="s">
        <v>651</v>
      </c>
      <c r="J562" t="s">
        <v>652</v>
      </c>
      <c r="K562" t="s">
        <v>48</v>
      </c>
      <c r="L562">
        <v>2016</v>
      </c>
      <c r="M562" t="s">
        <v>56</v>
      </c>
      <c r="N562" t="s">
        <v>55</v>
      </c>
      <c r="P562" s="6" t="s">
        <v>1234</v>
      </c>
    </row>
    <row r="563" spans="1:16" x14ac:dyDescent="0.2">
      <c r="A563">
        <v>684014860</v>
      </c>
      <c r="B563" t="s">
        <v>530</v>
      </c>
      <c r="C563" t="s">
        <v>663</v>
      </c>
      <c r="E563" s="22">
        <v>0.56000000000000005</v>
      </c>
      <c r="F563" t="s">
        <v>648</v>
      </c>
      <c r="G563" t="s">
        <v>649</v>
      </c>
      <c r="H563" t="s">
        <v>650</v>
      </c>
      <c r="I563" t="s">
        <v>651</v>
      </c>
      <c r="J563" t="s">
        <v>652</v>
      </c>
      <c r="K563" t="s">
        <v>48</v>
      </c>
      <c r="L563">
        <v>2016</v>
      </c>
      <c r="M563" t="s">
        <v>56</v>
      </c>
      <c r="N563" t="s">
        <v>55</v>
      </c>
      <c r="P563" s="6" t="s">
        <v>1235</v>
      </c>
    </row>
    <row r="564" spans="1:16" x14ac:dyDescent="0.2">
      <c r="A564">
        <v>843228181</v>
      </c>
      <c r="B564" t="s">
        <v>530</v>
      </c>
      <c r="C564" t="s">
        <v>663</v>
      </c>
      <c r="E564" s="22">
        <v>0.42000000000000004</v>
      </c>
      <c r="F564" t="s">
        <v>648</v>
      </c>
      <c r="G564" t="s">
        <v>649</v>
      </c>
      <c r="H564" t="s">
        <v>650</v>
      </c>
      <c r="I564" t="s">
        <v>651</v>
      </c>
      <c r="J564" t="s">
        <v>652</v>
      </c>
      <c r="K564" t="s">
        <v>48</v>
      </c>
      <c r="L564">
        <v>2016</v>
      </c>
      <c r="M564" t="s">
        <v>56</v>
      </c>
      <c r="N564" t="s">
        <v>55</v>
      </c>
      <c r="P564" s="6" t="s">
        <v>1236</v>
      </c>
    </row>
    <row r="565" spans="1:16" x14ac:dyDescent="0.2">
      <c r="A565">
        <v>820549378</v>
      </c>
      <c r="B565" t="s">
        <v>530</v>
      </c>
      <c r="C565" t="s">
        <v>663</v>
      </c>
      <c r="E565" s="22">
        <v>0.26</v>
      </c>
      <c r="F565" t="s">
        <v>648</v>
      </c>
      <c r="G565" t="s">
        <v>649</v>
      </c>
      <c r="H565" t="s">
        <v>650</v>
      </c>
      <c r="I565" t="s">
        <v>651</v>
      </c>
      <c r="J565" t="s">
        <v>652</v>
      </c>
      <c r="K565" t="s">
        <v>48</v>
      </c>
      <c r="L565">
        <v>2016</v>
      </c>
      <c r="M565" t="s">
        <v>56</v>
      </c>
      <c r="N565" t="s">
        <v>55</v>
      </c>
      <c r="P565" s="6" t="s">
        <v>1237</v>
      </c>
    </row>
    <row r="566" spans="1:16" x14ac:dyDescent="0.2">
      <c r="A566">
        <v>533572169</v>
      </c>
      <c r="B566" t="s">
        <v>530</v>
      </c>
      <c r="C566" t="s">
        <v>663</v>
      </c>
      <c r="E566" s="22">
        <v>0.04</v>
      </c>
      <c r="F566" t="s">
        <v>648</v>
      </c>
      <c r="G566" t="s">
        <v>649</v>
      </c>
      <c r="H566" t="s">
        <v>650</v>
      </c>
      <c r="I566" t="s">
        <v>651</v>
      </c>
      <c r="J566" t="s">
        <v>652</v>
      </c>
      <c r="K566" t="s">
        <v>48</v>
      </c>
      <c r="L566">
        <v>2016</v>
      </c>
      <c r="M566" t="s">
        <v>56</v>
      </c>
      <c r="N566" t="s">
        <v>55</v>
      </c>
      <c r="P566" s="6" t="s">
        <v>1238</v>
      </c>
    </row>
    <row r="567" spans="1:16" x14ac:dyDescent="0.2">
      <c r="A567">
        <v>975325712</v>
      </c>
      <c r="B567" t="s">
        <v>530</v>
      </c>
      <c r="C567" t="s">
        <v>663</v>
      </c>
      <c r="E567" s="22">
        <v>0.36</v>
      </c>
      <c r="F567" t="s">
        <v>648</v>
      </c>
      <c r="G567" t="s">
        <v>649</v>
      </c>
      <c r="H567" t="s">
        <v>650</v>
      </c>
      <c r="I567" t="s">
        <v>651</v>
      </c>
      <c r="J567" t="s">
        <v>652</v>
      </c>
      <c r="K567" t="s">
        <v>48</v>
      </c>
      <c r="L567">
        <v>2016</v>
      </c>
      <c r="M567" t="s">
        <v>56</v>
      </c>
      <c r="N567" t="s">
        <v>55</v>
      </c>
      <c r="P567" s="6" t="s">
        <v>1239</v>
      </c>
    </row>
    <row r="568" spans="1:16" x14ac:dyDescent="0.2">
      <c r="A568">
        <v>310082419</v>
      </c>
      <c r="B568" t="s">
        <v>530</v>
      </c>
      <c r="C568" t="s">
        <v>663</v>
      </c>
      <c r="E568" s="22">
        <v>0.22000000000000003</v>
      </c>
      <c r="F568" t="s">
        <v>648</v>
      </c>
      <c r="G568" t="s">
        <v>649</v>
      </c>
      <c r="H568" t="s">
        <v>650</v>
      </c>
      <c r="I568" t="s">
        <v>651</v>
      </c>
      <c r="J568" t="s">
        <v>652</v>
      </c>
      <c r="K568" t="s">
        <v>48</v>
      </c>
      <c r="L568">
        <v>2016</v>
      </c>
      <c r="M568" t="s">
        <v>56</v>
      </c>
      <c r="N568" t="s">
        <v>55</v>
      </c>
      <c r="P568" s="6" t="s">
        <v>1240</v>
      </c>
    </row>
    <row r="569" spans="1:16" x14ac:dyDescent="0.2">
      <c r="A569">
        <v>242132470</v>
      </c>
      <c r="B569" t="s">
        <v>530</v>
      </c>
      <c r="C569" t="s">
        <v>663</v>
      </c>
      <c r="E569" s="22">
        <v>0.56000000000000005</v>
      </c>
      <c r="F569" t="s">
        <v>648</v>
      </c>
      <c r="G569" t="s">
        <v>649</v>
      </c>
      <c r="H569" t="s">
        <v>650</v>
      </c>
      <c r="I569" t="s">
        <v>651</v>
      </c>
      <c r="J569" t="s">
        <v>652</v>
      </c>
      <c r="K569" t="s">
        <v>48</v>
      </c>
      <c r="L569">
        <v>2016</v>
      </c>
      <c r="M569" t="s">
        <v>56</v>
      </c>
      <c r="N569" t="s">
        <v>55</v>
      </c>
      <c r="P569" s="6" t="s">
        <v>1241</v>
      </c>
    </row>
    <row r="570" spans="1:16" x14ac:dyDescent="0.2">
      <c r="A570">
        <v>208248363</v>
      </c>
      <c r="B570" t="s">
        <v>530</v>
      </c>
      <c r="C570" t="s">
        <v>663</v>
      </c>
      <c r="E570" s="22">
        <v>0.4</v>
      </c>
      <c r="F570" t="s">
        <v>648</v>
      </c>
      <c r="G570" t="s">
        <v>649</v>
      </c>
      <c r="H570" t="s">
        <v>650</v>
      </c>
      <c r="I570" t="s">
        <v>651</v>
      </c>
      <c r="J570" t="s">
        <v>652</v>
      </c>
      <c r="K570" t="s">
        <v>48</v>
      </c>
      <c r="L570">
        <v>2016</v>
      </c>
      <c r="M570" t="s">
        <v>56</v>
      </c>
      <c r="N570" t="s">
        <v>55</v>
      </c>
      <c r="P570" s="6" t="s">
        <v>1242</v>
      </c>
    </row>
    <row r="571" spans="1:16" x14ac:dyDescent="0.2">
      <c r="A571">
        <v>277055951</v>
      </c>
      <c r="B571" t="s">
        <v>530</v>
      </c>
      <c r="C571" t="s">
        <v>663</v>
      </c>
      <c r="E571" s="22">
        <v>0</v>
      </c>
      <c r="F571" t="s">
        <v>648</v>
      </c>
      <c r="G571" t="s">
        <v>649</v>
      </c>
      <c r="H571" t="s">
        <v>650</v>
      </c>
      <c r="I571" t="s">
        <v>651</v>
      </c>
      <c r="J571" t="s">
        <v>652</v>
      </c>
      <c r="K571" t="s">
        <v>48</v>
      </c>
      <c r="L571">
        <v>2016</v>
      </c>
      <c r="M571" t="s">
        <v>56</v>
      </c>
      <c r="N571" t="s">
        <v>55</v>
      </c>
      <c r="P571" s="6" t="s">
        <v>1243</v>
      </c>
    </row>
    <row r="572" spans="1:16" x14ac:dyDescent="0.2">
      <c r="A572">
        <v>902907559</v>
      </c>
      <c r="B572" t="s">
        <v>530</v>
      </c>
      <c r="C572" t="s">
        <v>663</v>
      </c>
      <c r="E572" s="22">
        <v>0.12000000000000002</v>
      </c>
      <c r="F572" t="s">
        <v>648</v>
      </c>
      <c r="G572" t="s">
        <v>649</v>
      </c>
      <c r="H572" t="s">
        <v>650</v>
      </c>
      <c r="I572" t="s">
        <v>651</v>
      </c>
      <c r="J572" t="s">
        <v>652</v>
      </c>
      <c r="K572" t="s">
        <v>48</v>
      </c>
      <c r="L572">
        <v>2016</v>
      </c>
      <c r="M572" t="s">
        <v>56</v>
      </c>
      <c r="N572" t="s">
        <v>55</v>
      </c>
      <c r="P572" s="6" t="s">
        <v>1244</v>
      </c>
    </row>
    <row r="573" spans="1:16" x14ac:dyDescent="0.2">
      <c r="A573">
        <v>528297980</v>
      </c>
      <c r="B573" t="s">
        <v>530</v>
      </c>
      <c r="C573" t="s">
        <v>663</v>
      </c>
      <c r="E573" s="22">
        <v>0.62</v>
      </c>
      <c r="F573" t="s">
        <v>648</v>
      </c>
      <c r="G573" t="s">
        <v>649</v>
      </c>
      <c r="H573" t="s">
        <v>650</v>
      </c>
      <c r="I573" t="s">
        <v>651</v>
      </c>
      <c r="J573" t="s">
        <v>652</v>
      </c>
      <c r="K573" t="s">
        <v>48</v>
      </c>
      <c r="L573">
        <v>2016</v>
      </c>
      <c r="M573" t="s">
        <v>56</v>
      </c>
      <c r="N573" t="s">
        <v>55</v>
      </c>
      <c r="P573" s="6" t="s">
        <v>1245</v>
      </c>
    </row>
    <row r="574" spans="1:16" x14ac:dyDescent="0.2">
      <c r="A574">
        <v>444882790</v>
      </c>
      <c r="B574" t="s">
        <v>530</v>
      </c>
      <c r="C574" t="s">
        <v>663</v>
      </c>
      <c r="E574" s="22">
        <v>0.14000000000000001</v>
      </c>
      <c r="F574" t="s">
        <v>648</v>
      </c>
      <c r="G574" t="s">
        <v>649</v>
      </c>
      <c r="H574" t="s">
        <v>650</v>
      </c>
      <c r="I574" t="s">
        <v>651</v>
      </c>
      <c r="J574" t="s">
        <v>652</v>
      </c>
      <c r="K574" t="s">
        <v>48</v>
      </c>
      <c r="L574">
        <v>2016</v>
      </c>
      <c r="M574" t="s">
        <v>56</v>
      </c>
      <c r="N574" t="s">
        <v>55</v>
      </c>
      <c r="P574" s="6" t="s">
        <v>1246</v>
      </c>
    </row>
    <row r="575" spans="1:16" x14ac:dyDescent="0.2">
      <c r="A575">
        <v>112085131</v>
      </c>
      <c r="B575" t="s">
        <v>530</v>
      </c>
      <c r="C575" t="s">
        <v>663</v>
      </c>
      <c r="E575" s="22">
        <v>0.18</v>
      </c>
      <c r="F575" t="s">
        <v>648</v>
      </c>
      <c r="G575" t="s">
        <v>649</v>
      </c>
      <c r="H575" t="s">
        <v>650</v>
      </c>
      <c r="I575" t="s">
        <v>651</v>
      </c>
      <c r="J575" t="s">
        <v>652</v>
      </c>
      <c r="K575" t="s">
        <v>48</v>
      </c>
      <c r="L575">
        <v>2016</v>
      </c>
      <c r="M575" t="s">
        <v>56</v>
      </c>
      <c r="N575" t="s">
        <v>55</v>
      </c>
      <c r="P575" s="6" t="s">
        <v>1247</v>
      </c>
    </row>
    <row r="576" spans="1:16" x14ac:dyDescent="0.2">
      <c r="A576">
        <v>588642518</v>
      </c>
      <c r="B576" t="s">
        <v>530</v>
      </c>
      <c r="C576" t="s">
        <v>663</v>
      </c>
      <c r="E576" s="22">
        <v>0.68</v>
      </c>
      <c r="F576" t="s">
        <v>648</v>
      </c>
      <c r="G576" t="s">
        <v>649</v>
      </c>
      <c r="H576" t="s">
        <v>650</v>
      </c>
      <c r="I576" t="s">
        <v>651</v>
      </c>
      <c r="J576" t="s">
        <v>652</v>
      </c>
      <c r="K576" t="s">
        <v>48</v>
      </c>
      <c r="L576">
        <v>2016</v>
      </c>
      <c r="M576" t="s">
        <v>56</v>
      </c>
      <c r="N576" t="s">
        <v>55</v>
      </c>
      <c r="P576" s="6" t="s">
        <v>1248</v>
      </c>
    </row>
    <row r="577" spans="1:16" x14ac:dyDescent="0.2">
      <c r="A577">
        <v>414520736</v>
      </c>
      <c r="B577" t="s">
        <v>530</v>
      </c>
      <c r="C577" t="s">
        <v>663</v>
      </c>
      <c r="E577" s="22">
        <v>0.14000000000000001</v>
      </c>
      <c r="F577" t="s">
        <v>648</v>
      </c>
      <c r="G577" t="s">
        <v>649</v>
      </c>
      <c r="H577" t="s">
        <v>650</v>
      </c>
      <c r="I577" t="s">
        <v>651</v>
      </c>
      <c r="J577" t="s">
        <v>652</v>
      </c>
      <c r="K577" t="s">
        <v>48</v>
      </c>
      <c r="L577">
        <v>2016</v>
      </c>
      <c r="M577" t="s">
        <v>56</v>
      </c>
      <c r="N577" t="s">
        <v>55</v>
      </c>
      <c r="P577" s="6" t="s">
        <v>1249</v>
      </c>
    </row>
    <row r="578" spans="1:16" x14ac:dyDescent="0.2">
      <c r="A578">
        <v>356558346</v>
      </c>
      <c r="B578" t="s">
        <v>530</v>
      </c>
      <c r="C578" t="s">
        <v>663</v>
      </c>
      <c r="E578" s="22">
        <v>0.04</v>
      </c>
      <c r="F578" t="s">
        <v>648</v>
      </c>
      <c r="G578" t="s">
        <v>649</v>
      </c>
      <c r="H578" t="s">
        <v>650</v>
      </c>
      <c r="I578" t="s">
        <v>651</v>
      </c>
      <c r="J578" t="s">
        <v>652</v>
      </c>
      <c r="K578" t="s">
        <v>48</v>
      </c>
      <c r="L578">
        <v>2016</v>
      </c>
      <c r="M578" t="s">
        <v>56</v>
      </c>
      <c r="N578" t="s">
        <v>55</v>
      </c>
      <c r="P578" s="6" t="s">
        <v>1250</v>
      </c>
    </row>
    <row r="579" spans="1:16" x14ac:dyDescent="0.2">
      <c r="A579">
        <v>970698993</v>
      </c>
      <c r="B579" t="s">
        <v>530</v>
      </c>
      <c r="C579" t="s">
        <v>663</v>
      </c>
      <c r="E579" s="22">
        <v>0.08</v>
      </c>
      <c r="F579" t="s">
        <v>648</v>
      </c>
      <c r="G579" t="s">
        <v>649</v>
      </c>
      <c r="H579" t="s">
        <v>650</v>
      </c>
      <c r="I579" t="s">
        <v>651</v>
      </c>
      <c r="J579" t="s">
        <v>652</v>
      </c>
      <c r="K579" t="s">
        <v>48</v>
      </c>
      <c r="L579">
        <v>2016</v>
      </c>
      <c r="M579" t="s">
        <v>56</v>
      </c>
      <c r="N579" t="s">
        <v>55</v>
      </c>
      <c r="P579" s="6" t="s">
        <v>1251</v>
      </c>
    </row>
    <row r="580" spans="1:16" x14ac:dyDescent="0.2">
      <c r="A580">
        <v>633537205</v>
      </c>
      <c r="B580" t="s">
        <v>530</v>
      </c>
      <c r="C580" t="s">
        <v>663</v>
      </c>
      <c r="E580" s="22">
        <v>0.1</v>
      </c>
      <c r="F580" t="s">
        <v>648</v>
      </c>
      <c r="G580" t="s">
        <v>649</v>
      </c>
      <c r="H580" t="s">
        <v>650</v>
      </c>
      <c r="I580" t="s">
        <v>651</v>
      </c>
      <c r="J580" t="s">
        <v>652</v>
      </c>
      <c r="K580" t="s">
        <v>48</v>
      </c>
      <c r="L580">
        <v>2016</v>
      </c>
      <c r="M580" t="s">
        <v>56</v>
      </c>
      <c r="N580" t="s">
        <v>55</v>
      </c>
      <c r="P580" s="6" t="s">
        <v>1252</v>
      </c>
    </row>
    <row r="581" spans="1:16" x14ac:dyDescent="0.2">
      <c r="A581">
        <v>534292868</v>
      </c>
      <c r="B581" t="s">
        <v>530</v>
      </c>
      <c r="C581" t="s">
        <v>663</v>
      </c>
      <c r="E581" s="22">
        <v>0.08</v>
      </c>
      <c r="F581" t="s">
        <v>648</v>
      </c>
      <c r="G581" t="s">
        <v>649</v>
      </c>
      <c r="H581" t="s">
        <v>650</v>
      </c>
      <c r="I581" t="s">
        <v>651</v>
      </c>
      <c r="J581" t="s">
        <v>652</v>
      </c>
      <c r="K581" t="s">
        <v>48</v>
      </c>
      <c r="L581">
        <v>2016</v>
      </c>
      <c r="M581" t="s">
        <v>56</v>
      </c>
      <c r="N581" t="s">
        <v>55</v>
      </c>
      <c r="P581" s="6" t="s">
        <v>1253</v>
      </c>
    </row>
    <row r="582" spans="1:16" x14ac:dyDescent="0.2">
      <c r="A582">
        <v>816787809</v>
      </c>
      <c r="B582" t="s">
        <v>530</v>
      </c>
      <c r="C582" t="s">
        <v>663</v>
      </c>
      <c r="E582" s="22">
        <v>0.64</v>
      </c>
      <c r="F582" t="s">
        <v>648</v>
      </c>
      <c r="G582" t="s">
        <v>649</v>
      </c>
      <c r="H582" t="s">
        <v>650</v>
      </c>
      <c r="I582" t="s">
        <v>651</v>
      </c>
      <c r="J582" t="s">
        <v>652</v>
      </c>
      <c r="K582" t="s">
        <v>48</v>
      </c>
      <c r="L582">
        <v>2016</v>
      </c>
      <c r="M582" t="s">
        <v>56</v>
      </c>
      <c r="N582" t="s">
        <v>55</v>
      </c>
      <c r="P582" s="6" t="s">
        <v>1254</v>
      </c>
    </row>
    <row r="583" spans="1:16" x14ac:dyDescent="0.2">
      <c r="A583">
        <v>220052551</v>
      </c>
      <c r="B583" t="s">
        <v>530</v>
      </c>
      <c r="C583" t="s">
        <v>663</v>
      </c>
      <c r="E583" s="22">
        <v>0.14000000000000001</v>
      </c>
      <c r="F583" t="s">
        <v>648</v>
      </c>
      <c r="G583" t="s">
        <v>649</v>
      </c>
      <c r="H583" t="s">
        <v>650</v>
      </c>
      <c r="I583" t="s">
        <v>651</v>
      </c>
      <c r="J583" t="s">
        <v>652</v>
      </c>
      <c r="K583" t="s">
        <v>48</v>
      </c>
      <c r="L583">
        <v>2016</v>
      </c>
      <c r="M583" t="s">
        <v>56</v>
      </c>
      <c r="N583" t="s">
        <v>55</v>
      </c>
      <c r="P583" s="6" t="s">
        <v>1255</v>
      </c>
    </row>
    <row r="584" spans="1:16" x14ac:dyDescent="0.2">
      <c r="A584">
        <v>858571733</v>
      </c>
      <c r="B584" t="s">
        <v>530</v>
      </c>
      <c r="C584" t="s">
        <v>663</v>
      </c>
      <c r="E584" s="22">
        <v>0.16</v>
      </c>
      <c r="F584" t="s">
        <v>648</v>
      </c>
      <c r="G584" t="s">
        <v>649</v>
      </c>
      <c r="H584" t="s">
        <v>650</v>
      </c>
      <c r="I584" t="s">
        <v>651</v>
      </c>
      <c r="J584" t="s">
        <v>652</v>
      </c>
      <c r="K584" t="s">
        <v>48</v>
      </c>
      <c r="L584">
        <v>2016</v>
      </c>
      <c r="M584" t="s">
        <v>56</v>
      </c>
      <c r="N584" t="s">
        <v>55</v>
      </c>
      <c r="P584" s="6" t="s">
        <v>1256</v>
      </c>
    </row>
    <row r="585" spans="1:16" x14ac:dyDescent="0.2">
      <c r="A585">
        <v>363436152</v>
      </c>
      <c r="B585" t="s">
        <v>530</v>
      </c>
      <c r="C585" t="s">
        <v>663</v>
      </c>
      <c r="E585" s="22">
        <v>0.46000000000000008</v>
      </c>
      <c r="F585" t="s">
        <v>648</v>
      </c>
      <c r="G585" t="s">
        <v>649</v>
      </c>
      <c r="H585" t="s">
        <v>650</v>
      </c>
      <c r="I585" t="s">
        <v>651</v>
      </c>
      <c r="J585" t="s">
        <v>652</v>
      </c>
      <c r="K585" t="s">
        <v>48</v>
      </c>
      <c r="L585">
        <v>2016</v>
      </c>
      <c r="M585" t="s">
        <v>56</v>
      </c>
      <c r="N585" t="s">
        <v>55</v>
      </c>
      <c r="P585" s="6" t="s">
        <v>1257</v>
      </c>
    </row>
    <row r="586" spans="1:16" x14ac:dyDescent="0.2">
      <c r="A586">
        <v>393495083</v>
      </c>
      <c r="B586" t="s">
        <v>530</v>
      </c>
      <c r="C586" t="s">
        <v>663</v>
      </c>
      <c r="E586" s="22">
        <v>0.18</v>
      </c>
      <c r="F586" t="s">
        <v>648</v>
      </c>
      <c r="G586" t="s">
        <v>649</v>
      </c>
      <c r="H586" t="s">
        <v>650</v>
      </c>
      <c r="I586" t="s">
        <v>651</v>
      </c>
      <c r="J586" t="s">
        <v>652</v>
      </c>
      <c r="K586" t="s">
        <v>48</v>
      </c>
      <c r="L586">
        <v>2016</v>
      </c>
      <c r="M586" t="s">
        <v>56</v>
      </c>
      <c r="N586" t="s">
        <v>55</v>
      </c>
      <c r="P586" s="6" t="s">
        <v>1258</v>
      </c>
    </row>
    <row r="587" spans="1:16" x14ac:dyDescent="0.2">
      <c r="A587">
        <v>769635714</v>
      </c>
      <c r="B587" t="s">
        <v>530</v>
      </c>
      <c r="C587" t="s">
        <v>663</v>
      </c>
      <c r="E587" s="22">
        <v>0.64</v>
      </c>
      <c r="F587" t="s">
        <v>648</v>
      </c>
      <c r="G587" t="s">
        <v>649</v>
      </c>
      <c r="H587" t="s">
        <v>650</v>
      </c>
      <c r="I587" t="s">
        <v>651</v>
      </c>
      <c r="J587" t="s">
        <v>652</v>
      </c>
      <c r="K587" t="s">
        <v>48</v>
      </c>
      <c r="L587">
        <v>2016</v>
      </c>
      <c r="M587" t="s">
        <v>56</v>
      </c>
      <c r="N587" t="s">
        <v>55</v>
      </c>
      <c r="P587" s="6" t="s">
        <v>1259</v>
      </c>
    </row>
    <row r="588" spans="1:16" x14ac:dyDescent="0.2">
      <c r="A588">
        <v>373048949</v>
      </c>
      <c r="B588" t="s">
        <v>530</v>
      </c>
      <c r="C588" t="s">
        <v>663</v>
      </c>
      <c r="E588" s="22">
        <v>0.3</v>
      </c>
      <c r="F588" t="s">
        <v>648</v>
      </c>
      <c r="G588" t="s">
        <v>649</v>
      </c>
      <c r="H588" t="s">
        <v>650</v>
      </c>
      <c r="I588" t="s">
        <v>651</v>
      </c>
      <c r="J588" t="s">
        <v>652</v>
      </c>
      <c r="K588" t="s">
        <v>48</v>
      </c>
      <c r="L588">
        <v>2016</v>
      </c>
      <c r="M588" t="s">
        <v>56</v>
      </c>
      <c r="N588" t="s">
        <v>55</v>
      </c>
      <c r="P588" s="6" t="s">
        <v>1260</v>
      </c>
    </row>
    <row r="589" spans="1:16" x14ac:dyDescent="0.2">
      <c r="A589">
        <v>357061292</v>
      </c>
      <c r="B589" t="s">
        <v>530</v>
      </c>
      <c r="C589" t="s">
        <v>663</v>
      </c>
      <c r="E589" s="22">
        <v>0.5</v>
      </c>
      <c r="F589" t="s">
        <v>648</v>
      </c>
      <c r="G589" t="s">
        <v>649</v>
      </c>
      <c r="H589" t="s">
        <v>650</v>
      </c>
      <c r="I589" t="s">
        <v>651</v>
      </c>
      <c r="J589" t="s">
        <v>652</v>
      </c>
      <c r="K589" t="s">
        <v>48</v>
      </c>
      <c r="L589">
        <v>2016</v>
      </c>
      <c r="M589" t="s">
        <v>56</v>
      </c>
      <c r="N589" t="s">
        <v>55</v>
      </c>
      <c r="P589" s="6" t="s">
        <v>1261</v>
      </c>
    </row>
    <row r="590" spans="1:16" x14ac:dyDescent="0.2">
      <c r="A590">
        <v>837310284</v>
      </c>
      <c r="B590" t="s">
        <v>530</v>
      </c>
      <c r="C590" t="s">
        <v>663</v>
      </c>
      <c r="E590" s="22">
        <v>0.36</v>
      </c>
      <c r="F590" t="s">
        <v>648</v>
      </c>
      <c r="G590" t="s">
        <v>649</v>
      </c>
      <c r="H590" t="s">
        <v>650</v>
      </c>
      <c r="I590" t="s">
        <v>651</v>
      </c>
      <c r="J590" t="s">
        <v>652</v>
      </c>
      <c r="K590" t="s">
        <v>48</v>
      </c>
      <c r="L590">
        <v>2016</v>
      </c>
      <c r="M590" t="s">
        <v>56</v>
      </c>
      <c r="N590" t="s">
        <v>55</v>
      </c>
      <c r="P590" s="6" t="s">
        <v>1262</v>
      </c>
    </row>
    <row r="591" spans="1:16" x14ac:dyDescent="0.2">
      <c r="A591">
        <v>815854164</v>
      </c>
      <c r="B591" t="s">
        <v>530</v>
      </c>
      <c r="C591" t="s">
        <v>663</v>
      </c>
      <c r="E591" s="22">
        <v>0.62</v>
      </c>
      <c r="F591" t="s">
        <v>648</v>
      </c>
      <c r="G591" t="s">
        <v>649</v>
      </c>
      <c r="H591" t="s">
        <v>650</v>
      </c>
      <c r="I591" t="s">
        <v>651</v>
      </c>
      <c r="J591" t="s">
        <v>652</v>
      </c>
      <c r="K591" t="s">
        <v>48</v>
      </c>
      <c r="L591">
        <v>2016</v>
      </c>
      <c r="M591" t="s">
        <v>56</v>
      </c>
      <c r="N591" t="s">
        <v>55</v>
      </c>
      <c r="P591" s="6" t="s">
        <v>1263</v>
      </c>
    </row>
    <row r="592" spans="1:16" x14ac:dyDescent="0.2">
      <c r="A592">
        <v>315378369</v>
      </c>
      <c r="B592" t="s">
        <v>530</v>
      </c>
      <c r="C592" t="s">
        <v>663</v>
      </c>
      <c r="E592" s="22">
        <v>0.36</v>
      </c>
      <c r="F592" t="s">
        <v>648</v>
      </c>
      <c r="G592" t="s">
        <v>649</v>
      </c>
      <c r="H592" t="s">
        <v>650</v>
      </c>
      <c r="I592" t="s">
        <v>651</v>
      </c>
      <c r="J592" t="s">
        <v>652</v>
      </c>
      <c r="K592" t="s">
        <v>48</v>
      </c>
      <c r="L592">
        <v>2016</v>
      </c>
      <c r="M592" t="s">
        <v>56</v>
      </c>
      <c r="N592" t="s">
        <v>55</v>
      </c>
      <c r="P592" s="6" t="s">
        <v>1264</v>
      </c>
    </row>
    <row r="593" spans="1:16" x14ac:dyDescent="0.2">
      <c r="A593">
        <v>564410540</v>
      </c>
      <c r="B593" t="s">
        <v>530</v>
      </c>
      <c r="C593" t="s">
        <v>663</v>
      </c>
      <c r="E593" s="22">
        <v>0.72</v>
      </c>
      <c r="F593" t="s">
        <v>648</v>
      </c>
      <c r="G593" t="s">
        <v>649</v>
      </c>
      <c r="H593" t="s">
        <v>650</v>
      </c>
      <c r="I593" t="s">
        <v>651</v>
      </c>
      <c r="J593" t="s">
        <v>652</v>
      </c>
      <c r="K593" t="s">
        <v>48</v>
      </c>
      <c r="L593">
        <v>2016</v>
      </c>
      <c r="M593" t="s">
        <v>56</v>
      </c>
      <c r="N593" t="s">
        <v>55</v>
      </c>
      <c r="P593" s="6" t="s">
        <v>1265</v>
      </c>
    </row>
    <row r="594" spans="1:16" x14ac:dyDescent="0.2">
      <c r="A594">
        <v>126539887</v>
      </c>
      <c r="B594" t="s">
        <v>530</v>
      </c>
      <c r="C594" t="s">
        <v>663</v>
      </c>
      <c r="E594" s="22">
        <v>0.62</v>
      </c>
      <c r="F594" t="s">
        <v>648</v>
      </c>
      <c r="G594" t="s">
        <v>649</v>
      </c>
      <c r="H594" t="s">
        <v>650</v>
      </c>
      <c r="I594" t="s">
        <v>651</v>
      </c>
      <c r="J594" t="s">
        <v>652</v>
      </c>
      <c r="K594" t="s">
        <v>48</v>
      </c>
      <c r="L594">
        <v>2016</v>
      </c>
      <c r="M594" t="s">
        <v>56</v>
      </c>
      <c r="N594" t="s">
        <v>55</v>
      </c>
      <c r="P594" s="6" t="s">
        <v>1266</v>
      </c>
    </row>
    <row r="595" spans="1:16" x14ac:dyDescent="0.2">
      <c r="A595">
        <v>563937624</v>
      </c>
      <c r="B595" t="s">
        <v>530</v>
      </c>
      <c r="C595" t="s">
        <v>663</v>
      </c>
      <c r="E595" s="22">
        <v>0.2</v>
      </c>
      <c r="F595" t="s">
        <v>648</v>
      </c>
      <c r="G595" t="s">
        <v>649</v>
      </c>
      <c r="H595" t="s">
        <v>650</v>
      </c>
      <c r="I595" t="s">
        <v>651</v>
      </c>
      <c r="J595" t="s">
        <v>652</v>
      </c>
      <c r="K595" t="s">
        <v>48</v>
      </c>
      <c r="L595">
        <v>2016</v>
      </c>
      <c r="M595" t="s">
        <v>56</v>
      </c>
      <c r="N595" t="s">
        <v>55</v>
      </c>
      <c r="P595" s="6" t="s">
        <v>1267</v>
      </c>
    </row>
    <row r="596" spans="1:16" x14ac:dyDescent="0.2">
      <c r="A596">
        <v>684291511</v>
      </c>
      <c r="B596" t="s">
        <v>530</v>
      </c>
      <c r="C596" t="s">
        <v>663</v>
      </c>
      <c r="E596" s="22">
        <v>0.52</v>
      </c>
      <c r="F596" t="s">
        <v>648</v>
      </c>
      <c r="G596" t="s">
        <v>649</v>
      </c>
      <c r="H596" t="s">
        <v>650</v>
      </c>
      <c r="I596" t="s">
        <v>651</v>
      </c>
      <c r="J596" t="s">
        <v>652</v>
      </c>
      <c r="K596" t="s">
        <v>48</v>
      </c>
      <c r="L596">
        <v>2016</v>
      </c>
      <c r="M596" t="s">
        <v>56</v>
      </c>
      <c r="N596" t="s">
        <v>55</v>
      </c>
      <c r="P596" s="6" t="s">
        <v>1268</v>
      </c>
    </row>
    <row r="597" spans="1:16" x14ac:dyDescent="0.2">
      <c r="A597">
        <v>598829620</v>
      </c>
      <c r="B597" t="s">
        <v>62</v>
      </c>
      <c r="C597" t="s">
        <v>79</v>
      </c>
      <c r="E597" s="22">
        <v>0.3</v>
      </c>
      <c r="F597" t="s">
        <v>648</v>
      </c>
      <c r="G597" t="s">
        <v>649</v>
      </c>
      <c r="H597" t="s">
        <v>650</v>
      </c>
      <c r="I597" t="s">
        <v>651</v>
      </c>
      <c r="J597" t="s">
        <v>652</v>
      </c>
      <c r="K597" t="s">
        <v>48</v>
      </c>
      <c r="L597">
        <v>2016</v>
      </c>
      <c r="M597" t="s">
        <v>56</v>
      </c>
      <c r="N597" t="s">
        <v>55</v>
      </c>
      <c r="P597" s="6" t="s">
        <v>1269</v>
      </c>
    </row>
    <row r="598" spans="1:16" x14ac:dyDescent="0.2">
      <c r="A598">
        <v>684014860</v>
      </c>
      <c r="B598" t="s">
        <v>62</v>
      </c>
      <c r="C598" t="s">
        <v>79</v>
      </c>
      <c r="E598" s="22">
        <v>0.56000000000000005</v>
      </c>
      <c r="F598" t="s">
        <v>648</v>
      </c>
      <c r="G598" t="s">
        <v>649</v>
      </c>
      <c r="H598" t="s">
        <v>650</v>
      </c>
      <c r="I598" t="s">
        <v>651</v>
      </c>
      <c r="J598" t="s">
        <v>652</v>
      </c>
      <c r="K598" t="s">
        <v>48</v>
      </c>
      <c r="L598">
        <v>2016</v>
      </c>
      <c r="M598" t="s">
        <v>56</v>
      </c>
      <c r="N598" t="s">
        <v>55</v>
      </c>
      <c r="P598" s="6" t="s">
        <v>1270</v>
      </c>
    </row>
    <row r="599" spans="1:16" x14ac:dyDescent="0.2">
      <c r="A599">
        <v>843228181</v>
      </c>
      <c r="B599" t="s">
        <v>62</v>
      </c>
      <c r="C599" t="s">
        <v>79</v>
      </c>
      <c r="E599" s="22">
        <v>0.49600000000000011</v>
      </c>
      <c r="F599" t="s">
        <v>648</v>
      </c>
      <c r="G599" t="s">
        <v>649</v>
      </c>
      <c r="H599" t="s">
        <v>650</v>
      </c>
      <c r="I599" t="s">
        <v>651</v>
      </c>
      <c r="J599" t="s">
        <v>652</v>
      </c>
      <c r="K599" t="s">
        <v>48</v>
      </c>
      <c r="L599">
        <v>2016</v>
      </c>
      <c r="M599" t="s">
        <v>56</v>
      </c>
      <c r="N599" t="s">
        <v>55</v>
      </c>
      <c r="P599" s="6" t="s">
        <v>1271</v>
      </c>
    </row>
    <row r="600" spans="1:16" x14ac:dyDescent="0.2">
      <c r="A600">
        <v>820549378</v>
      </c>
      <c r="B600" t="s">
        <v>62</v>
      </c>
      <c r="C600" t="s">
        <v>79</v>
      </c>
      <c r="E600" s="22">
        <v>0.28400000000000003</v>
      </c>
      <c r="F600" t="s">
        <v>648</v>
      </c>
      <c r="G600" t="s">
        <v>649</v>
      </c>
      <c r="H600" t="s">
        <v>650</v>
      </c>
      <c r="I600" t="s">
        <v>651</v>
      </c>
      <c r="J600" t="s">
        <v>652</v>
      </c>
      <c r="K600" t="s">
        <v>48</v>
      </c>
      <c r="L600">
        <v>2016</v>
      </c>
      <c r="M600" t="s">
        <v>56</v>
      </c>
      <c r="N600" t="s">
        <v>55</v>
      </c>
      <c r="P600" s="6" t="s">
        <v>1272</v>
      </c>
    </row>
    <row r="601" spans="1:16" x14ac:dyDescent="0.2">
      <c r="A601">
        <v>533572169</v>
      </c>
      <c r="B601" t="s">
        <v>62</v>
      </c>
      <c r="C601" t="s">
        <v>79</v>
      </c>
      <c r="E601" s="22">
        <v>0.14400000000000002</v>
      </c>
      <c r="F601" t="s">
        <v>648</v>
      </c>
      <c r="G601" t="s">
        <v>649</v>
      </c>
      <c r="H601" t="s">
        <v>650</v>
      </c>
      <c r="I601" t="s">
        <v>651</v>
      </c>
      <c r="J601" t="s">
        <v>652</v>
      </c>
      <c r="K601" t="s">
        <v>48</v>
      </c>
      <c r="L601">
        <v>2016</v>
      </c>
      <c r="M601" t="s">
        <v>56</v>
      </c>
      <c r="N601" t="s">
        <v>55</v>
      </c>
      <c r="P601" s="6" t="s">
        <v>1273</v>
      </c>
    </row>
    <row r="602" spans="1:16" x14ac:dyDescent="0.2">
      <c r="A602">
        <v>975325712</v>
      </c>
      <c r="B602" t="s">
        <v>62</v>
      </c>
      <c r="C602" t="s">
        <v>79</v>
      </c>
      <c r="E602" s="22">
        <v>0.376</v>
      </c>
      <c r="F602" t="s">
        <v>648</v>
      </c>
      <c r="G602" t="s">
        <v>649</v>
      </c>
      <c r="H602" t="s">
        <v>650</v>
      </c>
      <c r="I602" t="s">
        <v>651</v>
      </c>
      <c r="J602" t="s">
        <v>652</v>
      </c>
      <c r="K602" t="s">
        <v>48</v>
      </c>
      <c r="L602">
        <v>2016</v>
      </c>
      <c r="M602" t="s">
        <v>56</v>
      </c>
      <c r="N602" t="s">
        <v>55</v>
      </c>
      <c r="P602" s="6" t="s">
        <v>1274</v>
      </c>
    </row>
    <row r="603" spans="1:16" x14ac:dyDescent="0.2">
      <c r="A603">
        <v>310082419</v>
      </c>
      <c r="B603" t="s">
        <v>62</v>
      </c>
      <c r="C603" t="s">
        <v>79</v>
      </c>
      <c r="E603" s="22">
        <v>0.14800000000000002</v>
      </c>
      <c r="F603" t="s">
        <v>648</v>
      </c>
      <c r="G603" t="s">
        <v>649</v>
      </c>
      <c r="H603" t="s">
        <v>650</v>
      </c>
      <c r="I603" t="s">
        <v>651</v>
      </c>
      <c r="J603" t="s">
        <v>652</v>
      </c>
      <c r="K603" t="s">
        <v>48</v>
      </c>
      <c r="L603">
        <v>2016</v>
      </c>
      <c r="M603" t="s">
        <v>56</v>
      </c>
      <c r="N603" t="s">
        <v>55</v>
      </c>
      <c r="P603" s="6" t="s">
        <v>1275</v>
      </c>
    </row>
    <row r="604" spans="1:16" x14ac:dyDescent="0.2">
      <c r="A604">
        <v>242132470</v>
      </c>
      <c r="B604" t="s">
        <v>62</v>
      </c>
      <c r="C604" t="s">
        <v>79</v>
      </c>
      <c r="E604" s="22">
        <v>0.38</v>
      </c>
      <c r="F604" t="s">
        <v>648</v>
      </c>
      <c r="G604" t="s">
        <v>649</v>
      </c>
      <c r="H604" t="s">
        <v>650</v>
      </c>
      <c r="I604" t="s">
        <v>651</v>
      </c>
      <c r="J604" t="s">
        <v>652</v>
      </c>
      <c r="K604" t="s">
        <v>48</v>
      </c>
      <c r="L604">
        <v>2016</v>
      </c>
      <c r="M604" t="s">
        <v>56</v>
      </c>
      <c r="N604" t="s">
        <v>55</v>
      </c>
      <c r="P604" s="6" t="s">
        <v>1276</v>
      </c>
    </row>
    <row r="605" spans="1:16" x14ac:dyDescent="0.2">
      <c r="A605">
        <v>208248363</v>
      </c>
      <c r="B605" t="s">
        <v>62</v>
      </c>
      <c r="C605" t="s">
        <v>79</v>
      </c>
      <c r="E605" s="22">
        <v>0.44400000000000006</v>
      </c>
      <c r="F605" t="s">
        <v>648</v>
      </c>
      <c r="G605" t="s">
        <v>649</v>
      </c>
      <c r="H605" t="s">
        <v>650</v>
      </c>
      <c r="I605" t="s">
        <v>651</v>
      </c>
      <c r="J605" t="s">
        <v>652</v>
      </c>
      <c r="K605" t="s">
        <v>48</v>
      </c>
      <c r="L605">
        <v>2016</v>
      </c>
      <c r="M605" t="s">
        <v>56</v>
      </c>
      <c r="N605" t="s">
        <v>55</v>
      </c>
      <c r="P605" s="6" t="s">
        <v>1277</v>
      </c>
    </row>
    <row r="606" spans="1:16" x14ac:dyDescent="0.2">
      <c r="A606">
        <v>277055951</v>
      </c>
      <c r="B606" t="s">
        <v>62</v>
      </c>
      <c r="C606" t="s">
        <v>79</v>
      </c>
      <c r="E606" s="22">
        <v>0.10400000000000001</v>
      </c>
      <c r="F606" t="s">
        <v>648</v>
      </c>
      <c r="G606" t="s">
        <v>649</v>
      </c>
      <c r="H606" t="s">
        <v>650</v>
      </c>
      <c r="I606" t="s">
        <v>651</v>
      </c>
      <c r="J606" t="s">
        <v>652</v>
      </c>
      <c r="K606" t="s">
        <v>48</v>
      </c>
      <c r="L606">
        <v>2016</v>
      </c>
      <c r="M606" t="s">
        <v>56</v>
      </c>
      <c r="N606" t="s">
        <v>55</v>
      </c>
      <c r="P606" s="6" t="s">
        <v>1278</v>
      </c>
    </row>
    <row r="607" spans="1:16" x14ac:dyDescent="0.2">
      <c r="A607">
        <v>902907559</v>
      </c>
      <c r="B607" t="s">
        <v>62</v>
      </c>
      <c r="C607" t="s">
        <v>79</v>
      </c>
      <c r="E607" s="22">
        <v>0.41600000000000004</v>
      </c>
      <c r="F607" t="s">
        <v>648</v>
      </c>
      <c r="G607" t="s">
        <v>649</v>
      </c>
      <c r="H607" t="s">
        <v>650</v>
      </c>
      <c r="I607" t="s">
        <v>651</v>
      </c>
      <c r="J607" t="s">
        <v>652</v>
      </c>
      <c r="K607" t="s">
        <v>48</v>
      </c>
      <c r="L607">
        <v>2016</v>
      </c>
      <c r="M607" t="s">
        <v>56</v>
      </c>
      <c r="N607" t="s">
        <v>55</v>
      </c>
      <c r="P607" s="6" t="s">
        <v>1279</v>
      </c>
    </row>
    <row r="608" spans="1:16" x14ac:dyDescent="0.2">
      <c r="A608">
        <v>528297980</v>
      </c>
      <c r="B608" t="s">
        <v>62</v>
      </c>
      <c r="C608" t="s">
        <v>79</v>
      </c>
      <c r="E608" s="22">
        <v>0.60400000000000009</v>
      </c>
      <c r="F608" t="s">
        <v>648</v>
      </c>
      <c r="G608" t="s">
        <v>649</v>
      </c>
      <c r="H608" t="s">
        <v>650</v>
      </c>
      <c r="I608" t="s">
        <v>651</v>
      </c>
      <c r="J608" t="s">
        <v>652</v>
      </c>
      <c r="K608" t="s">
        <v>48</v>
      </c>
      <c r="L608">
        <v>2016</v>
      </c>
      <c r="M608" t="s">
        <v>56</v>
      </c>
      <c r="N608" t="s">
        <v>55</v>
      </c>
      <c r="P608" s="6" t="s">
        <v>1280</v>
      </c>
    </row>
    <row r="609" spans="1:16" x14ac:dyDescent="0.2">
      <c r="A609">
        <v>444882790</v>
      </c>
      <c r="B609" t="s">
        <v>62</v>
      </c>
      <c r="C609" t="s">
        <v>79</v>
      </c>
      <c r="E609" s="22">
        <v>0.10400000000000001</v>
      </c>
      <c r="F609" t="s">
        <v>648</v>
      </c>
      <c r="G609" t="s">
        <v>649</v>
      </c>
      <c r="H609" t="s">
        <v>650</v>
      </c>
      <c r="I609" t="s">
        <v>651</v>
      </c>
      <c r="J609" t="s">
        <v>652</v>
      </c>
      <c r="K609" t="s">
        <v>48</v>
      </c>
      <c r="L609">
        <v>2016</v>
      </c>
      <c r="M609" t="s">
        <v>56</v>
      </c>
      <c r="N609" t="s">
        <v>55</v>
      </c>
      <c r="P609" s="6" t="s">
        <v>1281</v>
      </c>
    </row>
    <row r="610" spans="1:16" x14ac:dyDescent="0.2">
      <c r="A610">
        <v>112085131</v>
      </c>
      <c r="B610" t="s">
        <v>62</v>
      </c>
      <c r="C610" t="s">
        <v>79</v>
      </c>
      <c r="E610" s="22">
        <v>0.16</v>
      </c>
      <c r="F610" t="s">
        <v>648</v>
      </c>
      <c r="G610" t="s">
        <v>649</v>
      </c>
      <c r="H610" t="s">
        <v>650</v>
      </c>
      <c r="I610" t="s">
        <v>651</v>
      </c>
      <c r="J610" t="s">
        <v>652</v>
      </c>
      <c r="K610" t="s">
        <v>48</v>
      </c>
      <c r="L610">
        <v>2016</v>
      </c>
      <c r="M610" t="s">
        <v>56</v>
      </c>
      <c r="N610" t="s">
        <v>55</v>
      </c>
      <c r="P610" s="6" t="s">
        <v>1282</v>
      </c>
    </row>
    <row r="611" spans="1:16" x14ac:dyDescent="0.2">
      <c r="A611">
        <v>588642518</v>
      </c>
      <c r="B611" t="s">
        <v>62</v>
      </c>
      <c r="C611" t="s">
        <v>79</v>
      </c>
      <c r="E611" s="22">
        <v>0.78400000000000003</v>
      </c>
      <c r="F611" t="s">
        <v>648</v>
      </c>
      <c r="G611" t="s">
        <v>649</v>
      </c>
      <c r="H611" t="s">
        <v>650</v>
      </c>
      <c r="I611" t="s">
        <v>651</v>
      </c>
      <c r="J611" t="s">
        <v>652</v>
      </c>
      <c r="K611" t="s">
        <v>48</v>
      </c>
      <c r="L611">
        <v>2016</v>
      </c>
      <c r="M611" t="s">
        <v>56</v>
      </c>
      <c r="N611" t="s">
        <v>55</v>
      </c>
      <c r="P611" s="6" t="s">
        <v>1283</v>
      </c>
    </row>
    <row r="612" spans="1:16" x14ac:dyDescent="0.2">
      <c r="A612">
        <v>414520736</v>
      </c>
      <c r="B612" t="s">
        <v>62</v>
      </c>
      <c r="C612" t="s">
        <v>79</v>
      </c>
      <c r="E612" s="22">
        <v>0.40799999999999997</v>
      </c>
      <c r="F612" t="s">
        <v>648</v>
      </c>
      <c r="G612" t="s">
        <v>649</v>
      </c>
      <c r="H612" t="s">
        <v>650</v>
      </c>
      <c r="I612" t="s">
        <v>651</v>
      </c>
      <c r="J612" t="s">
        <v>652</v>
      </c>
      <c r="K612" t="s">
        <v>48</v>
      </c>
      <c r="L612">
        <v>2016</v>
      </c>
      <c r="M612" t="s">
        <v>56</v>
      </c>
      <c r="N612" t="s">
        <v>55</v>
      </c>
      <c r="P612" s="6" t="s">
        <v>1284</v>
      </c>
    </row>
    <row r="613" spans="1:16" x14ac:dyDescent="0.2">
      <c r="A613">
        <v>356558346</v>
      </c>
      <c r="B613" t="s">
        <v>62</v>
      </c>
      <c r="C613" t="s">
        <v>79</v>
      </c>
      <c r="E613" s="22">
        <v>0.19600000000000001</v>
      </c>
      <c r="F613" t="s">
        <v>648</v>
      </c>
      <c r="G613" t="s">
        <v>649</v>
      </c>
      <c r="H613" t="s">
        <v>650</v>
      </c>
      <c r="I613" t="s">
        <v>651</v>
      </c>
      <c r="J613" t="s">
        <v>652</v>
      </c>
      <c r="K613" t="s">
        <v>48</v>
      </c>
      <c r="L613">
        <v>2016</v>
      </c>
      <c r="M613" t="s">
        <v>56</v>
      </c>
      <c r="N613" t="s">
        <v>55</v>
      </c>
      <c r="P613" s="6" t="s">
        <v>1285</v>
      </c>
    </row>
    <row r="614" spans="1:16" x14ac:dyDescent="0.2">
      <c r="A614">
        <v>970698993</v>
      </c>
      <c r="B614" t="s">
        <v>62</v>
      </c>
      <c r="C614" t="s">
        <v>79</v>
      </c>
      <c r="E614" s="22">
        <v>0.42799999999999999</v>
      </c>
      <c r="F614" t="s">
        <v>648</v>
      </c>
      <c r="G614" t="s">
        <v>649</v>
      </c>
      <c r="H614" t="s">
        <v>650</v>
      </c>
      <c r="I614" t="s">
        <v>651</v>
      </c>
      <c r="J614" t="s">
        <v>652</v>
      </c>
      <c r="K614" t="s">
        <v>48</v>
      </c>
      <c r="L614">
        <v>2016</v>
      </c>
      <c r="M614" t="s">
        <v>56</v>
      </c>
      <c r="N614" t="s">
        <v>55</v>
      </c>
      <c r="P614" s="6" t="s">
        <v>1286</v>
      </c>
    </row>
    <row r="615" spans="1:16" x14ac:dyDescent="0.2">
      <c r="A615">
        <v>633537205</v>
      </c>
      <c r="B615" t="s">
        <v>62</v>
      </c>
      <c r="C615" t="s">
        <v>79</v>
      </c>
      <c r="E615" s="22">
        <v>0.20399999999999999</v>
      </c>
      <c r="F615" t="s">
        <v>648</v>
      </c>
      <c r="G615" t="s">
        <v>649</v>
      </c>
      <c r="H615" t="s">
        <v>650</v>
      </c>
      <c r="I615" t="s">
        <v>651</v>
      </c>
      <c r="J615" t="s">
        <v>652</v>
      </c>
      <c r="K615" t="s">
        <v>48</v>
      </c>
      <c r="L615">
        <v>2016</v>
      </c>
      <c r="M615" t="s">
        <v>56</v>
      </c>
      <c r="N615" t="s">
        <v>55</v>
      </c>
      <c r="P615" s="6" t="s">
        <v>1287</v>
      </c>
    </row>
    <row r="616" spans="1:16" x14ac:dyDescent="0.2">
      <c r="A616">
        <v>534292868</v>
      </c>
      <c r="B616" t="s">
        <v>62</v>
      </c>
      <c r="C616" t="s">
        <v>79</v>
      </c>
      <c r="E616" s="22">
        <v>0.40799999999999997</v>
      </c>
      <c r="F616" t="s">
        <v>648</v>
      </c>
      <c r="G616" t="s">
        <v>649</v>
      </c>
      <c r="H616" t="s">
        <v>650</v>
      </c>
      <c r="I616" t="s">
        <v>651</v>
      </c>
      <c r="J616" t="s">
        <v>652</v>
      </c>
      <c r="K616" t="s">
        <v>48</v>
      </c>
      <c r="L616">
        <v>2016</v>
      </c>
      <c r="M616" t="s">
        <v>56</v>
      </c>
      <c r="N616" t="s">
        <v>55</v>
      </c>
      <c r="P616" s="6" t="s">
        <v>1288</v>
      </c>
    </row>
    <row r="617" spans="1:16" x14ac:dyDescent="0.2">
      <c r="A617">
        <v>816787809</v>
      </c>
      <c r="B617" t="s">
        <v>62</v>
      </c>
      <c r="C617" t="s">
        <v>79</v>
      </c>
      <c r="E617" s="22">
        <v>0.57200000000000006</v>
      </c>
      <c r="F617" t="s">
        <v>648</v>
      </c>
      <c r="G617" t="s">
        <v>649</v>
      </c>
      <c r="H617" t="s">
        <v>650</v>
      </c>
      <c r="I617" t="s">
        <v>651</v>
      </c>
      <c r="J617" t="s">
        <v>652</v>
      </c>
      <c r="K617" t="s">
        <v>48</v>
      </c>
      <c r="L617">
        <v>2016</v>
      </c>
      <c r="M617" t="s">
        <v>56</v>
      </c>
      <c r="N617" t="s">
        <v>55</v>
      </c>
      <c r="P617" s="6" t="s">
        <v>1289</v>
      </c>
    </row>
    <row r="618" spans="1:16" x14ac:dyDescent="0.2">
      <c r="A618">
        <v>220052551</v>
      </c>
      <c r="B618" t="s">
        <v>62</v>
      </c>
      <c r="C618" t="s">
        <v>79</v>
      </c>
      <c r="E618" s="22">
        <v>0.38</v>
      </c>
      <c r="F618" t="s">
        <v>648</v>
      </c>
      <c r="G618" t="s">
        <v>649</v>
      </c>
      <c r="H618" t="s">
        <v>650</v>
      </c>
      <c r="I618" t="s">
        <v>651</v>
      </c>
      <c r="J618" t="s">
        <v>652</v>
      </c>
      <c r="K618" t="s">
        <v>48</v>
      </c>
      <c r="L618">
        <v>2016</v>
      </c>
      <c r="M618" t="s">
        <v>56</v>
      </c>
      <c r="N618" t="s">
        <v>55</v>
      </c>
      <c r="P618" s="6" t="s">
        <v>1290</v>
      </c>
    </row>
    <row r="619" spans="1:16" x14ac:dyDescent="0.2">
      <c r="A619">
        <v>858571733</v>
      </c>
      <c r="B619" t="s">
        <v>62</v>
      </c>
      <c r="C619" t="s">
        <v>79</v>
      </c>
      <c r="E619" s="22">
        <v>0.17200000000000004</v>
      </c>
      <c r="F619" t="s">
        <v>648</v>
      </c>
      <c r="G619" t="s">
        <v>649</v>
      </c>
      <c r="H619" t="s">
        <v>650</v>
      </c>
      <c r="I619" t="s">
        <v>651</v>
      </c>
      <c r="J619" t="s">
        <v>652</v>
      </c>
      <c r="K619" t="s">
        <v>48</v>
      </c>
      <c r="L619">
        <v>2016</v>
      </c>
      <c r="M619" t="s">
        <v>56</v>
      </c>
      <c r="N619" t="s">
        <v>55</v>
      </c>
      <c r="P619" s="6" t="s">
        <v>1291</v>
      </c>
    </row>
    <row r="620" spans="1:16" x14ac:dyDescent="0.2">
      <c r="A620">
        <v>363436152</v>
      </c>
      <c r="B620" t="s">
        <v>62</v>
      </c>
      <c r="C620" t="s">
        <v>79</v>
      </c>
      <c r="E620" s="22">
        <v>0.36</v>
      </c>
      <c r="F620" t="s">
        <v>648</v>
      </c>
      <c r="G620" t="s">
        <v>649</v>
      </c>
      <c r="H620" t="s">
        <v>650</v>
      </c>
      <c r="I620" t="s">
        <v>651</v>
      </c>
      <c r="J620" t="s">
        <v>652</v>
      </c>
      <c r="K620" t="s">
        <v>48</v>
      </c>
      <c r="L620">
        <v>2016</v>
      </c>
      <c r="M620" t="s">
        <v>56</v>
      </c>
      <c r="N620" t="s">
        <v>55</v>
      </c>
      <c r="P620" s="6" t="s">
        <v>1292</v>
      </c>
    </row>
    <row r="621" spans="1:16" x14ac:dyDescent="0.2">
      <c r="A621">
        <v>393495083</v>
      </c>
      <c r="B621" t="s">
        <v>62</v>
      </c>
      <c r="C621" t="s">
        <v>79</v>
      </c>
      <c r="E621" s="22">
        <v>0.47200000000000003</v>
      </c>
      <c r="F621" t="s">
        <v>648</v>
      </c>
      <c r="G621" t="s">
        <v>649</v>
      </c>
      <c r="H621" t="s">
        <v>650</v>
      </c>
      <c r="I621" t="s">
        <v>651</v>
      </c>
      <c r="J621" t="s">
        <v>652</v>
      </c>
      <c r="K621" t="s">
        <v>48</v>
      </c>
      <c r="L621">
        <v>2016</v>
      </c>
      <c r="M621" t="s">
        <v>56</v>
      </c>
      <c r="N621" t="s">
        <v>55</v>
      </c>
      <c r="P621" s="6" t="s">
        <v>1293</v>
      </c>
    </row>
    <row r="622" spans="1:16" x14ac:dyDescent="0.2">
      <c r="A622">
        <v>769635714</v>
      </c>
      <c r="B622" t="s">
        <v>62</v>
      </c>
      <c r="C622" t="s">
        <v>79</v>
      </c>
      <c r="E622" s="22">
        <v>0.7360000000000001</v>
      </c>
      <c r="F622" t="s">
        <v>648</v>
      </c>
      <c r="G622" t="s">
        <v>649</v>
      </c>
      <c r="H622" t="s">
        <v>650</v>
      </c>
      <c r="I622" t="s">
        <v>651</v>
      </c>
      <c r="J622" t="s">
        <v>652</v>
      </c>
      <c r="K622" t="s">
        <v>48</v>
      </c>
      <c r="L622">
        <v>2016</v>
      </c>
      <c r="M622" t="s">
        <v>56</v>
      </c>
      <c r="N622" t="s">
        <v>55</v>
      </c>
      <c r="P622" s="6" t="s">
        <v>1294</v>
      </c>
    </row>
    <row r="623" spans="1:16" x14ac:dyDescent="0.2">
      <c r="A623">
        <v>373048949</v>
      </c>
      <c r="B623" t="s">
        <v>62</v>
      </c>
      <c r="C623" t="s">
        <v>79</v>
      </c>
      <c r="E623" s="22">
        <v>0.5</v>
      </c>
      <c r="F623" t="s">
        <v>648</v>
      </c>
      <c r="G623" t="s">
        <v>649</v>
      </c>
      <c r="H623" t="s">
        <v>650</v>
      </c>
      <c r="I623" t="s">
        <v>651</v>
      </c>
      <c r="J623" t="s">
        <v>652</v>
      </c>
      <c r="K623" t="s">
        <v>48</v>
      </c>
      <c r="L623">
        <v>2016</v>
      </c>
      <c r="M623" t="s">
        <v>56</v>
      </c>
      <c r="N623" t="s">
        <v>55</v>
      </c>
      <c r="P623" s="6" t="s">
        <v>1295</v>
      </c>
    </row>
    <row r="624" spans="1:16" x14ac:dyDescent="0.2">
      <c r="A624">
        <v>357061292</v>
      </c>
      <c r="B624" t="s">
        <v>62</v>
      </c>
      <c r="C624" t="s">
        <v>79</v>
      </c>
      <c r="E624" s="22">
        <v>0.34</v>
      </c>
      <c r="F624" t="s">
        <v>648</v>
      </c>
      <c r="G624" t="s">
        <v>649</v>
      </c>
      <c r="H624" t="s">
        <v>650</v>
      </c>
      <c r="I624" t="s">
        <v>651</v>
      </c>
      <c r="J624" t="s">
        <v>652</v>
      </c>
      <c r="K624" t="s">
        <v>48</v>
      </c>
      <c r="L624">
        <v>2016</v>
      </c>
      <c r="M624" t="s">
        <v>56</v>
      </c>
      <c r="N624" t="s">
        <v>55</v>
      </c>
      <c r="P624" s="6" t="s">
        <v>1296</v>
      </c>
    </row>
    <row r="625" spans="1:16" x14ac:dyDescent="0.2">
      <c r="A625">
        <v>837310284</v>
      </c>
      <c r="B625" t="s">
        <v>62</v>
      </c>
      <c r="C625" t="s">
        <v>79</v>
      </c>
      <c r="E625" s="22">
        <v>0.39600000000000002</v>
      </c>
      <c r="F625" t="s">
        <v>648</v>
      </c>
      <c r="G625" t="s">
        <v>649</v>
      </c>
      <c r="H625" t="s">
        <v>650</v>
      </c>
      <c r="I625" t="s">
        <v>651</v>
      </c>
      <c r="J625" t="s">
        <v>652</v>
      </c>
      <c r="K625" t="s">
        <v>48</v>
      </c>
      <c r="L625">
        <v>2016</v>
      </c>
      <c r="M625" t="s">
        <v>56</v>
      </c>
      <c r="N625" t="s">
        <v>55</v>
      </c>
      <c r="P625" s="6" t="s">
        <v>1297</v>
      </c>
    </row>
    <row r="626" spans="1:16" x14ac:dyDescent="0.2">
      <c r="A626">
        <v>815854164</v>
      </c>
      <c r="B626" t="s">
        <v>62</v>
      </c>
      <c r="C626" t="s">
        <v>79</v>
      </c>
      <c r="E626" s="22">
        <v>0.72800000000000009</v>
      </c>
      <c r="F626" t="s">
        <v>648</v>
      </c>
      <c r="G626" t="s">
        <v>649</v>
      </c>
      <c r="H626" t="s">
        <v>650</v>
      </c>
      <c r="I626" t="s">
        <v>651</v>
      </c>
      <c r="J626" t="s">
        <v>652</v>
      </c>
      <c r="K626" t="s">
        <v>48</v>
      </c>
      <c r="L626">
        <v>2016</v>
      </c>
      <c r="M626" t="s">
        <v>56</v>
      </c>
      <c r="N626" t="s">
        <v>55</v>
      </c>
      <c r="P626" s="6" t="s">
        <v>1298</v>
      </c>
    </row>
    <row r="627" spans="1:16" x14ac:dyDescent="0.2">
      <c r="A627">
        <v>315378369</v>
      </c>
      <c r="B627" t="s">
        <v>62</v>
      </c>
      <c r="C627" t="s">
        <v>79</v>
      </c>
      <c r="E627" s="22">
        <v>0.26400000000000001</v>
      </c>
      <c r="F627" t="s">
        <v>648</v>
      </c>
      <c r="G627" t="s">
        <v>649</v>
      </c>
      <c r="H627" t="s">
        <v>650</v>
      </c>
      <c r="I627" t="s">
        <v>651</v>
      </c>
      <c r="J627" t="s">
        <v>652</v>
      </c>
      <c r="K627" t="s">
        <v>48</v>
      </c>
      <c r="L627">
        <v>2016</v>
      </c>
      <c r="M627" t="s">
        <v>56</v>
      </c>
      <c r="N627" t="s">
        <v>55</v>
      </c>
      <c r="P627" s="6" t="s">
        <v>1299</v>
      </c>
    </row>
    <row r="628" spans="1:16" x14ac:dyDescent="0.2">
      <c r="A628">
        <v>564410540</v>
      </c>
      <c r="B628" t="s">
        <v>62</v>
      </c>
      <c r="C628" t="s">
        <v>79</v>
      </c>
      <c r="E628" s="22">
        <v>0.51600000000000001</v>
      </c>
      <c r="F628" t="s">
        <v>648</v>
      </c>
      <c r="G628" t="s">
        <v>649</v>
      </c>
      <c r="H628" t="s">
        <v>650</v>
      </c>
      <c r="I628" t="s">
        <v>651</v>
      </c>
      <c r="J628" t="s">
        <v>652</v>
      </c>
      <c r="K628" t="s">
        <v>48</v>
      </c>
      <c r="L628">
        <v>2016</v>
      </c>
      <c r="M628" t="s">
        <v>56</v>
      </c>
      <c r="N628" t="s">
        <v>55</v>
      </c>
      <c r="P628" s="6" t="s">
        <v>1300</v>
      </c>
    </row>
    <row r="629" spans="1:16" x14ac:dyDescent="0.2">
      <c r="A629">
        <v>126539887</v>
      </c>
      <c r="B629" t="s">
        <v>62</v>
      </c>
      <c r="C629" t="s">
        <v>79</v>
      </c>
      <c r="E629" s="22">
        <v>0.4</v>
      </c>
      <c r="F629" t="s">
        <v>648</v>
      </c>
      <c r="G629" t="s">
        <v>649</v>
      </c>
      <c r="H629" t="s">
        <v>650</v>
      </c>
      <c r="I629" t="s">
        <v>651</v>
      </c>
      <c r="J629" t="s">
        <v>652</v>
      </c>
      <c r="K629" t="s">
        <v>48</v>
      </c>
      <c r="L629">
        <v>2016</v>
      </c>
      <c r="M629" t="s">
        <v>56</v>
      </c>
      <c r="N629" t="s">
        <v>55</v>
      </c>
      <c r="P629" s="6" t="s">
        <v>1301</v>
      </c>
    </row>
    <row r="630" spans="1:16" x14ac:dyDescent="0.2">
      <c r="A630">
        <v>563937624</v>
      </c>
      <c r="B630" t="s">
        <v>62</v>
      </c>
      <c r="C630" t="s">
        <v>79</v>
      </c>
      <c r="E630" s="22">
        <v>0.14000000000000001</v>
      </c>
      <c r="F630" t="s">
        <v>648</v>
      </c>
      <c r="G630" t="s">
        <v>649</v>
      </c>
      <c r="H630" t="s">
        <v>650</v>
      </c>
      <c r="I630" t="s">
        <v>651</v>
      </c>
      <c r="J630" t="s">
        <v>652</v>
      </c>
      <c r="K630" t="s">
        <v>48</v>
      </c>
      <c r="L630">
        <v>2016</v>
      </c>
      <c r="M630" t="s">
        <v>56</v>
      </c>
      <c r="N630" t="s">
        <v>55</v>
      </c>
      <c r="P630" s="6" t="s">
        <v>1302</v>
      </c>
    </row>
    <row r="631" spans="1:16" x14ac:dyDescent="0.2">
      <c r="A631">
        <v>684291511</v>
      </c>
      <c r="B631" t="s">
        <v>62</v>
      </c>
      <c r="C631" t="s">
        <v>79</v>
      </c>
      <c r="E631" s="22">
        <v>0.46</v>
      </c>
      <c r="F631" t="s">
        <v>648</v>
      </c>
      <c r="G631" t="s">
        <v>649</v>
      </c>
      <c r="H631" t="s">
        <v>650</v>
      </c>
      <c r="I631" t="s">
        <v>651</v>
      </c>
      <c r="J631" t="s">
        <v>652</v>
      </c>
      <c r="K631" t="s">
        <v>48</v>
      </c>
      <c r="L631">
        <v>2016</v>
      </c>
      <c r="M631" t="s">
        <v>56</v>
      </c>
      <c r="N631" t="s">
        <v>55</v>
      </c>
      <c r="P631" s="6" t="s">
        <v>1303</v>
      </c>
    </row>
    <row r="632" spans="1:16" x14ac:dyDescent="0.2">
      <c r="A632">
        <v>598829620</v>
      </c>
      <c r="B632" t="s">
        <v>534</v>
      </c>
      <c r="C632" t="s">
        <v>664</v>
      </c>
      <c r="E632" s="22">
        <v>0.27166666666666667</v>
      </c>
      <c r="F632" t="s">
        <v>648</v>
      </c>
      <c r="G632" t="s">
        <v>649</v>
      </c>
      <c r="H632" t="s">
        <v>650</v>
      </c>
      <c r="I632" t="s">
        <v>651</v>
      </c>
      <c r="J632" t="s">
        <v>652</v>
      </c>
      <c r="K632" t="s">
        <v>48</v>
      </c>
      <c r="L632">
        <v>2016</v>
      </c>
      <c r="M632" t="s">
        <v>56</v>
      </c>
      <c r="N632" t="s">
        <v>55</v>
      </c>
      <c r="P632" s="6" t="s">
        <v>1304</v>
      </c>
    </row>
    <row r="633" spans="1:16" x14ac:dyDescent="0.2">
      <c r="A633">
        <v>684014860</v>
      </c>
      <c r="B633" t="s">
        <v>534</v>
      </c>
      <c r="C633" t="s">
        <v>664</v>
      </c>
      <c r="E633" s="22">
        <v>0.62</v>
      </c>
      <c r="F633" t="s">
        <v>648</v>
      </c>
      <c r="G633" t="s">
        <v>649</v>
      </c>
      <c r="H633" t="s">
        <v>650</v>
      </c>
      <c r="I633" t="s">
        <v>651</v>
      </c>
      <c r="J633" t="s">
        <v>652</v>
      </c>
      <c r="K633" t="s">
        <v>48</v>
      </c>
      <c r="L633">
        <v>2016</v>
      </c>
      <c r="M633" t="s">
        <v>56</v>
      </c>
      <c r="N633" t="s">
        <v>55</v>
      </c>
      <c r="P633" s="6" t="s">
        <v>1305</v>
      </c>
    </row>
    <row r="634" spans="1:16" x14ac:dyDescent="0.2">
      <c r="A634">
        <v>843228181</v>
      </c>
      <c r="B634" t="s">
        <v>534</v>
      </c>
      <c r="C634" t="s">
        <v>664</v>
      </c>
      <c r="E634" s="22">
        <v>0.52916666666666667</v>
      </c>
      <c r="F634" t="s">
        <v>648</v>
      </c>
      <c r="G634" t="s">
        <v>649</v>
      </c>
      <c r="H634" t="s">
        <v>650</v>
      </c>
      <c r="I634" t="s">
        <v>651</v>
      </c>
      <c r="J634" t="s">
        <v>652</v>
      </c>
      <c r="K634" t="s">
        <v>48</v>
      </c>
      <c r="L634">
        <v>2016</v>
      </c>
      <c r="M634" t="s">
        <v>56</v>
      </c>
      <c r="N634" t="s">
        <v>55</v>
      </c>
      <c r="P634" s="6" t="s">
        <v>1306</v>
      </c>
    </row>
    <row r="635" spans="1:16" x14ac:dyDescent="0.2">
      <c r="A635">
        <v>820549378</v>
      </c>
      <c r="B635" t="s">
        <v>534</v>
      </c>
      <c r="C635" t="s">
        <v>664</v>
      </c>
      <c r="E635" s="22">
        <v>0.44916666666666671</v>
      </c>
      <c r="F635" t="s">
        <v>648</v>
      </c>
      <c r="G635" t="s">
        <v>649</v>
      </c>
      <c r="H635" t="s">
        <v>650</v>
      </c>
      <c r="I635" t="s">
        <v>651</v>
      </c>
      <c r="J635" t="s">
        <v>652</v>
      </c>
      <c r="K635" t="s">
        <v>48</v>
      </c>
      <c r="L635">
        <v>2016</v>
      </c>
      <c r="M635" t="s">
        <v>56</v>
      </c>
      <c r="N635" t="s">
        <v>55</v>
      </c>
      <c r="P635" s="6" t="s">
        <v>1307</v>
      </c>
    </row>
    <row r="636" spans="1:16" x14ac:dyDescent="0.2">
      <c r="A636">
        <v>533572169</v>
      </c>
      <c r="B636" t="s">
        <v>534</v>
      </c>
      <c r="C636" t="s">
        <v>664</v>
      </c>
      <c r="E636" s="22">
        <v>0.37916666666666665</v>
      </c>
      <c r="F636" t="s">
        <v>648</v>
      </c>
      <c r="G636" t="s">
        <v>649</v>
      </c>
      <c r="H636" t="s">
        <v>650</v>
      </c>
      <c r="I636" t="s">
        <v>651</v>
      </c>
      <c r="J636" t="s">
        <v>652</v>
      </c>
      <c r="K636" t="s">
        <v>48</v>
      </c>
      <c r="L636">
        <v>2016</v>
      </c>
      <c r="M636" t="s">
        <v>56</v>
      </c>
      <c r="N636" t="s">
        <v>55</v>
      </c>
      <c r="P636" s="6" t="s">
        <v>1308</v>
      </c>
    </row>
    <row r="637" spans="1:16" x14ac:dyDescent="0.2">
      <c r="A637">
        <v>975325712</v>
      </c>
      <c r="B637" t="s">
        <v>534</v>
      </c>
      <c r="C637" t="s">
        <v>664</v>
      </c>
      <c r="E637" s="22">
        <v>0.34083333333333332</v>
      </c>
      <c r="F637" t="s">
        <v>648</v>
      </c>
      <c r="G637" t="s">
        <v>649</v>
      </c>
      <c r="H637" t="s">
        <v>650</v>
      </c>
      <c r="I637" t="s">
        <v>651</v>
      </c>
      <c r="J637" t="s">
        <v>652</v>
      </c>
      <c r="K637" t="s">
        <v>48</v>
      </c>
      <c r="L637">
        <v>2016</v>
      </c>
      <c r="M637" t="s">
        <v>56</v>
      </c>
      <c r="N637" t="s">
        <v>55</v>
      </c>
      <c r="P637" s="6" t="s">
        <v>1309</v>
      </c>
    </row>
    <row r="638" spans="1:16" x14ac:dyDescent="0.2">
      <c r="A638">
        <v>310082419</v>
      </c>
      <c r="B638" t="s">
        <v>534</v>
      </c>
      <c r="C638" t="s">
        <v>664</v>
      </c>
      <c r="E638" s="22">
        <v>0.16750000000000001</v>
      </c>
      <c r="F638" t="s">
        <v>648</v>
      </c>
      <c r="G638" t="s">
        <v>649</v>
      </c>
      <c r="H638" t="s">
        <v>650</v>
      </c>
      <c r="I638" t="s">
        <v>651</v>
      </c>
      <c r="J638" t="s">
        <v>652</v>
      </c>
      <c r="K638" t="s">
        <v>48</v>
      </c>
      <c r="L638">
        <v>2016</v>
      </c>
      <c r="M638" t="s">
        <v>56</v>
      </c>
      <c r="N638" t="s">
        <v>55</v>
      </c>
      <c r="P638" s="6" t="s">
        <v>1310</v>
      </c>
    </row>
    <row r="639" spans="1:16" x14ac:dyDescent="0.2">
      <c r="A639">
        <v>242132470</v>
      </c>
      <c r="B639" t="s">
        <v>534</v>
      </c>
      <c r="C639" t="s">
        <v>664</v>
      </c>
      <c r="E639" s="22">
        <v>0.21083333333333332</v>
      </c>
      <c r="F639" t="s">
        <v>648</v>
      </c>
      <c r="G639" t="s">
        <v>649</v>
      </c>
      <c r="H639" t="s">
        <v>650</v>
      </c>
      <c r="I639" t="s">
        <v>651</v>
      </c>
      <c r="J639" t="s">
        <v>652</v>
      </c>
      <c r="K639" t="s">
        <v>48</v>
      </c>
      <c r="L639">
        <v>2016</v>
      </c>
      <c r="M639" t="s">
        <v>56</v>
      </c>
      <c r="N639" t="s">
        <v>55</v>
      </c>
      <c r="P639" s="6" t="s">
        <v>1311</v>
      </c>
    </row>
    <row r="640" spans="1:16" x14ac:dyDescent="0.2">
      <c r="A640">
        <v>208248363</v>
      </c>
      <c r="B640" t="s">
        <v>534</v>
      </c>
      <c r="C640" t="s">
        <v>664</v>
      </c>
      <c r="E640" s="22">
        <v>0.46083333333333343</v>
      </c>
      <c r="F640" t="s">
        <v>648</v>
      </c>
      <c r="G640" t="s">
        <v>649</v>
      </c>
      <c r="H640" t="s">
        <v>650</v>
      </c>
      <c r="I640" t="s">
        <v>651</v>
      </c>
      <c r="J640" t="s">
        <v>652</v>
      </c>
      <c r="K640" t="s">
        <v>48</v>
      </c>
      <c r="L640">
        <v>2016</v>
      </c>
      <c r="M640" t="s">
        <v>56</v>
      </c>
      <c r="N640" t="s">
        <v>55</v>
      </c>
      <c r="P640" s="6" t="s">
        <v>1312</v>
      </c>
    </row>
    <row r="641" spans="1:16" x14ac:dyDescent="0.2">
      <c r="A641">
        <v>277055951</v>
      </c>
      <c r="B641" t="s">
        <v>534</v>
      </c>
      <c r="C641" t="s">
        <v>664</v>
      </c>
      <c r="E641" s="22">
        <v>0.32</v>
      </c>
      <c r="F641" t="s">
        <v>648</v>
      </c>
      <c r="G641" t="s">
        <v>649</v>
      </c>
      <c r="H641" t="s">
        <v>650</v>
      </c>
      <c r="I641" t="s">
        <v>651</v>
      </c>
      <c r="J641" t="s">
        <v>652</v>
      </c>
      <c r="K641" t="s">
        <v>48</v>
      </c>
      <c r="L641">
        <v>2016</v>
      </c>
      <c r="M641" t="s">
        <v>56</v>
      </c>
      <c r="N641" t="s">
        <v>55</v>
      </c>
      <c r="P641" s="6" t="s">
        <v>1313</v>
      </c>
    </row>
    <row r="642" spans="1:16" x14ac:dyDescent="0.2">
      <c r="A642">
        <v>902907559</v>
      </c>
      <c r="B642" t="s">
        <v>534</v>
      </c>
      <c r="C642" t="s">
        <v>664</v>
      </c>
      <c r="E642" s="22">
        <v>0.74833333333333329</v>
      </c>
      <c r="F642" t="s">
        <v>648</v>
      </c>
      <c r="G642" t="s">
        <v>649</v>
      </c>
      <c r="H642" t="s">
        <v>650</v>
      </c>
      <c r="I642" t="s">
        <v>651</v>
      </c>
      <c r="J642" t="s">
        <v>652</v>
      </c>
      <c r="K642" t="s">
        <v>48</v>
      </c>
      <c r="L642">
        <v>2016</v>
      </c>
      <c r="M642" t="s">
        <v>56</v>
      </c>
      <c r="N642" t="s">
        <v>55</v>
      </c>
      <c r="P642" s="6" t="s">
        <v>1314</v>
      </c>
    </row>
    <row r="643" spans="1:16" x14ac:dyDescent="0.2">
      <c r="A643">
        <v>528297980</v>
      </c>
      <c r="B643" t="s">
        <v>534</v>
      </c>
      <c r="C643" t="s">
        <v>664</v>
      </c>
      <c r="E643" s="22">
        <v>0.56833333333333336</v>
      </c>
      <c r="F643" t="s">
        <v>648</v>
      </c>
      <c r="G643" t="s">
        <v>649</v>
      </c>
      <c r="H643" t="s">
        <v>650</v>
      </c>
      <c r="I643" t="s">
        <v>651</v>
      </c>
      <c r="J643" t="s">
        <v>652</v>
      </c>
      <c r="K643" t="s">
        <v>48</v>
      </c>
      <c r="L643">
        <v>2016</v>
      </c>
      <c r="M643" t="s">
        <v>56</v>
      </c>
      <c r="N643" t="s">
        <v>55</v>
      </c>
      <c r="P643" s="6" t="s">
        <v>1315</v>
      </c>
    </row>
    <row r="644" spans="1:16" x14ac:dyDescent="0.2">
      <c r="A644">
        <v>444882790</v>
      </c>
      <c r="B644" t="s">
        <v>534</v>
      </c>
      <c r="C644" t="s">
        <v>664</v>
      </c>
      <c r="E644" s="22">
        <v>0.245</v>
      </c>
      <c r="F644" t="s">
        <v>648</v>
      </c>
      <c r="G644" t="s">
        <v>649</v>
      </c>
      <c r="H644" t="s">
        <v>650</v>
      </c>
      <c r="I644" t="s">
        <v>651</v>
      </c>
      <c r="J644" t="s">
        <v>652</v>
      </c>
      <c r="K644" t="s">
        <v>48</v>
      </c>
      <c r="L644">
        <v>2016</v>
      </c>
      <c r="M644" t="s">
        <v>56</v>
      </c>
      <c r="N644" t="s">
        <v>55</v>
      </c>
      <c r="P644" s="6" t="s">
        <v>1316</v>
      </c>
    </row>
    <row r="645" spans="1:16" x14ac:dyDescent="0.2">
      <c r="A645">
        <v>112085131</v>
      </c>
      <c r="B645" t="s">
        <v>534</v>
      </c>
      <c r="C645" t="s">
        <v>664</v>
      </c>
      <c r="E645" s="22">
        <v>0.29916666666666664</v>
      </c>
      <c r="F645" t="s">
        <v>648</v>
      </c>
      <c r="G645" t="s">
        <v>649</v>
      </c>
      <c r="H645" t="s">
        <v>650</v>
      </c>
      <c r="I645" t="s">
        <v>651</v>
      </c>
      <c r="J645" t="s">
        <v>652</v>
      </c>
      <c r="K645" t="s">
        <v>48</v>
      </c>
      <c r="L645">
        <v>2016</v>
      </c>
      <c r="M645" t="s">
        <v>56</v>
      </c>
      <c r="N645" t="s">
        <v>55</v>
      </c>
      <c r="P645" s="6" t="s">
        <v>1317</v>
      </c>
    </row>
    <row r="646" spans="1:16" x14ac:dyDescent="0.2">
      <c r="A646">
        <v>588642518</v>
      </c>
      <c r="B646" t="s">
        <v>534</v>
      </c>
      <c r="C646" t="s">
        <v>664</v>
      </c>
      <c r="E646" s="22">
        <v>0.77166666666666661</v>
      </c>
      <c r="F646" t="s">
        <v>648</v>
      </c>
      <c r="G646" t="s">
        <v>649</v>
      </c>
      <c r="H646" t="s">
        <v>650</v>
      </c>
      <c r="I646" t="s">
        <v>651</v>
      </c>
      <c r="J646" t="s">
        <v>652</v>
      </c>
      <c r="K646" t="s">
        <v>48</v>
      </c>
      <c r="L646">
        <v>2016</v>
      </c>
      <c r="M646" t="s">
        <v>56</v>
      </c>
      <c r="N646" t="s">
        <v>55</v>
      </c>
      <c r="P646" s="6" t="s">
        <v>1318</v>
      </c>
    </row>
    <row r="647" spans="1:16" x14ac:dyDescent="0.2">
      <c r="A647">
        <v>414520736</v>
      </c>
      <c r="B647" t="s">
        <v>534</v>
      </c>
      <c r="C647" t="s">
        <v>664</v>
      </c>
      <c r="E647" s="22">
        <v>0.62916666666666665</v>
      </c>
      <c r="F647" t="s">
        <v>648</v>
      </c>
      <c r="G647" t="s">
        <v>649</v>
      </c>
      <c r="H647" t="s">
        <v>650</v>
      </c>
      <c r="I647" t="s">
        <v>651</v>
      </c>
      <c r="J647" t="s">
        <v>652</v>
      </c>
      <c r="K647" t="s">
        <v>48</v>
      </c>
      <c r="L647">
        <v>2016</v>
      </c>
      <c r="M647" t="s">
        <v>56</v>
      </c>
      <c r="N647" t="s">
        <v>55</v>
      </c>
      <c r="P647" s="6" t="s">
        <v>1319</v>
      </c>
    </row>
    <row r="648" spans="1:16" x14ac:dyDescent="0.2">
      <c r="A648">
        <v>356558346</v>
      </c>
      <c r="B648" t="s">
        <v>534</v>
      </c>
      <c r="C648" t="s">
        <v>664</v>
      </c>
      <c r="E648" s="22">
        <v>0.40749999999999997</v>
      </c>
      <c r="F648" t="s">
        <v>648</v>
      </c>
      <c r="G648" t="s">
        <v>649</v>
      </c>
      <c r="H648" t="s">
        <v>650</v>
      </c>
      <c r="I648" t="s">
        <v>651</v>
      </c>
      <c r="J648" t="s">
        <v>652</v>
      </c>
      <c r="K648" t="s">
        <v>48</v>
      </c>
      <c r="L648">
        <v>2016</v>
      </c>
      <c r="M648" t="s">
        <v>56</v>
      </c>
      <c r="N648" t="s">
        <v>55</v>
      </c>
      <c r="P648" s="6" t="s">
        <v>1320</v>
      </c>
    </row>
    <row r="649" spans="1:16" x14ac:dyDescent="0.2">
      <c r="A649">
        <v>970698993</v>
      </c>
      <c r="B649" t="s">
        <v>534</v>
      </c>
      <c r="C649" t="s">
        <v>664</v>
      </c>
      <c r="E649" s="22">
        <v>0.82166666666666666</v>
      </c>
      <c r="F649" t="s">
        <v>648</v>
      </c>
      <c r="G649" t="s">
        <v>649</v>
      </c>
      <c r="H649" t="s">
        <v>650</v>
      </c>
      <c r="I649" t="s">
        <v>651</v>
      </c>
      <c r="J649" t="s">
        <v>652</v>
      </c>
      <c r="K649" t="s">
        <v>48</v>
      </c>
      <c r="L649">
        <v>2016</v>
      </c>
      <c r="M649" t="s">
        <v>56</v>
      </c>
      <c r="N649" t="s">
        <v>55</v>
      </c>
      <c r="P649" s="6" t="s">
        <v>1321</v>
      </c>
    </row>
    <row r="650" spans="1:16" x14ac:dyDescent="0.2">
      <c r="A650">
        <v>633537205</v>
      </c>
      <c r="B650" t="s">
        <v>534</v>
      </c>
      <c r="C650" t="s">
        <v>664</v>
      </c>
      <c r="E650" s="22">
        <v>0.32833333333333331</v>
      </c>
      <c r="F650" t="s">
        <v>648</v>
      </c>
      <c r="G650" t="s">
        <v>649</v>
      </c>
      <c r="H650" t="s">
        <v>650</v>
      </c>
      <c r="I650" t="s">
        <v>651</v>
      </c>
      <c r="J650" t="s">
        <v>652</v>
      </c>
      <c r="K650" t="s">
        <v>48</v>
      </c>
      <c r="L650">
        <v>2016</v>
      </c>
      <c r="M650" t="s">
        <v>56</v>
      </c>
      <c r="N650" t="s">
        <v>55</v>
      </c>
      <c r="P650" s="6" t="s">
        <v>1322</v>
      </c>
    </row>
    <row r="651" spans="1:16" x14ac:dyDescent="0.2">
      <c r="A651">
        <v>534292868</v>
      </c>
      <c r="B651" t="s">
        <v>534</v>
      </c>
      <c r="C651" t="s">
        <v>664</v>
      </c>
      <c r="E651" s="22">
        <v>0.755</v>
      </c>
      <c r="F651" t="s">
        <v>648</v>
      </c>
      <c r="G651" t="s">
        <v>649</v>
      </c>
      <c r="H651" t="s">
        <v>650</v>
      </c>
      <c r="I651" t="s">
        <v>651</v>
      </c>
      <c r="J651" t="s">
        <v>652</v>
      </c>
      <c r="K651" t="s">
        <v>48</v>
      </c>
      <c r="L651">
        <v>2016</v>
      </c>
      <c r="M651" t="s">
        <v>56</v>
      </c>
      <c r="N651" t="s">
        <v>55</v>
      </c>
      <c r="P651" s="6" t="s">
        <v>1323</v>
      </c>
    </row>
    <row r="652" spans="1:16" x14ac:dyDescent="0.2">
      <c r="A652">
        <v>816787809</v>
      </c>
      <c r="B652" t="s">
        <v>534</v>
      </c>
      <c r="C652" t="s">
        <v>664</v>
      </c>
      <c r="E652" s="22">
        <v>0.39750000000000002</v>
      </c>
      <c r="F652" t="s">
        <v>648</v>
      </c>
      <c r="G652" t="s">
        <v>649</v>
      </c>
      <c r="H652" t="s">
        <v>650</v>
      </c>
      <c r="I652" t="s">
        <v>651</v>
      </c>
      <c r="J652" t="s">
        <v>652</v>
      </c>
      <c r="K652" t="s">
        <v>48</v>
      </c>
      <c r="L652">
        <v>2016</v>
      </c>
      <c r="M652" t="s">
        <v>56</v>
      </c>
      <c r="N652" t="s">
        <v>55</v>
      </c>
      <c r="P652" s="6" t="s">
        <v>1324</v>
      </c>
    </row>
    <row r="653" spans="1:16" x14ac:dyDescent="0.2">
      <c r="A653">
        <v>220052551</v>
      </c>
      <c r="B653" t="s">
        <v>534</v>
      </c>
      <c r="C653" t="s">
        <v>664</v>
      </c>
      <c r="E653" s="22">
        <v>0.53250000000000008</v>
      </c>
      <c r="F653" t="s">
        <v>648</v>
      </c>
      <c r="G653" t="s">
        <v>649</v>
      </c>
      <c r="H653" t="s">
        <v>650</v>
      </c>
      <c r="I653" t="s">
        <v>651</v>
      </c>
      <c r="J653" t="s">
        <v>652</v>
      </c>
      <c r="K653" t="s">
        <v>48</v>
      </c>
      <c r="L653">
        <v>2016</v>
      </c>
      <c r="M653" t="s">
        <v>56</v>
      </c>
      <c r="N653" t="s">
        <v>55</v>
      </c>
      <c r="P653" s="6" t="s">
        <v>1325</v>
      </c>
    </row>
    <row r="654" spans="1:16" x14ac:dyDescent="0.2">
      <c r="A654">
        <v>858571733</v>
      </c>
      <c r="B654" t="s">
        <v>534</v>
      </c>
      <c r="C654" t="s">
        <v>664</v>
      </c>
      <c r="E654" s="22">
        <v>0.26500000000000001</v>
      </c>
      <c r="F654" t="s">
        <v>648</v>
      </c>
      <c r="G654" t="s">
        <v>649</v>
      </c>
      <c r="H654" t="s">
        <v>650</v>
      </c>
      <c r="I654" t="s">
        <v>651</v>
      </c>
      <c r="J654" t="s">
        <v>652</v>
      </c>
      <c r="K654" t="s">
        <v>48</v>
      </c>
      <c r="L654">
        <v>2016</v>
      </c>
      <c r="M654" t="s">
        <v>56</v>
      </c>
      <c r="N654" t="s">
        <v>55</v>
      </c>
      <c r="P654" s="6" t="s">
        <v>1326</v>
      </c>
    </row>
    <row r="655" spans="1:16" x14ac:dyDescent="0.2">
      <c r="A655">
        <v>363436152</v>
      </c>
      <c r="B655" t="s">
        <v>534</v>
      </c>
      <c r="C655" t="s">
        <v>664</v>
      </c>
      <c r="E655" s="22">
        <v>0.24583333333333332</v>
      </c>
      <c r="F655" t="s">
        <v>648</v>
      </c>
      <c r="G655" t="s">
        <v>649</v>
      </c>
      <c r="H655" t="s">
        <v>650</v>
      </c>
      <c r="I655" t="s">
        <v>651</v>
      </c>
      <c r="J655" t="s">
        <v>652</v>
      </c>
      <c r="K655" t="s">
        <v>48</v>
      </c>
      <c r="L655">
        <v>2016</v>
      </c>
      <c r="M655" t="s">
        <v>56</v>
      </c>
      <c r="N655" t="s">
        <v>55</v>
      </c>
      <c r="P655" s="6" t="s">
        <v>1327</v>
      </c>
    </row>
    <row r="656" spans="1:16" x14ac:dyDescent="0.2">
      <c r="A656">
        <v>393495083</v>
      </c>
      <c r="B656" t="s">
        <v>534</v>
      </c>
      <c r="C656" t="s">
        <v>664</v>
      </c>
      <c r="E656" s="22">
        <v>0.72583333333333333</v>
      </c>
      <c r="F656" t="s">
        <v>648</v>
      </c>
      <c r="G656" t="s">
        <v>649</v>
      </c>
      <c r="H656" t="s">
        <v>650</v>
      </c>
      <c r="I656" t="s">
        <v>651</v>
      </c>
      <c r="J656" t="s">
        <v>652</v>
      </c>
      <c r="K656" t="s">
        <v>48</v>
      </c>
      <c r="L656">
        <v>2016</v>
      </c>
      <c r="M656" t="s">
        <v>56</v>
      </c>
      <c r="N656" t="s">
        <v>55</v>
      </c>
      <c r="P656" s="6" t="s">
        <v>1328</v>
      </c>
    </row>
    <row r="657" spans="1:16" x14ac:dyDescent="0.2">
      <c r="A657">
        <v>769635714</v>
      </c>
      <c r="B657" t="s">
        <v>534</v>
      </c>
      <c r="C657" t="s">
        <v>664</v>
      </c>
      <c r="E657" s="22">
        <v>0.71583333333333343</v>
      </c>
      <c r="F657" t="s">
        <v>648</v>
      </c>
      <c r="G657" t="s">
        <v>649</v>
      </c>
      <c r="H657" t="s">
        <v>650</v>
      </c>
      <c r="I657" t="s">
        <v>651</v>
      </c>
      <c r="J657" t="s">
        <v>652</v>
      </c>
      <c r="K657" t="s">
        <v>48</v>
      </c>
      <c r="L657">
        <v>2016</v>
      </c>
      <c r="M657" t="s">
        <v>56</v>
      </c>
      <c r="N657" t="s">
        <v>55</v>
      </c>
      <c r="P657" s="6" t="s">
        <v>1329</v>
      </c>
    </row>
    <row r="658" spans="1:16" x14ac:dyDescent="0.2">
      <c r="A658">
        <v>373048949</v>
      </c>
      <c r="B658" t="s">
        <v>534</v>
      </c>
      <c r="C658" t="s">
        <v>664</v>
      </c>
      <c r="E658" s="22">
        <v>0.73833333333333329</v>
      </c>
      <c r="F658" t="s">
        <v>648</v>
      </c>
      <c r="G658" t="s">
        <v>649</v>
      </c>
      <c r="H658" t="s">
        <v>650</v>
      </c>
      <c r="I658" t="s">
        <v>651</v>
      </c>
      <c r="J658" t="s">
        <v>652</v>
      </c>
      <c r="K658" t="s">
        <v>48</v>
      </c>
      <c r="L658">
        <v>2016</v>
      </c>
      <c r="M658" t="s">
        <v>56</v>
      </c>
      <c r="N658" t="s">
        <v>55</v>
      </c>
      <c r="P658" s="6" t="s">
        <v>1330</v>
      </c>
    </row>
    <row r="659" spans="1:16" x14ac:dyDescent="0.2">
      <c r="A659">
        <v>357061292</v>
      </c>
      <c r="B659" t="s">
        <v>534</v>
      </c>
      <c r="C659" t="s">
        <v>664</v>
      </c>
      <c r="E659" s="22">
        <v>0.1075</v>
      </c>
      <c r="F659" t="s">
        <v>648</v>
      </c>
      <c r="G659" t="s">
        <v>649</v>
      </c>
      <c r="H659" t="s">
        <v>650</v>
      </c>
      <c r="I659" t="s">
        <v>651</v>
      </c>
      <c r="J659" t="s">
        <v>652</v>
      </c>
      <c r="K659" t="s">
        <v>48</v>
      </c>
      <c r="L659">
        <v>2016</v>
      </c>
      <c r="M659" t="s">
        <v>56</v>
      </c>
      <c r="N659" t="s">
        <v>55</v>
      </c>
      <c r="P659" s="6" t="s">
        <v>1331</v>
      </c>
    </row>
    <row r="660" spans="1:16" x14ac:dyDescent="0.2">
      <c r="A660">
        <v>837310284</v>
      </c>
      <c r="B660" t="s">
        <v>534</v>
      </c>
      <c r="C660" t="s">
        <v>664</v>
      </c>
      <c r="E660" s="22">
        <v>0.40833333333333333</v>
      </c>
      <c r="F660" t="s">
        <v>648</v>
      </c>
      <c r="G660" t="s">
        <v>649</v>
      </c>
      <c r="H660" t="s">
        <v>650</v>
      </c>
      <c r="I660" t="s">
        <v>651</v>
      </c>
      <c r="J660" t="s">
        <v>652</v>
      </c>
      <c r="K660" t="s">
        <v>48</v>
      </c>
      <c r="L660">
        <v>2016</v>
      </c>
      <c r="M660" t="s">
        <v>56</v>
      </c>
      <c r="N660" t="s">
        <v>55</v>
      </c>
      <c r="P660" s="6" t="s">
        <v>1332</v>
      </c>
    </row>
    <row r="661" spans="1:16" x14ac:dyDescent="0.2">
      <c r="A661">
        <v>815854164</v>
      </c>
      <c r="B661" t="s">
        <v>534</v>
      </c>
      <c r="C661" t="s">
        <v>664</v>
      </c>
      <c r="E661" s="22">
        <v>0.79000000000000015</v>
      </c>
      <c r="F661" t="s">
        <v>648</v>
      </c>
      <c r="G661" t="s">
        <v>649</v>
      </c>
      <c r="H661" t="s">
        <v>650</v>
      </c>
      <c r="I661" t="s">
        <v>651</v>
      </c>
      <c r="J661" t="s">
        <v>652</v>
      </c>
      <c r="K661" t="s">
        <v>48</v>
      </c>
      <c r="L661">
        <v>2016</v>
      </c>
      <c r="M661" t="s">
        <v>56</v>
      </c>
      <c r="N661" t="s">
        <v>55</v>
      </c>
      <c r="P661" s="6" t="s">
        <v>1333</v>
      </c>
    </row>
    <row r="662" spans="1:16" x14ac:dyDescent="0.2">
      <c r="A662">
        <v>315378369</v>
      </c>
      <c r="B662" t="s">
        <v>534</v>
      </c>
      <c r="C662" t="s">
        <v>664</v>
      </c>
      <c r="E662" s="22">
        <v>0.16500000000000004</v>
      </c>
      <c r="F662" t="s">
        <v>648</v>
      </c>
      <c r="G662" t="s">
        <v>649</v>
      </c>
      <c r="H662" t="s">
        <v>650</v>
      </c>
      <c r="I662" t="s">
        <v>651</v>
      </c>
      <c r="J662" t="s">
        <v>652</v>
      </c>
      <c r="K662" t="s">
        <v>48</v>
      </c>
      <c r="L662">
        <v>2016</v>
      </c>
      <c r="M662" t="s">
        <v>56</v>
      </c>
      <c r="N662" t="s">
        <v>55</v>
      </c>
      <c r="P662" s="6" t="s">
        <v>1334</v>
      </c>
    </row>
    <row r="663" spans="1:16" x14ac:dyDescent="0.2">
      <c r="A663">
        <v>564410540</v>
      </c>
      <c r="B663" t="s">
        <v>534</v>
      </c>
      <c r="C663" t="s">
        <v>664</v>
      </c>
      <c r="E663" s="22">
        <v>0.34916666666666668</v>
      </c>
      <c r="F663" t="s">
        <v>648</v>
      </c>
      <c r="G663" t="s">
        <v>649</v>
      </c>
      <c r="H663" t="s">
        <v>650</v>
      </c>
      <c r="I663" t="s">
        <v>651</v>
      </c>
      <c r="J663" t="s">
        <v>652</v>
      </c>
      <c r="K663" t="s">
        <v>48</v>
      </c>
      <c r="L663">
        <v>2016</v>
      </c>
      <c r="M663" t="s">
        <v>56</v>
      </c>
      <c r="N663" t="s">
        <v>55</v>
      </c>
      <c r="P663" s="6" t="s">
        <v>1335</v>
      </c>
    </row>
    <row r="664" spans="1:16" x14ac:dyDescent="0.2">
      <c r="A664">
        <v>126539887</v>
      </c>
      <c r="B664" t="s">
        <v>534</v>
      </c>
      <c r="C664" t="s">
        <v>664</v>
      </c>
      <c r="E664" s="22">
        <v>0.315</v>
      </c>
      <c r="F664" t="s">
        <v>648</v>
      </c>
      <c r="G664" t="s">
        <v>649</v>
      </c>
      <c r="H664" t="s">
        <v>650</v>
      </c>
      <c r="I664" t="s">
        <v>651</v>
      </c>
      <c r="J664" t="s">
        <v>652</v>
      </c>
      <c r="K664" t="s">
        <v>48</v>
      </c>
      <c r="L664">
        <v>2016</v>
      </c>
      <c r="M664" t="s">
        <v>56</v>
      </c>
      <c r="N664" t="s">
        <v>55</v>
      </c>
      <c r="P664" s="6" t="s">
        <v>1336</v>
      </c>
    </row>
    <row r="665" spans="1:16" x14ac:dyDescent="0.2">
      <c r="A665">
        <v>563937624</v>
      </c>
      <c r="B665" t="s">
        <v>534</v>
      </c>
      <c r="C665" t="s">
        <v>664</v>
      </c>
      <c r="E665" s="22">
        <v>0.315</v>
      </c>
      <c r="F665" t="s">
        <v>648</v>
      </c>
      <c r="G665" t="s">
        <v>649</v>
      </c>
      <c r="H665" t="s">
        <v>650</v>
      </c>
      <c r="I665" t="s">
        <v>651</v>
      </c>
      <c r="J665" t="s">
        <v>652</v>
      </c>
      <c r="K665" t="s">
        <v>48</v>
      </c>
      <c r="L665">
        <v>2016</v>
      </c>
      <c r="M665" t="s">
        <v>56</v>
      </c>
      <c r="N665" t="s">
        <v>55</v>
      </c>
      <c r="P665" s="6" t="s">
        <v>1337</v>
      </c>
    </row>
    <row r="666" spans="1:16" x14ac:dyDescent="0.2">
      <c r="A666">
        <v>684291511</v>
      </c>
      <c r="B666" t="s">
        <v>534</v>
      </c>
      <c r="C666" t="s">
        <v>664</v>
      </c>
      <c r="E666" s="22">
        <v>0.35</v>
      </c>
      <c r="F666" t="s">
        <v>648</v>
      </c>
      <c r="G666" t="s">
        <v>649</v>
      </c>
      <c r="H666" t="s">
        <v>650</v>
      </c>
      <c r="I666" t="s">
        <v>651</v>
      </c>
      <c r="J666" t="s">
        <v>652</v>
      </c>
      <c r="K666" t="s">
        <v>48</v>
      </c>
      <c r="L666">
        <v>2016</v>
      </c>
      <c r="M666" t="s">
        <v>56</v>
      </c>
      <c r="N666" t="s">
        <v>55</v>
      </c>
      <c r="P666" s="6" t="s">
        <v>1338</v>
      </c>
    </row>
    <row r="667" spans="1:16" x14ac:dyDescent="0.2">
      <c r="A667">
        <v>598829620</v>
      </c>
      <c r="B667" t="s">
        <v>534</v>
      </c>
      <c r="C667" t="s">
        <v>665</v>
      </c>
      <c r="E667" s="22">
        <v>0.12</v>
      </c>
      <c r="F667" t="s">
        <v>648</v>
      </c>
      <c r="G667" t="s">
        <v>649</v>
      </c>
      <c r="H667" t="s">
        <v>650</v>
      </c>
      <c r="I667" t="s">
        <v>651</v>
      </c>
      <c r="J667" t="s">
        <v>652</v>
      </c>
      <c r="K667" t="s">
        <v>48</v>
      </c>
      <c r="L667">
        <v>2016</v>
      </c>
      <c r="M667" t="s">
        <v>56</v>
      </c>
      <c r="N667" t="s">
        <v>55</v>
      </c>
      <c r="P667" s="6" t="s">
        <v>1339</v>
      </c>
    </row>
    <row r="668" spans="1:16" x14ac:dyDescent="0.2">
      <c r="A668">
        <v>684014860</v>
      </c>
      <c r="B668" t="s">
        <v>534</v>
      </c>
      <c r="C668" t="s">
        <v>665</v>
      </c>
      <c r="E668" s="22">
        <v>0.48800000000000004</v>
      </c>
      <c r="F668" t="s">
        <v>648</v>
      </c>
      <c r="G668" t="s">
        <v>649</v>
      </c>
      <c r="H668" t="s">
        <v>650</v>
      </c>
      <c r="I668" t="s">
        <v>651</v>
      </c>
      <c r="J668" t="s">
        <v>652</v>
      </c>
      <c r="K668" t="s">
        <v>48</v>
      </c>
      <c r="L668">
        <v>2016</v>
      </c>
      <c r="M668" t="s">
        <v>56</v>
      </c>
      <c r="N668" t="s">
        <v>55</v>
      </c>
      <c r="P668" s="6" t="s">
        <v>1340</v>
      </c>
    </row>
    <row r="669" spans="1:16" x14ac:dyDescent="0.2">
      <c r="A669">
        <v>843228181</v>
      </c>
      <c r="B669" t="s">
        <v>534</v>
      </c>
      <c r="C669" t="s">
        <v>665</v>
      </c>
      <c r="E669" s="22">
        <v>0.58800000000000008</v>
      </c>
      <c r="F669" t="s">
        <v>648</v>
      </c>
      <c r="G669" t="s">
        <v>649</v>
      </c>
      <c r="H669" t="s">
        <v>650</v>
      </c>
      <c r="I669" t="s">
        <v>651</v>
      </c>
      <c r="J669" t="s">
        <v>652</v>
      </c>
      <c r="K669" t="s">
        <v>48</v>
      </c>
      <c r="L669">
        <v>2016</v>
      </c>
      <c r="M669" t="s">
        <v>56</v>
      </c>
      <c r="N669" t="s">
        <v>55</v>
      </c>
      <c r="P669" s="6" t="s">
        <v>1341</v>
      </c>
    </row>
    <row r="670" spans="1:16" x14ac:dyDescent="0.2">
      <c r="A670">
        <v>820549378</v>
      </c>
      <c r="B670" t="s">
        <v>534</v>
      </c>
      <c r="C670" t="s">
        <v>665</v>
      </c>
      <c r="E670" s="22">
        <v>0.316</v>
      </c>
      <c r="F670" t="s">
        <v>648</v>
      </c>
      <c r="G670" t="s">
        <v>649</v>
      </c>
      <c r="H670" t="s">
        <v>650</v>
      </c>
      <c r="I670" t="s">
        <v>651</v>
      </c>
      <c r="J670" t="s">
        <v>652</v>
      </c>
      <c r="K670" t="s">
        <v>48</v>
      </c>
      <c r="L670">
        <v>2016</v>
      </c>
      <c r="M670" t="s">
        <v>56</v>
      </c>
      <c r="N670" t="s">
        <v>55</v>
      </c>
      <c r="P670" s="6" t="s">
        <v>1342</v>
      </c>
    </row>
    <row r="671" spans="1:16" x14ac:dyDescent="0.2">
      <c r="A671">
        <v>533572169</v>
      </c>
      <c r="B671" t="s">
        <v>534</v>
      </c>
      <c r="C671" t="s">
        <v>665</v>
      </c>
      <c r="E671" s="22">
        <v>0.42</v>
      </c>
      <c r="F671" t="s">
        <v>648</v>
      </c>
      <c r="G671" t="s">
        <v>649</v>
      </c>
      <c r="H671" t="s">
        <v>650</v>
      </c>
      <c r="I671" t="s">
        <v>651</v>
      </c>
      <c r="J671" t="s">
        <v>652</v>
      </c>
      <c r="K671" t="s">
        <v>48</v>
      </c>
      <c r="L671">
        <v>2016</v>
      </c>
      <c r="M671" t="s">
        <v>56</v>
      </c>
      <c r="N671" t="s">
        <v>55</v>
      </c>
      <c r="P671" s="6" t="s">
        <v>1343</v>
      </c>
    </row>
    <row r="672" spans="1:16" x14ac:dyDescent="0.2">
      <c r="A672">
        <v>975325712</v>
      </c>
      <c r="B672" t="s">
        <v>534</v>
      </c>
      <c r="C672" t="s">
        <v>665</v>
      </c>
      <c r="E672" s="22">
        <v>0.48</v>
      </c>
      <c r="F672" t="s">
        <v>648</v>
      </c>
      <c r="G672" t="s">
        <v>649</v>
      </c>
      <c r="H672" t="s">
        <v>650</v>
      </c>
      <c r="I672" t="s">
        <v>651</v>
      </c>
      <c r="J672" t="s">
        <v>652</v>
      </c>
      <c r="K672" t="s">
        <v>48</v>
      </c>
      <c r="L672">
        <v>2016</v>
      </c>
      <c r="M672" t="s">
        <v>56</v>
      </c>
      <c r="N672" t="s">
        <v>55</v>
      </c>
      <c r="P672" s="6" t="s">
        <v>1344</v>
      </c>
    </row>
    <row r="673" spans="1:16" x14ac:dyDescent="0.2">
      <c r="A673">
        <v>310082419</v>
      </c>
      <c r="B673" t="s">
        <v>534</v>
      </c>
      <c r="C673" t="s">
        <v>665</v>
      </c>
      <c r="E673" s="22">
        <v>9.1999999999999998E-2</v>
      </c>
      <c r="F673" t="s">
        <v>648</v>
      </c>
      <c r="G673" t="s">
        <v>649</v>
      </c>
      <c r="H673" t="s">
        <v>650</v>
      </c>
      <c r="I673" t="s">
        <v>651</v>
      </c>
      <c r="J673" t="s">
        <v>652</v>
      </c>
      <c r="K673" t="s">
        <v>48</v>
      </c>
      <c r="L673">
        <v>2016</v>
      </c>
      <c r="M673" t="s">
        <v>56</v>
      </c>
      <c r="N673" t="s">
        <v>55</v>
      </c>
      <c r="P673" s="6" t="s">
        <v>1345</v>
      </c>
    </row>
    <row r="674" spans="1:16" x14ac:dyDescent="0.2">
      <c r="A674">
        <v>242132470</v>
      </c>
      <c r="B674" t="s">
        <v>534</v>
      </c>
      <c r="C674" t="s">
        <v>665</v>
      </c>
      <c r="E674" s="22">
        <v>0.28799999999999998</v>
      </c>
      <c r="F674" t="s">
        <v>648</v>
      </c>
      <c r="G674" t="s">
        <v>649</v>
      </c>
      <c r="H674" t="s">
        <v>650</v>
      </c>
      <c r="I674" t="s">
        <v>651</v>
      </c>
      <c r="J674" t="s">
        <v>652</v>
      </c>
      <c r="K674" t="s">
        <v>48</v>
      </c>
      <c r="L674">
        <v>2016</v>
      </c>
      <c r="M674" t="s">
        <v>56</v>
      </c>
      <c r="N674" t="s">
        <v>55</v>
      </c>
      <c r="P674" s="6" t="s">
        <v>1346</v>
      </c>
    </row>
    <row r="675" spans="1:16" x14ac:dyDescent="0.2">
      <c r="A675">
        <v>208248363</v>
      </c>
      <c r="B675" t="s">
        <v>534</v>
      </c>
      <c r="C675" t="s">
        <v>665</v>
      </c>
      <c r="E675" s="22">
        <v>0.54800000000000015</v>
      </c>
      <c r="F675" t="s">
        <v>648</v>
      </c>
      <c r="G675" t="s">
        <v>649</v>
      </c>
      <c r="H675" t="s">
        <v>650</v>
      </c>
      <c r="I675" t="s">
        <v>651</v>
      </c>
      <c r="J675" t="s">
        <v>652</v>
      </c>
      <c r="K675" t="s">
        <v>48</v>
      </c>
      <c r="L675">
        <v>2016</v>
      </c>
      <c r="M675" t="s">
        <v>56</v>
      </c>
      <c r="N675" t="s">
        <v>55</v>
      </c>
      <c r="P675" s="6" t="s">
        <v>1347</v>
      </c>
    </row>
    <row r="676" spans="1:16" x14ac:dyDescent="0.2">
      <c r="A676">
        <v>277055951</v>
      </c>
      <c r="B676" t="s">
        <v>534</v>
      </c>
      <c r="C676" t="s">
        <v>665</v>
      </c>
      <c r="E676" s="22">
        <v>0.32799999999999996</v>
      </c>
      <c r="F676" t="s">
        <v>648</v>
      </c>
      <c r="G676" t="s">
        <v>649</v>
      </c>
      <c r="H676" t="s">
        <v>650</v>
      </c>
      <c r="I676" t="s">
        <v>651</v>
      </c>
      <c r="J676" t="s">
        <v>652</v>
      </c>
      <c r="K676" t="s">
        <v>48</v>
      </c>
      <c r="L676">
        <v>2016</v>
      </c>
      <c r="M676" t="s">
        <v>56</v>
      </c>
      <c r="N676" t="s">
        <v>55</v>
      </c>
      <c r="P676" s="6" t="s">
        <v>1348</v>
      </c>
    </row>
    <row r="677" spans="1:16" x14ac:dyDescent="0.2">
      <c r="A677">
        <v>902907559</v>
      </c>
      <c r="B677" t="s">
        <v>534</v>
      </c>
      <c r="C677" t="s">
        <v>665</v>
      </c>
      <c r="E677" s="22">
        <v>0.78799999999999992</v>
      </c>
      <c r="F677" t="s">
        <v>648</v>
      </c>
      <c r="G677" t="s">
        <v>649</v>
      </c>
      <c r="H677" t="s">
        <v>650</v>
      </c>
      <c r="I677" t="s">
        <v>651</v>
      </c>
      <c r="J677" t="s">
        <v>652</v>
      </c>
      <c r="K677" t="s">
        <v>48</v>
      </c>
      <c r="L677">
        <v>2016</v>
      </c>
      <c r="M677" t="s">
        <v>56</v>
      </c>
      <c r="N677" t="s">
        <v>55</v>
      </c>
      <c r="P677" s="6" t="s">
        <v>1349</v>
      </c>
    </row>
    <row r="678" spans="1:16" x14ac:dyDescent="0.2">
      <c r="A678">
        <v>528297980</v>
      </c>
      <c r="B678" t="s">
        <v>534</v>
      </c>
      <c r="C678" t="s">
        <v>665</v>
      </c>
      <c r="E678" s="22">
        <v>0.62400000000000011</v>
      </c>
      <c r="F678" t="s">
        <v>648</v>
      </c>
      <c r="G678" t="s">
        <v>649</v>
      </c>
      <c r="H678" t="s">
        <v>650</v>
      </c>
      <c r="I678" t="s">
        <v>651</v>
      </c>
      <c r="J678" t="s">
        <v>652</v>
      </c>
      <c r="K678" t="s">
        <v>48</v>
      </c>
      <c r="L678">
        <v>2016</v>
      </c>
      <c r="M678" t="s">
        <v>56</v>
      </c>
      <c r="N678" t="s">
        <v>55</v>
      </c>
      <c r="P678" s="6" t="s">
        <v>1350</v>
      </c>
    </row>
    <row r="679" spans="1:16" x14ac:dyDescent="0.2">
      <c r="A679">
        <v>444882790</v>
      </c>
      <c r="B679" t="s">
        <v>534</v>
      </c>
      <c r="C679" t="s">
        <v>665</v>
      </c>
      <c r="E679" s="22">
        <v>0.22</v>
      </c>
      <c r="F679" t="s">
        <v>648</v>
      </c>
      <c r="G679" t="s">
        <v>649</v>
      </c>
      <c r="H679" t="s">
        <v>650</v>
      </c>
      <c r="I679" t="s">
        <v>651</v>
      </c>
      <c r="J679" t="s">
        <v>652</v>
      </c>
      <c r="K679" t="s">
        <v>48</v>
      </c>
      <c r="L679">
        <v>2016</v>
      </c>
      <c r="M679" t="s">
        <v>56</v>
      </c>
      <c r="N679" t="s">
        <v>55</v>
      </c>
      <c r="P679" s="6" t="s">
        <v>1351</v>
      </c>
    </row>
    <row r="680" spans="1:16" x14ac:dyDescent="0.2">
      <c r="A680">
        <v>112085131</v>
      </c>
      <c r="B680" t="s">
        <v>534</v>
      </c>
      <c r="C680" t="s">
        <v>665</v>
      </c>
      <c r="E680" s="22">
        <v>0.184</v>
      </c>
      <c r="F680" t="s">
        <v>648</v>
      </c>
      <c r="G680" t="s">
        <v>649</v>
      </c>
      <c r="H680" t="s">
        <v>650</v>
      </c>
      <c r="I680" t="s">
        <v>651</v>
      </c>
      <c r="J680" t="s">
        <v>652</v>
      </c>
      <c r="K680" t="s">
        <v>48</v>
      </c>
      <c r="L680">
        <v>2016</v>
      </c>
      <c r="M680" t="s">
        <v>56</v>
      </c>
      <c r="N680" t="s">
        <v>55</v>
      </c>
      <c r="P680" s="6" t="s">
        <v>1352</v>
      </c>
    </row>
    <row r="681" spans="1:16" x14ac:dyDescent="0.2">
      <c r="A681">
        <v>588642518</v>
      </c>
      <c r="B681" t="s">
        <v>534</v>
      </c>
      <c r="C681" t="s">
        <v>665</v>
      </c>
      <c r="E681" s="22">
        <v>0.752</v>
      </c>
      <c r="F681" t="s">
        <v>648</v>
      </c>
      <c r="G681" t="s">
        <v>649</v>
      </c>
      <c r="H681" t="s">
        <v>650</v>
      </c>
      <c r="I681" t="s">
        <v>651</v>
      </c>
      <c r="J681" t="s">
        <v>652</v>
      </c>
      <c r="K681" t="s">
        <v>48</v>
      </c>
      <c r="L681">
        <v>2016</v>
      </c>
      <c r="M681" t="s">
        <v>56</v>
      </c>
      <c r="N681" t="s">
        <v>55</v>
      </c>
      <c r="P681" s="6" t="s">
        <v>1353</v>
      </c>
    </row>
    <row r="682" spans="1:16" x14ac:dyDescent="0.2">
      <c r="A682">
        <v>414520736</v>
      </c>
      <c r="B682" t="s">
        <v>534</v>
      </c>
      <c r="C682" t="s">
        <v>665</v>
      </c>
      <c r="E682" s="22">
        <v>0.84799999999999998</v>
      </c>
      <c r="F682" t="s">
        <v>648</v>
      </c>
      <c r="G682" t="s">
        <v>649</v>
      </c>
      <c r="H682" t="s">
        <v>650</v>
      </c>
      <c r="I682" t="s">
        <v>651</v>
      </c>
      <c r="J682" t="s">
        <v>652</v>
      </c>
      <c r="K682" t="s">
        <v>48</v>
      </c>
      <c r="L682">
        <v>2016</v>
      </c>
      <c r="M682" t="s">
        <v>56</v>
      </c>
      <c r="N682" t="s">
        <v>55</v>
      </c>
      <c r="P682" s="6" t="s">
        <v>1354</v>
      </c>
    </row>
    <row r="683" spans="1:16" x14ac:dyDescent="0.2">
      <c r="A683">
        <v>356558346</v>
      </c>
      <c r="B683" t="s">
        <v>534</v>
      </c>
      <c r="C683" t="s">
        <v>665</v>
      </c>
      <c r="E683" s="22">
        <v>0.52400000000000002</v>
      </c>
      <c r="F683" t="s">
        <v>648</v>
      </c>
      <c r="G683" t="s">
        <v>649</v>
      </c>
      <c r="H683" t="s">
        <v>650</v>
      </c>
      <c r="I683" t="s">
        <v>651</v>
      </c>
      <c r="J683" t="s">
        <v>652</v>
      </c>
      <c r="K683" t="s">
        <v>48</v>
      </c>
      <c r="L683">
        <v>2016</v>
      </c>
      <c r="M683" t="s">
        <v>56</v>
      </c>
      <c r="N683" t="s">
        <v>55</v>
      </c>
      <c r="P683" s="6" t="s">
        <v>1355</v>
      </c>
    </row>
    <row r="684" spans="1:16" x14ac:dyDescent="0.2">
      <c r="A684">
        <v>970698993</v>
      </c>
      <c r="B684" t="s">
        <v>534</v>
      </c>
      <c r="C684" t="s">
        <v>665</v>
      </c>
      <c r="E684" s="22">
        <v>0.92</v>
      </c>
      <c r="F684" t="s">
        <v>648</v>
      </c>
      <c r="G684" t="s">
        <v>649</v>
      </c>
      <c r="H684" t="s">
        <v>650</v>
      </c>
      <c r="I684" t="s">
        <v>651</v>
      </c>
      <c r="J684" t="s">
        <v>652</v>
      </c>
      <c r="K684" t="s">
        <v>48</v>
      </c>
      <c r="L684">
        <v>2016</v>
      </c>
      <c r="M684" t="s">
        <v>56</v>
      </c>
      <c r="N684" t="s">
        <v>55</v>
      </c>
      <c r="P684" s="6" t="s">
        <v>1356</v>
      </c>
    </row>
    <row r="685" spans="1:16" x14ac:dyDescent="0.2">
      <c r="A685">
        <v>633537205</v>
      </c>
      <c r="B685" t="s">
        <v>534</v>
      </c>
      <c r="C685" t="s">
        <v>665</v>
      </c>
      <c r="E685" s="22">
        <v>0.28800000000000003</v>
      </c>
      <c r="F685" t="s">
        <v>648</v>
      </c>
      <c r="G685" t="s">
        <v>649</v>
      </c>
      <c r="H685" t="s">
        <v>650</v>
      </c>
      <c r="I685" t="s">
        <v>651</v>
      </c>
      <c r="J685" t="s">
        <v>652</v>
      </c>
      <c r="K685" t="s">
        <v>48</v>
      </c>
      <c r="L685">
        <v>2016</v>
      </c>
      <c r="M685" t="s">
        <v>56</v>
      </c>
      <c r="N685" t="s">
        <v>55</v>
      </c>
      <c r="P685" s="6" t="s">
        <v>1357</v>
      </c>
    </row>
    <row r="686" spans="1:16" x14ac:dyDescent="0.2">
      <c r="A686">
        <v>534292868</v>
      </c>
      <c r="B686" t="s">
        <v>534</v>
      </c>
      <c r="C686" t="s">
        <v>665</v>
      </c>
      <c r="E686" s="22">
        <v>0.82</v>
      </c>
      <c r="F686" t="s">
        <v>648</v>
      </c>
      <c r="G686" t="s">
        <v>649</v>
      </c>
      <c r="H686" t="s">
        <v>650</v>
      </c>
      <c r="I686" t="s">
        <v>651</v>
      </c>
      <c r="J686" t="s">
        <v>652</v>
      </c>
      <c r="K686" t="s">
        <v>48</v>
      </c>
      <c r="L686">
        <v>2016</v>
      </c>
      <c r="M686" t="s">
        <v>56</v>
      </c>
      <c r="N686" t="s">
        <v>55</v>
      </c>
      <c r="P686" s="6" t="s">
        <v>1358</v>
      </c>
    </row>
    <row r="687" spans="1:16" x14ac:dyDescent="0.2">
      <c r="A687">
        <v>816787809</v>
      </c>
      <c r="B687" t="s">
        <v>534</v>
      </c>
      <c r="C687" t="s">
        <v>665</v>
      </c>
      <c r="E687" s="22">
        <v>0.53599999999999992</v>
      </c>
      <c r="F687" t="s">
        <v>648</v>
      </c>
      <c r="G687" t="s">
        <v>649</v>
      </c>
      <c r="H687" t="s">
        <v>650</v>
      </c>
      <c r="I687" t="s">
        <v>651</v>
      </c>
      <c r="J687" t="s">
        <v>652</v>
      </c>
      <c r="K687" t="s">
        <v>48</v>
      </c>
      <c r="L687">
        <v>2016</v>
      </c>
      <c r="M687" t="s">
        <v>56</v>
      </c>
      <c r="N687" t="s">
        <v>55</v>
      </c>
      <c r="P687" s="6" t="s">
        <v>1359</v>
      </c>
    </row>
    <row r="688" spans="1:16" x14ac:dyDescent="0.2">
      <c r="A688">
        <v>220052551</v>
      </c>
      <c r="B688" t="s">
        <v>534</v>
      </c>
      <c r="C688" t="s">
        <v>665</v>
      </c>
      <c r="E688" s="22">
        <v>0.73199999999999998</v>
      </c>
      <c r="F688" t="s">
        <v>648</v>
      </c>
      <c r="G688" t="s">
        <v>649</v>
      </c>
      <c r="H688" t="s">
        <v>650</v>
      </c>
      <c r="I688" t="s">
        <v>651</v>
      </c>
      <c r="J688" t="s">
        <v>652</v>
      </c>
      <c r="K688" t="s">
        <v>48</v>
      </c>
      <c r="L688">
        <v>2016</v>
      </c>
      <c r="M688" t="s">
        <v>56</v>
      </c>
      <c r="N688" t="s">
        <v>55</v>
      </c>
      <c r="P688" s="6" t="s">
        <v>1360</v>
      </c>
    </row>
    <row r="689" spans="1:16" x14ac:dyDescent="0.2">
      <c r="A689">
        <v>858571733</v>
      </c>
      <c r="B689" t="s">
        <v>534</v>
      </c>
      <c r="C689" t="s">
        <v>665</v>
      </c>
      <c r="E689" s="22">
        <v>0.27200000000000002</v>
      </c>
      <c r="F689" t="s">
        <v>648</v>
      </c>
      <c r="G689" t="s">
        <v>649</v>
      </c>
      <c r="H689" t="s">
        <v>650</v>
      </c>
      <c r="I689" t="s">
        <v>651</v>
      </c>
      <c r="J689" t="s">
        <v>652</v>
      </c>
      <c r="K689" t="s">
        <v>48</v>
      </c>
      <c r="L689">
        <v>2016</v>
      </c>
      <c r="M689" t="s">
        <v>56</v>
      </c>
      <c r="N689" t="s">
        <v>55</v>
      </c>
      <c r="P689" s="6" t="s">
        <v>1361</v>
      </c>
    </row>
    <row r="690" spans="1:16" x14ac:dyDescent="0.2">
      <c r="A690">
        <v>363436152</v>
      </c>
      <c r="B690" t="s">
        <v>534</v>
      </c>
      <c r="C690" t="s">
        <v>665</v>
      </c>
      <c r="E690" s="22">
        <v>0.308</v>
      </c>
      <c r="F690" t="s">
        <v>648</v>
      </c>
      <c r="G690" t="s">
        <v>649</v>
      </c>
      <c r="H690" t="s">
        <v>650</v>
      </c>
      <c r="I690" t="s">
        <v>651</v>
      </c>
      <c r="J690" t="s">
        <v>652</v>
      </c>
      <c r="K690" t="s">
        <v>48</v>
      </c>
      <c r="L690">
        <v>2016</v>
      </c>
      <c r="M690" t="s">
        <v>56</v>
      </c>
      <c r="N690" t="s">
        <v>55</v>
      </c>
      <c r="P690" s="6" t="s">
        <v>1362</v>
      </c>
    </row>
    <row r="691" spans="1:16" x14ac:dyDescent="0.2">
      <c r="A691">
        <v>393495083</v>
      </c>
      <c r="B691" t="s">
        <v>534</v>
      </c>
      <c r="C691" t="s">
        <v>665</v>
      </c>
      <c r="E691" s="22">
        <v>0.84799999999999998</v>
      </c>
      <c r="F691" t="s">
        <v>648</v>
      </c>
      <c r="G691" t="s">
        <v>649</v>
      </c>
      <c r="H691" t="s">
        <v>650</v>
      </c>
      <c r="I691" t="s">
        <v>651</v>
      </c>
      <c r="J691" t="s">
        <v>652</v>
      </c>
      <c r="K691" t="s">
        <v>48</v>
      </c>
      <c r="L691">
        <v>2016</v>
      </c>
      <c r="M691" t="s">
        <v>56</v>
      </c>
      <c r="N691" t="s">
        <v>55</v>
      </c>
      <c r="P691" s="6" t="s">
        <v>1363</v>
      </c>
    </row>
    <row r="692" spans="1:16" x14ac:dyDescent="0.2">
      <c r="A692">
        <v>769635714</v>
      </c>
      <c r="B692" t="s">
        <v>534</v>
      </c>
      <c r="C692" t="s">
        <v>665</v>
      </c>
      <c r="E692" s="22">
        <v>0.88400000000000001</v>
      </c>
      <c r="F692" t="s">
        <v>648</v>
      </c>
      <c r="G692" t="s">
        <v>649</v>
      </c>
      <c r="H692" t="s">
        <v>650</v>
      </c>
      <c r="I692" t="s">
        <v>651</v>
      </c>
      <c r="J692" t="s">
        <v>652</v>
      </c>
      <c r="K692" t="s">
        <v>48</v>
      </c>
      <c r="L692">
        <v>2016</v>
      </c>
      <c r="M692" t="s">
        <v>56</v>
      </c>
      <c r="N692" t="s">
        <v>55</v>
      </c>
      <c r="P692" s="6" t="s">
        <v>1364</v>
      </c>
    </row>
    <row r="693" spans="1:16" x14ac:dyDescent="0.2">
      <c r="A693">
        <v>373048949</v>
      </c>
      <c r="B693" t="s">
        <v>534</v>
      </c>
      <c r="C693" t="s">
        <v>665</v>
      </c>
      <c r="E693" s="22">
        <v>0.84</v>
      </c>
      <c r="F693" t="s">
        <v>648</v>
      </c>
      <c r="G693" t="s">
        <v>649</v>
      </c>
      <c r="H693" t="s">
        <v>650</v>
      </c>
      <c r="I693" t="s">
        <v>651</v>
      </c>
      <c r="J693" t="s">
        <v>652</v>
      </c>
      <c r="K693" t="s">
        <v>48</v>
      </c>
      <c r="L693">
        <v>2016</v>
      </c>
      <c r="M693" t="s">
        <v>56</v>
      </c>
      <c r="N693" t="s">
        <v>55</v>
      </c>
      <c r="P693" s="6" t="s">
        <v>1365</v>
      </c>
    </row>
    <row r="694" spans="1:16" x14ac:dyDescent="0.2">
      <c r="A694">
        <v>357061292</v>
      </c>
      <c r="B694" t="s">
        <v>534</v>
      </c>
      <c r="C694" t="s">
        <v>665</v>
      </c>
      <c r="E694" s="22">
        <v>0.18</v>
      </c>
      <c r="F694" t="s">
        <v>648</v>
      </c>
      <c r="G694" t="s">
        <v>649</v>
      </c>
      <c r="H694" t="s">
        <v>650</v>
      </c>
      <c r="I694" t="s">
        <v>651</v>
      </c>
      <c r="J694" t="s">
        <v>652</v>
      </c>
      <c r="K694" t="s">
        <v>48</v>
      </c>
      <c r="L694">
        <v>2016</v>
      </c>
      <c r="M694" t="s">
        <v>56</v>
      </c>
      <c r="N694" t="s">
        <v>55</v>
      </c>
      <c r="P694" s="6" t="s">
        <v>1366</v>
      </c>
    </row>
    <row r="695" spans="1:16" x14ac:dyDescent="0.2">
      <c r="A695">
        <v>837310284</v>
      </c>
      <c r="B695" t="s">
        <v>534</v>
      </c>
      <c r="C695" t="s">
        <v>665</v>
      </c>
      <c r="E695" s="22">
        <v>0.44</v>
      </c>
      <c r="F695" t="s">
        <v>648</v>
      </c>
      <c r="G695" t="s">
        <v>649</v>
      </c>
      <c r="H695" t="s">
        <v>650</v>
      </c>
      <c r="I695" t="s">
        <v>651</v>
      </c>
      <c r="J695" t="s">
        <v>652</v>
      </c>
      <c r="K695" t="s">
        <v>48</v>
      </c>
      <c r="L695">
        <v>2016</v>
      </c>
      <c r="M695" t="s">
        <v>56</v>
      </c>
      <c r="N695" t="s">
        <v>55</v>
      </c>
      <c r="P695" s="6" t="s">
        <v>1367</v>
      </c>
    </row>
    <row r="696" spans="1:16" x14ac:dyDescent="0.2">
      <c r="A696">
        <v>815854164</v>
      </c>
      <c r="B696" t="s">
        <v>534</v>
      </c>
      <c r="C696" t="s">
        <v>665</v>
      </c>
      <c r="E696" s="22">
        <v>0.81200000000000006</v>
      </c>
      <c r="F696" t="s">
        <v>648</v>
      </c>
      <c r="G696" t="s">
        <v>649</v>
      </c>
      <c r="H696" t="s">
        <v>650</v>
      </c>
      <c r="I696" t="s">
        <v>651</v>
      </c>
      <c r="J696" t="s">
        <v>652</v>
      </c>
      <c r="K696" t="s">
        <v>48</v>
      </c>
      <c r="L696">
        <v>2016</v>
      </c>
      <c r="M696" t="s">
        <v>56</v>
      </c>
      <c r="N696" t="s">
        <v>55</v>
      </c>
      <c r="P696" s="6" t="s">
        <v>1368</v>
      </c>
    </row>
    <row r="697" spans="1:16" x14ac:dyDescent="0.2">
      <c r="A697">
        <v>315378369</v>
      </c>
      <c r="B697" t="s">
        <v>534</v>
      </c>
      <c r="C697" t="s">
        <v>665</v>
      </c>
      <c r="E697" s="22">
        <v>0.15600000000000003</v>
      </c>
      <c r="F697" t="s">
        <v>648</v>
      </c>
      <c r="G697" t="s">
        <v>649</v>
      </c>
      <c r="H697" t="s">
        <v>650</v>
      </c>
      <c r="I697" t="s">
        <v>651</v>
      </c>
      <c r="J697" t="s">
        <v>652</v>
      </c>
      <c r="K697" t="s">
        <v>48</v>
      </c>
      <c r="L697">
        <v>2016</v>
      </c>
      <c r="M697" t="s">
        <v>56</v>
      </c>
      <c r="N697" t="s">
        <v>55</v>
      </c>
      <c r="P697" s="6" t="s">
        <v>1369</v>
      </c>
    </row>
    <row r="698" spans="1:16" x14ac:dyDescent="0.2">
      <c r="A698">
        <v>564410540</v>
      </c>
      <c r="B698" t="s">
        <v>534</v>
      </c>
      <c r="C698" t="s">
        <v>665</v>
      </c>
      <c r="E698" s="22">
        <v>0.28799999999999998</v>
      </c>
      <c r="F698" t="s">
        <v>648</v>
      </c>
      <c r="G698" t="s">
        <v>649</v>
      </c>
      <c r="H698" t="s">
        <v>650</v>
      </c>
      <c r="I698" t="s">
        <v>651</v>
      </c>
      <c r="J698" t="s">
        <v>652</v>
      </c>
      <c r="K698" t="s">
        <v>48</v>
      </c>
      <c r="L698">
        <v>2016</v>
      </c>
      <c r="M698" t="s">
        <v>56</v>
      </c>
      <c r="N698" t="s">
        <v>55</v>
      </c>
      <c r="P698" s="6" t="s">
        <v>1370</v>
      </c>
    </row>
    <row r="699" spans="1:16" x14ac:dyDescent="0.2">
      <c r="A699">
        <v>126539887</v>
      </c>
      <c r="B699" t="s">
        <v>534</v>
      </c>
      <c r="C699" t="s">
        <v>665</v>
      </c>
      <c r="E699" s="22">
        <v>0.21600000000000003</v>
      </c>
      <c r="F699" t="s">
        <v>648</v>
      </c>
      <c r="G699" t="s">
        <v>649</v>
      </c>
      <c r="H699" t="s">
        <v>650</v>
      </c>
      <c r="I699" t="s">
        <v>651</v>
      </c>
      <c r="J699" t="s">
        <v>652</v>
      </c>
      <c r="K699" t="s">
        <v>48</v>
      </c>
      <c r="L699">
        <v>2016</v>
      </c>
      <c r="M699" t="s">
        <v>56</v>
      </c>
      <c r="N699" t="s">
        <v>55</v>
      </c>
      <c r="P699" s="6" t="s">
        <v>1371</v>
      </c>
    </row>
    <row r="700" spans="1:16" x14ac:dyDescent="0.2">
      <c r="A700">
        <v>563937624</v>
      </c>
      <c r="B700" t="s">
        <v>534</v>
      </c>
      <c r="C700" t="s">
        <v>665</v>
      </c>
      <c r="E700" s="22">
        <v>0.18</v>
      </c>
      <c r="F700" t="s">
        <v>648</v>
      </c>
      <c r="G700" t="s">
        <v>649</v>
      </c>
      <c r="H700" t="s">
        <v>650</v>
      </c>
      <c r="I700" t="s">
        <v>651</v>
      </c>
      <c r="J700" t="s">
        <v>652</v>
      </c>
      <c r="K700" t="s">
        <v>48</v>
      </c>
      <c r="L700">
        <v>2016</v>
      </c>
      <c r="M700" t="s">
        <v>56</v>
      </c>
      <c r="N700" t="s">
        <v>55</v>
      </c>
      <c r="P700" s="6" t="s">
        <v>1372</v>
      </c>
    </row>
    <row r="701" spans="1:16" x14ac:dyDescent="0.2">
      <c r="A701">
        <v>684291511</v>
      </c>
      <c r="B701" t="s">
        <v>534</v>
      </c>
      <c r="C701" t="s">
        <v>665</v>
      </c>
      <c r="E701" s="22">
        <v>0.47599999999999992</v>
      </c>
      <c r="F701" t="s">
        <v>648</v>
      </c>
      <c r="G701" t="s">
        <v>649</v>
      </c>
      <c r="H701" t="s">
        <v>650</v>
      </c>
      <c r="I701" t="s">
        <v>651</v>
      </c>
      <c r="J701" t="s">
        <v>652</v>
      </c>
      <c r="K701" t="s">
        <v>48</v>
      </c>
      <c r="L701">
        <v>2016</v>
      </c>
      <c r="M701" t="s">
        <v>56</v>
      </c>
      <c r="N701" t="s">
        <v>55</v>
      </c>
      <c r="P701" s="6" t="s">
        <v>1373</v>
      </c>
    </row>
    <row r="702" spans="1:16" x14ac:dyDescent="0.2">
      <c r="A702">
        <v>598829620</v>
      </c>
      <c r="B702" t="s">
        <v>537</v>
      </c>
      <c r="C702" t="s">
        <v>666</v>
      </c>
      <c r="E702" s="22">
        <v>0.15</v>
      </c>
      <c r="F702" t="s">
        <v>648</v>
      </c>
      <c r="G702" t="s">
        <v>649</v>
      </c>
      <c r="H702" t="s">
        <v>650</v>
      </c>
      <c r="I702" t="s">
        <v>651</v>
      </c>
      <c r="J702" t="s">
        <v>652</v>
      </c>
      <c r="K702" t="s">
        <v>48</v>
      </c>
      <c r="L702">
        <v>2016</v>
      </c>
      <c r="M702" t="s">
        <v>56</v>
      </c>
      <c r="N702" t="s">
        <v>55</v>
      </c>
      <c r="P702" s="6" t="s">
        <v>1374</v>
      </c>
    </row>
    <row r="703" spans="1:16" x14ac:dyDescent="0.2">
      <c r="A703">
        <v>684014860</v>
      </c>
      <c r="B703" t="s">
        <v>537</v>
      </c>
      <c r="C703" t="s">
        <v>666</v>
      </c>
      <c r="E703" s="22">
        <v>0.56000000000000005</v>
      </c>
      <c r="F703" t="s">
        <v>648</v>
      </c>
      <c r="G703" t="s">
        <v>649</v>
      </c>
      <c r="H703" t="s">
        <v>650</v>
      </c>
      <c r="I703" t="s">
        <v>651</v>
      </c>
      <c r="J703" t="s">
        <v>652</v>
      </c>
      <c r="K703" t="s">
        <v>48</v>
      </c>
      <c r="L703">
        <v>2016</v>
      </c>
      <c r="M703" t="s">
        <v>56</v>
      </c>
      <c r="N703" t="s">
        <v>55</v>
      </c>
      <c r="P703" s="6" t="s">
        <v>1375</v>
      </c>
    </row>
    <row r="704" spans="1:16" x14ac:dyDescent="0.2">
      <c r="A704">
        <v>843228181</v>
      </c>
      <c r="B704" t="s">
        <v>537</v>
      </c>
      <c r="C704" t="s">
        <v>666</v>
      </c>
      <c r="E704" s="22">
        <v>0.6100000000000001</v>
      </c>
      <c r="F704" t="s">
        <v>648</v>
      </c>
      <c r="G704" t="s">
        <v>649</v>
      </c>
      <c r="H704" t="s">
        <v>650</v>
      </c>
      <c r="I704" t="s">
        <v>651</v>
      </c>
      <c r="J704" t="s">
        <v>652</v>
      </c>
      <c r="K704" t="s">
        <v>48</v>
      </c>
      <c r="L704">
        <v>2016</v>
      </c>
      <c r="M704" t="s">
        <v>56</v>
      </c>
      <c r="N704" t="s">
        <v>55</v>
      </c>
      <c r="P704" s="6" t="s">
        <v>1376</v>
      </c>
    </row>
    <row r="705" spans="1:16" x14ac:dyDescent="0.2">
      <c r="A705">
        <v>820549378</v>
      </c>
      <c r="B705" t="s">
        <v>537</v>
      </c>
      <c r="C705" t="s">
        <v>666</v>
      </c>
      <c r="E705" s="22">
        <v>0.32</v>
      </c>
      <c r="F705" t="s">
        <v>648</v>
      </c>
      <c r="G705" t="s">
        <v>649</v>
      </c>
      <c r="H705" t="s">
        <v>650</v>
      </c>
      <c r="I705" t="s">
        <v>651</v>
      </c>
      <c r="J705" t="s">
        <v>652</v>
      </c>
      <c r="K705" t="s">
        <v>48</v>
      </c>
      <c r="L705">
        <v>2016</v>
      </c>
      <c r="M705" t="s">
        <v>56</v>
      </c>
      <c r="N705" t="s">
        <v>55</v>
      </c>
      <c r="P705" s="6" t="s">
        <v>1377</v>
      </c>
    </row>
    <row r="706" spans="1:16" x14ac:dyDescent="0.2">
      <c r="A706">
        <v>533572169</v>
      </c>
      <c r="B706" t="s">
        <v>537</v>
      </c>
      <c r="C706" t="s">
        <v>666</v>
      </c>
      <c r="E706" s="22">
        <v>0.3</v>
      </c>
      <c r="F706" t="s">
        <v>648</v>
      </c>
      <c r="G706" t="s">
        <v>649</v>
      </c>
      <c r="H706" t="s">
        <v>650</v>
      </c>
      <c r="I706" t="s">
        <v>651</v>
      </c>
      <c r="J706" t="s">
        <v>652</v>
      </c>
      <c r="K706" t="s">
        <v>48</v>
      </c>
      <c r="L706">
        <v>2016</v>
      </c>
      <c r="M706" t="s">
        <v>56</v>
      </c>
      <c r="N706" t="s">
        <v>55</v>
      </c>
      <c r="P706" s="6" t="s">
        <v>1378</v>
      </c>
    </row>
    <row r="707" spans="1:16" x14ac:dyDescent="0.2">
      <c r="A707">
        <v>975325712</v>
      </c>
      <c r="B707" t="s">
        <v>537</v>
      </c>
      <c r="C707" t="s">
        <v>666</v>
      </c>
      <c r="E707" s="22">
        <v>0.4</v>
      </c>
      <c r="F707" t="s">
        <v>648</v>
      </c>
      <c r="G707" t="s">
        <v>649</v>
      </c>
      <c r="H707" t="s">
        <v>650</v>
      </c>
      <c r="I707" t="s">
        <v>651</v>
      </c>
      <c r="J707" t="s">
        <v>652</v>
      </c>
      <c r="K707" t="s">
        <v>48</v>
      </c>
      <c r="L707">
        <v>2016</v>
      </c>
      <c r="M707" t="s">
        <v>56</v>
      </c>
      <c r="N707" t="s">
        <v>55</v>
      </c>
      <c r="P707" s="6" t="s">
        <v>1379</v>
      </c>
    </row>
    <row r="708" spans="1:16" x14ac:dyDescent="0.2">
      <c r="A708">
        <v>310082419</v>
      </c>
      <c r="B708" t="s">
        <v>537</v>
      </c>
      <c r="C708" t="s">
        <v>666</v>
      </c>
      <c r="E708" s="22">
        <v>0.04</v>
      </c>
      <c r="F708" t="s">
        <v>648</v>
      </c>
      <c r="G708" t="s">
        <v>649</v>
      </c>
      <c r="H708" t="s">
        <v>650</v>
      </c>
      <c r="I708" t="s">
        <v>651</v>
      </c>
      <c r="J708" t="s">
        <v>652</v>
      </c>
      <c r="K708" t="s">
        <v>48</v>
      </c>
      <c r="L708">
        <v>2016</v>
      </c>
      <c r="M708" t="s">
        <v>56</v>
      </c>
      <c r="N708" t="s">
        <v>55</v>
      </c>
      <c r="P708" s="6" t="s">
        <v>1380</v>
      </c>
    </row>
    <row r="709" spans="1:16" x14ac:dyDescent="0.2">
      <c r="A709">
        <v>242132470</v>
      </c>
      <c r="B709" t="s">
        <v>537</v>
      </c>
      <c r="C709" t="s">
        <v>666</v>
      </c>
      <c r="E709" s="22">
        <v>0.11000000000000001</v>
      </c>
      <c r="F709" t="s">
        <v>648</v>
      </c>
      <c r="G709" t="s">
        <v>649</v>
      </c>
      <c r="H709" t="s">
        <v>650</v>
      </c>
      <c r="I709" t="s">
        <v>651</v>
      </c>
      <c r="J709" t="s">
        <v>652</v>
      </c>
      <c r="K709" t="s">
        <v>48</v>
      </c>
      <c r="L709">
        <v>2016</v>
      </c>
      <c r="M709" t="s">
        <v>56</v>
      </c>
      <c r="N709" t="s">
        <v>55</v>
      </c>
      <c r="P709" s="6" t="s">
        <v>1381</v>
      </c>
    </row>
    <row r="710" spans="1:16" x14ac:dyDescent="0.2">
      <c r="A710">
        <v>208248363</v>
      </c>
      <c r="B710" t="s">
        <v>537</v>
      </c>
      <c r="C710" t="s">
        <v>666</v>
      </c>
      <c r="E710" s="22">
        <v>0.51</v>
      </c>
      <c r="F710" t="s">
        <v>648</v>
      </c>
      <c r="G710" t="s">
        <v>649</v>
      </c>
      <c r="H710" t="s">
        <v>650</v>
      </c>
      <c r="I710" t="s">
        <v>651</v>
      </c>
      <c r="J710" t="s">
        <v>652</v>
      </c>
      <c r="K710" t="s">
        <v>48</v>
      </c>
      <c r="L710">
        <v>2016</v>
      </c>
      <c r="M710" t="s">
        <v>56</v>
      </c>
      <c r="N710" t="s">
        <v>55</v>
      </c>
      <c r="P710" s="6" t="s">
        <v>1382</v>
      </c>
    </row>
    <row r="711" spans="1:16" x14ac:dyDescent="0.2">
      <c r="A711">
        <v>277055951</v>
      </c>
      <c r="B711" t="s">
        <v>537</v>
      </c>
      <c r="C711" t="s">
        <v>666</v>
      </c>
      <c r="E711" s="22">
        <v>0.26</v>
      </c>
      <c r="F711" t="s">
        <v>648</v>
      </c>
      <c r="G711" t="s">
        <v>649</v>
      </c>
      <c r="H711" t="s">
        <v>650</v>
      </c>
      <c r="I711" t="s">
        <v>651</v>
      </c>
      <c r="J711" t="s">
        <v>652</v>
      </c>
      <c r="K711" t="s">
        <v>48</v>
      </c>
      <c r="L711">
        <v>2016</v>
      </c>
      <c r="M711" t="s">
        <v>56</v>
      </c>
      <c r="N711" t="s">
        <v>55</v>
      </c>
      <c r="P711" s="6" t="s">
        <v>1383</v>
      </c>
    </row>
    <row r="712" spans="1:16" x14ac:dyDescent="0.2">
      <c r="A712">
        <v>902907559</v>
      </c>
      <c r="B712" t="s">
        <v>537</v>
      </c>
      <c r="C712" t="s">
        <v>666</v>
      </c>
      <c r="E712" s="22">
        <v>0.86</v>
      </c>
      <c r="F712" t="s">
        <v>648</v>
      </c>
      <c r="G712" t="s">
        <v>649</v>
      </c>
      <c r="H712" t="s">
        <v>650</v>
      </c>
      <c r="I712" t="s">
        <v>651</v>
      </c>
      <c r="J712" t="s">
        <v>652</v>
      </c>
      <c r="K712" t="s">
        <v>48</v>
      </c>
      <c r="L712">
        <v>2016</v>
      </c>
      <c r="M712" t="s">
        <v>56</v>
      </c>
      <c r="N712" t="s">
        <v>55</v>
      </c>
      <c r="P712" s="6" t="s">
        <v>1384</v>
      </c>
    </row>
    <row r="713" spans="1:16" x14ac:dyDescent="0.2">
      <c r="A713">
        <v>528297980</v>
      </c>
      <c r="B713" t="s">
        <v>537</v>
      </c>
      <c r="C713" t="s">
        <v>666</v>
      </c>
      <c r="E713" s="22">
        <v>0.58000000000000007</v>
      </c>
      <c r="F713" t="s">
        <v>648</v>
      </c>
      <c r="G713" t="s">
        <v>649</v>
      </c>
      <c r="H713" t="s">
        <v>650</v>
      </c>
      <c r="I713" t="s">
        <v>651</v>
      </c>
      <c r="J713" t="s">
        <v>652</v>
      </c>
      <c r="K713" t="s">
        <v>48</v>
      </c>
      <c r="L713">
        <v>2016</v>
      </c>
      <c r="M713" t="s">
        <v>56</v>
      </c>
      <c r="N713" t="s">
        <v>55</v>
      </c>
      <c r="P713" s="6" t="s">
        <v>1385</v>
      </c>
    </row>
    <row r="714" spans="1:16" x14ac:dyDescent="0.2">
      <c r="A714">
        <v>444882790</v>
      </c>
      <c r="B714" t="s">
        <v>537</v>
      </c>
      <c r="C714" t="s">
        <v>666</v>
      </c>
      <c r="E714" s="22">
        <v>0.05</v>
      </c>
      <c r="F714" t="s">
        <v>648</v>
      </c>
      <c r="G714" t="s">
        <v>649</v>
      </c>
      <c r="H714" t="s">
        <v>650</v>
      </c>
      <c r="I714" t="s">
        <v>651</v>
      </c>
      <c r="J714" t="s">
        <v>652</v>
      </c>
      <c r="K714" t="s">
        <v>48</v>
      </c>
      <c r="L714">
        <v>2016</v>
      </c>
      <c r="M714" t="s">
        <v>56</v>
      </c>
      <c r="N714" t="s">
        <v>55</v>
      </c>
      <c r="P714" s="6" t="s">
        <v>1386</v>
      </c>
    </row>
    <row r="715" spans="1:16" x14ac:dyDescent="0.2">
      <c r="A715">
        <v>112085131</v>
      </c>
      <c r="B715" t="s">
        <v>537</v>
      </c>
      <c r="C715" t="s">
        <v>666</v>
      </c>
      <c r="E715" s="22">
        <v>0.13</v>
      </c>
      <c r="F715" t="s">
        <v>648</v>
      </c>
      <c r="G715" t="s">
        <v>649</v>
      </c>
      <c r="H715" t="s">
        <v>650</v>
      </c>
      <c r="I715" t="s">
        <v>651</v>
      </c>
      <c r="J715" t="s">
        <v>652</v>
      </c>
      <c r="K715" t="s">
        <v>48</v>
      </c>
      <c r="L715">
        <v>2016</v>
      </c>
      <c r="M715" t="s">
        <v>56</v>
      </c>
      <c r="N715" t="s">
        <v>55</v>
      </c>
      <c r="P715" s="6" t="s">
        <v>1387</v>
      </c>
    </row>
    <row r="716" spans="1:16" x14ac:dyDescent="0.2">
      <c r="A716">
        <v>588642518</v>
      </c>
      <c r="B716" t="s">
        <v>537</v>
      </c>
      <c r="C716" t="s">
        <v>666</v>
      </c>
      <c r="E716" s="22">
        <v>0.94000000000000006</v>
      </c>
      <c r="F716" t="s">
        <v>648</v>
      </c>
      <c r="G716" t="s">
        <v>649</v>
      </c>
      <c r="H716" t="s">
        <v>650</v>
      </c>
      <c r="I716" t="s">
        <v>651</v>
      </c>
      <c r="J716" t="s">
        <v>652</v>
      </c>
      <c r="K716" t="s">
        <v>48</v>
      </c>
      <c r="L716">
        <v>2016</v>
      </c>
      <c r="M716" t="s">
        <v>56</v>
      </c>
      <c r="N716" t="s">
        <v>55</v>
      </c>
      <c r="P716" s="6" t="s">
        <v>1388</v>
      </c>
    </row>
    <row r="717" spans="1:16" x14ac:dyDescent="0.2">
      <c r="A717">
        <v>414520736</v>
      </c>
      <c r="B717" t="s">
        <v>537</v>
      </c>
      <c r="C717" t="s">
        <v>666</v>
      </c>
      <c r="E717" s="22">
        <v>0.80999999999999994</v>
      </c>
      <c r="F717" t="s">
        <v>648</v>
      </c>
      <c r="G717" t="s">
        <v>649</v>
      </c>
      <c r="H717" t="s">
        <v>650</v>
      </c>
      <c r="I717" t="s">
        <v>651</v>
      </c>
      <c r="J717" t="s">
        <v>652</v>
      </c>
      <c r="K717" t="s">
        <v>48</v>
      </c>
      <c r="L717">
        <v>2016</v>
      </c>
      <c r="M717" t="s">
        <v>56</v>
      </c>
      <c r="N717" t="s">
        <v>55</v>
      </c>
      <c r="P717" s="6" t="s">
        <v>1389</v>
      </c>
    </row>
    <row r="718" spans="1:16" x14ac:dyDescent="0.2">
      <c r="A718">
        <v>356558346</v>
      </c>
      <c r="B718" t="s">
        <v>537</v>
      </c>
      <c r="C718" t="s">
        <v>666</v>
      </c>
      <c r="E718" s="22">
        <v>0.43</v>
      </c>
      <c r="F718" t="s">
        <v>648</v>
      </c>
      <c r="G718" t="s">
        <v>649</v>
      </c>
      <c r="H718" t="s">
        <v>650</v>
      </c>
      <c r="I718" t="s">
        <v>651</v>
      </c>
      <c r="J718" t="s">
        <v>652</v>
      </c>
      <c r="K718" t="s">
        <v>48</v>
      </c>
      <c r="L718">
        <v>2016</v>
      </c>
      <c r="M718" t="s">
        <v>56</v>
      </c>
      <c r="N718" t="s">
        <v>55</v>
      </c>
      <c r="P718" s="6" t="s">
        <v>1390</v>
      </c>
    </row>
    <row r="719" spans="1:16" x14ac:dyDescent="0.2">
      <c r="A719">
        <v>970698993</v>
      </c>
      <c r="B719" t="s">
        <v>537</v>
      </c>
      <c r="C719" t="s">
        <v>666</v>
      </c>
      <c r="E719" s="22">
        <v>0.95</v>
      </c>
      <c r="F719" t="s">
        <v>648</v>
      </c>
      <c r="G719" t="s">
        <v>649</v>
      </c>
      <c r="H719" t="s">
        <v>650</v>
      </c>
      <c r="I719" t="s">
        <v>651</v>
      </c>
      <c r="J719" t="s">
        <v>652</v>
      </c>
      <c r="K719" t="s">
        <v>48</v>
      </c>
      <c r="L719">
        <v>2016</v>
      </c>
      <c r="M719" t="s">
        <v>56</v>
      </c>
      <c r="N719" t="s">
        <v>55</v>
      </c>
      <c r="P719" s="6" t="s">
        <v>1391</v>
      </c>
    </row>
    <row r="720" spans="1:16" x14ac:dyDescent="0.2">
      <c r="A720">
        <v>633537205</v>
      </c>
      <c r="B720" t="s">
        <v>537</v>
      </c>
      <c r="C720" t="s">
        <v>666</v>
      </c>
      <c r="E720" s="22">
        <v>0.36</v>
      </c>
      <c r="F720" t="s">
        <v>648</v>
      </c>
      <c r="G720" t="s">
        <v>649</v>
      </c>
      <c r="H720" t="s">
        <v>650</v>
      </c>
      <c r="I720" t="s">
        <v>651</v>
      </c>
      <c r="J720" t="s">
        <v>652</v>
      </c>
      <c r="K720" t="s">
        <v>48</v>
      </c>
      <c r="L720">
        <v>2016</v>
      </c>
      <c r="M720" t="s">
        <v>56</v>
      </c>
      <c r="N720" t="s">
        <v>55</v>
      </c>
      <c r="P720" s="6" t="s">
        <v>1392</v>
      </c>
    </row>
    <row r="721" spans="1:16" x14ac:dyDescent="0.2">
      <c r="A721">
        <v>534292868</v>
      </c>
      <c r="B721" t="s">
        <v>537</v>
      </c>
      <c r="C721" t="s">
        <v>666</v>
      </c>
      <c r="E721" s="22">
        <v>0.9</v>
      </c>
      <c r="F721" t="s">
        <v>648</v>
      </c>
      <c r="G721" t="s">
        <v>649</v>
      </c>
      <c r="H721" t="s">
        <v>650</v>
      </c>
      <c r="I721" t="s">
        <v>651</v>
      </c>
      <c r="J721" t="s">
        <v>652</v>
      </c>
      <c r="K721" t="s">
        <v>48</v>
      </c>
      <c r="L721">
        <v>2016</v>
      </c>
      <c r="M721" t="s">
        <v>56</v>
      </c>
      <c r="N721" t="s">
        <v>55</v>
      </c>
      <c r="P721" s="6" t="s">
        <v>1393</v>
      </c>
    </row>
    <row r="722" spans="1:16" x14ac:dyDescent="0.2">
      <c r="A722">
        <v>816787809</v>
      </c>
      <c r="B722" t="s">
        <v>537</v>
      </c>
      <c r="C722" t="s">
        <v>666</v>
      </c>
      <c r="E722" s="22">
        <v>0.47000000000000003</v>
      </c>
      <c r="F722" t="s">
        <v>648</v>
      </c>
      <c r="G722" t="s">
        <v>649</v>
      </c>
      <c r="H722" t="s">
        <v>650</v>
      </c>
      <c r="I722" t="s">
        <v>651</v>
      </c>
      <c r="J722" t="s">
        <v>652</v>
      </c>
      <c r="K722" t="s">
        <v>48</v>
      </c>
      <c r="L722">
        <v>2016</v>
      </c>
      <c r="M722" t="s">
        <v>56</v>
      </c>
      <c r="N722" t="s">
        <v>55</v>
      </c>
      <c r="P722" s="6" t="s">
        <v>1394</v>
      </c>
    </row>
    <row r="723" spans="1:16" x14ac:dyDescent="0.2">
      <c r="A723">
        <v>220052551</v>
      </c>
      <c r="B723" t="s">
        <v>537</v>
      </c>
      <c r="C723" t="s">
        <v>666</v>
      </c>
      <c r="E723" s="22">
        <v>0.74</v>
      </c>
      <c r="F723" t="s">
        <v>648</v>
      </c>
      <c r="G723" t="s">
        <v>649</v>
      </c>
      <c r="H723" t="s">
        <v>650</v>
      </c>
      <c r="I723" t="s">
        <v>651</v>
      </c>
      <c r="J723" t="s">
        <v>652</v>
      </c>
      <c r="K723" t="s">
        <v>48</v>
      </c>
      <c r="L723">
        <v>2016</v>
      </c>
      <c r="M723" t="s">
        <v>56</v>
      </c>
      <c r="N723" t="s">
        <v>55</v>
      </c>
      <c r="P723" s="6" t="s">
        <v>1395</v>
      </c>
    </row>
    <row r="724" spans="1:16" x14ac:dyDescent="0.2">
      <c r="A724">
        <v>858571733</v>
      </c>
      <c r="B724" t="s">
        <v>537</v>
      </c>
      <c r="C724" t="s">
        <v>666</v>
      </c>
      <c r="E724" s="22">
        <v>0.19</v>
      </c>
      <c r="F724" t="s">
        <v>648</v>
      </c>
      <c r="G724" t="s">
        <v>649</v>
      </c>
      <c r="H724" t="s">
        <v>650</v>
      </c>
      <c r="I724" t="s">
        <v>651</v>
      </c>
      <c r="J724" t="s">
        <v>652</v>
      </c>
      <c r="K724" t="s">
        <v>48</v>
      </c>
      <c r="L724">
        <v>2016</v>
      </c>
      <c r="M724" t="s">
        <v>56</v>
      </c>
      <c r="N724" t="s">
        <v>55</v>
      </c>
      <c r="P724" s="6" t="s">
        <v>1396</v>
      </c>
    </row>
    <row r="725" spans="1:16" x14ac:dyDescent="0.2">
      <c r="A725">
        <v>363436152</v>
      </c>
      <c r="B725" t="s">
        <v>537</v>
      </c>
      <c r="C725" t="s">
        <v>666</v>
      </c>
      <c r="E725" s="22">
        <v>0.21000000000000002</v>
      </c>
      <c r="F725" t="s">
        <v>648</v>
      </c>
      <c r="G725" t="s">
        <v>649</v>
      </c>
      <c r="H725" t="s">
        <v>650</v>
      </c>
      <c r="I725" t="s">
        <v>651</v>
      </c>
      <c r="J725" t="s">
        <v>652</v>
      </c>
      <c r="K725" t="s">
        <v>48</v>
      </c>
      <c r="L725">
        <v>2016</v>
      </c>
      <c r="M725" t="s">
        <v>56</v>
      </c>
      <c r="N725" t="s">
        <v>55</v>
      </c>
      <c r="P725" s="6" t="s">
        <v>1397</v>
      </c>
    </row>
    <row r="726" spans="1:16" x14ac:dyDescent="0.2">
      <c r="A726">
        <v>393495083</v>
      </c>
      <c r="B726" t="s">
        <v>537</v>
      </c>
      <c r="C726" t="s">
        <v>666</v>
      </c>
      <c r="E726" s="22">
        <v>0.90999999999999992</v>
      </c>
      <c r="F726" t="s">
        <v>648</v>
      </c>
      <c r="G726" t="s">
        <v>649</v>
      </c>
      <c r="H726" t="s">
        <v>650</v>
      </c>
      <c r="I726" t="s">
        <v>651</v>
      </c>
      <c r="J726" t="s">
        <v>652</v>
      </c>
      <c r="K726" t="s">
        <v>48</v>
      </c>
      <c r="L726">
        <v>2016</v>
      </c>
      <c r="M726" t="s">
        <v>56</v>
      </c>
      <c r="N726" t="s">
        <v>55</v>
      </c>
      <c r="P726" s="6" t="s">
        <v>1398</v>
      </c>
    </row>
    <row r="727" spans="1:16" x14ac:dyDescent="0.2">
      <c r="A727">
        <v>769635714</v>
      </c>
      <c r="B727" t="s">
        <v>537</v>
      </c>
      <c r="C727" t="s">
        <v>666</v>
      </c>
      <c r="E727" s="22">
        <v>0.88000000000000012</v>
      </c>
      <c r="F727" t="s">
        <v>648</v>
      </c>
      <c r="G727" t="s">
        <v>649</v>
      </c>
      <c r="H727" t="s">
        <v>650</v>
      </c>
      <c r="I727" t="s">
        <v>651</v>
      </c>
      <c r="J727" t="s">
        <v>652</v>
      </c>
      <c r="K727" t="s">
        <v>48</v>
      </c>
      <c r="L727">
        <v>2016</v>
      </c>
      <c r="M727" t="s">
        <v>56</v>
      </c>
      <c r="N727" t="s">
        <v>55</v>
      </c>
      <c r="P727" s="6" t="s">
        <v>1399</v>
      </c>
    </row>
    <row r="728" spans="1:16" x14ac:dyDescent="0.2">
      <c r="A728">
        <v>373048949</v>
      </c>
      <c r="B728" t="s">
        <v>537</v>
      </c>
      <c r="C728" t="s">
        <v>666</v>
      </c>
      <c r="E728" s="22">
        <v>0.8</v>
      </c>
      <c r="F728" t="s">
        <v>648</v>
      </c>
      <c r="G728" t="s">
        <v>649</v>
      </c>
      <c r="H728" t="s">
        <v>650</v>
      </c>
      <c r="I728" t="s">
        <v>651</v>
      </c>
      <c r="J728" t="s">
        <v>652</v>
      </c>
      <c r="K728" t="s">
        <v>48</v>
      </c>
      <c r="L728">
        <v>2016</v>
      </c>
      <c r="M728" t="s">
        <v>56</v>
      </c>
      <c r="N728" t="s">
        <v>55</v>
      </c>
      <c r="P728" s="6" t="s">
        <v>1400</v>
      </c>
    </row>
    <row r="729" spans="1:16" x14ac:dyDescent="0.2">
      <c r="A729">
        <v>357061292</v>
      </c>
      <c r="B729" t="s">
        <v>537</v>
      </c>
      <c r="C729" t="s">
        <v>666</v>
      </c>
      <c r="E729" s="22">
        <v>0.1</v>
      </c>
      <c r="F729" t="s">
        <v>648</v>
      </c>
      <c r="G729" t="s">
        <v>649</v>
      </c>
      <c r="H729" t="s">
        <v>650</v>
      </c>
      <c r="I729" t="s">
        <v>651</v>
      </c>
      <c r="J729" t="s">
        <v>652</v>
      </c>
      <c r="K729" t="s">
        <v>48</v>
      </c>
      <c r="L729">
        <v>2016</v>
      </c>
      <c r="M729" t="s">
        <v>56</v>
      </c>
      <c r="N729" t="s">
        <v>55</v>
      </c>
      <c r="P729" s="6" t="s">
        <v>1401</v>
      </c>
    </row>
    <row r="730" spans="1:16" x14ac:dyDescent="0.2">
      <c r="A730">
        <v>837310284</v>
      </c>
      <c r="B730" t="s">
        <v>537</v>
      </c>
      <c r="C730" t="s">
        <v>666</v>
      </c>
      <c r="E730" s="22">
        <v>0.45</v>
      </c>
      <c r="F730" t="s">
        <v>648</v>
      </c>
      <c r="G730" t="s">
        <v>649</v>
      </c>
      <c r="H730" t="s">
        <v>650</v>
      </c>
      <c r="I730" t="s">
        <v>651</v>
      </c>
      <c r="J730" t="s">
        <v>652</v>
      </c>
      <c r="K730" t="s">
        <v>48</v>
      </c>
      <c r="L730">
        <v>2016</v>
      </c>
      <c r="M730" t="s">
        <v>56</v>
      </c>
      <c r="N730" t="s">
        <v>55</v>
      </c>
      <c r="P730" s="6" t="s">
        <v>1402</v>
      </c>
    </row>
    <row r="731" spans="1:16" x14ac:dyDescent="0.2">
      <c r="A731">
        <v>815854164</v>
      </c>
      <c r="B731" t="s">
        <v>537</v>
      </c>
      <c r="C731" t="s">
        <v>666</v>
      </c>
      <c r="E731" s="22">
        <v>0.89</v>
      </c>
      <c r="F731" t="s">
        <v>648</v>
      </c>
      <c r="G731" t="s">
        <v>649</v>
      </c>
      <c r="H731" t="s">
        <v>650</v>
      </c>
      <c r="I731" t="s">
        <v>651</v>
      </c>
      <c r="J731" t="s">
        <v>652</v>
      </c>
      <c r="K731" t="s">
        <v>48</v>
      </c>
      <c r="L731">
        <v>2016</v>
      </c>
      <c r="M731" t="s">
        <v>56</v>
      </c>
      <c r="N731" t="s">
        <v>55</v>
      </c>
      <c r="P731" s="6" t="s">
        <v>1403</v>
      </c>
    </row>
    <row r="732" spans="1:16" x14ac:dyDescent="0.2">
      <c r="A732">
        <v>315378369</v>
      </c>
      <c r="B732" t="s">
        <v>537</v>
      </c>
      <c r="C732" t="s">
        <v>666</v>
      </c>
      <c r="E732" s="22">
        <v>0.12000000000000002</v>
      </c>
      <c r="F732" t="s">
        <v>648</v>
      </c>
      <c r="G732" t="s">
        <v>649</v>
      </c>
      <c r="H732" t="s">
        <v>650</v>
      </c>
      <c r="I732" t="s">
        <v>651</v>
      </c>
      <c r="J732" t="s">
        <v>652</v>
      </c>
      <c r="K732" t="s">
        <v>48</v>
      </c>
      <c r="L732">
        <v>2016</v>
      </c>
      <c r="M732" t="s">
        <v>56</v>
      </c>
      <c r="N732" t="s">
        <v>55</v>
      </c>
      <c r="P732" s="6" t="s">
        <v>1404</v>
      </c>
    </row>
    <row r="733" spans="1:16" x14ac:dyDescent="0.2">
      <c r="A733">
        <v>564410540</v>
      </c>
      <c r="B733" t="s">
        <v>537</v>
      </c>
      <c r="C733" t="s">
        <v>666</v>
      </c>
      <c r="E733" s="22">
        <v>0.21000000000000002</v>
      </c>
      <c r="F733" t="s">
        <v>648</v>
      </c>
      <c r="G733" t="s">
        <v>649</v>
      </c>
      <c r="H733" t="s">
        <v>650</v>
      </c>
      <c r="I733" t="s">
        <v>651</v>
      </c>
      <c r="J733" t="s">
        <v>652</v>
      </c>
      <c r="K733" t="s">
        <v>48</v>
      </c>
      <c r="L733">
        <v>2016</v>
      </c>
      <c r="M733" t="s">
        <v>56</v>
      </c>
      <c r="N733" t="s">
        <v>55</v>
      </c>
      <c r="P733" s="6" t="s">
        <v>1405</v>
      </c>
    </row>
    <row r="734" spans="1:16" x14ac:dyDescent="0.2">
      <c r="A734">
        <v>126539887</v>
      </c>
      <c r="B734" t="s">
        <v>537</v>
      </c>
      <c r="C734" t="s">
        <v>666</v>
      </c>
      <c r="E734" s="22">
        <v>7.0000000000000007E-2</v>
      </c>
      <c r="F734" t="s">
        <v>648</v>
      </c>
      <c r="G734" t="s">
        <v>649</v>
      </c>
      <c r="H734" t="s">
        <v>650</v>
      </c>
      <c r="I734" t="s">
        <v>651</v>
      </c>
      <c r="J734" t="s">
        <v>652</v>
      </c>
      <c r="K734" t="s">
        <v>48</v>
      </c>
      <c r="L734">
        <v>2016</v>
      </c>
      <c r="M734" t="s">
        <v>56</v>
      </c>
      <c r="N734" t="s">
        <v>55</v>
      </c>
      <c r="P734" s="6" t="s">
        <v>1406</v>
      </c>
    </row>
    <row r="735" spans="1:16" x14ac:dyDescent="0.2">
      <c r="A735">
        <v>563937624</v>
      </c>
      <c r="B735" t="s">
        <v>537</v>
      </c>
      <c r="C735" t="s">
        <v>666</v>
      </c>
      <c r="E735" s="22">
        <v>0.05</v>
      </c>
      <c r="F735" t="s">
        <v>648</v>
      </c>
      <c r="G735" t="s">
        <v>649</v>
      </c>
      <c r="H735" t="s">
        <v>650</v>
      </c>
      <c r="I735" t="s">
        <v>651</v>
      </c>
      <c r="J735" t="s">
        <v>652</v>
      </c>
      <c r="K735" t="s">
        <v>48</v>
      </c>
      <c r="L735">
        <v>2016</v>
      </c>
      <c r="M735" t="s">
        <v>56</v>
      </c>
      <c r="N735" t="s">
        <v>55</v>
      </c>
      <c r="P735" s="6" t="s">
        <v>1407</v>
      </c>
    </row>
    <row r="736" spans="1:16" x14ac:dyDescent="0.2">
      <c r="A736">
        <v>684291511</v>
      </c>
      <c r="B736" t="s">
        <v>537</v>
      </c>
      <c r="C736" t="s">
        <v>666</v>
      </c>
      <c r="E736" s="22">
        <v>0.37</v>
      </c>
      <c r="F736" t="s">
        <v>648</v>
      </c>
      <c r="G736" t="s">
        <v>649</v>
      </c>
      <c r="H736" t="s">
        <v>650</v>
      </c>
      <c r="I736" t="s">
        <v>651</v>
      </c>
      <c r="J736" t="s">
        <v>652</v>
      </c>
      <c r="K736" t="s">
        <v>48</v>
      </c>
      <c r="L736">
        <v>2016</v>
      </c>
      <c r="M736" t="s">
        <v>56</v>
      </c>
      <c r="N736" t="s">
        <v>55</v>
      </c>
      <c r="P736" s="6" t="s">
        <v>1408</v>
      </c>
    </row>
    <row r="737" spans="1:16" x14ac:dyDescent="0.2">
      <c r="A737">
        <v>598829620</v>
      </c>
      <c r="B737" t="s">
        <v>537</v>
      </c>
      <c r="C737" t="s">
        <v>667</v>
      </c>
      <c r="E737" s="22">
        <v>0.4</v>
      </c>
      <c r="F737" t="s">
        <v>648</v>
      </c>
      <c r="G737" t="s">
        <v>649</v>
      </c>
      <c r="H737" t="s">
        <v>650</v>
      </c>
      <c r="I737" t="s">
        <v>651</v>
      </c>
      <c r="J737" t="s">
        <v>652</v>
      </c>
      <c r="K737" t="s">
        <v>48</v>
      </c>
      <c r="L737">
        <v>2016</v>
      </c>
      <c r="M737" t="s">
        <v>56</v>
      </c>
      <c r="N737" t="s">
        <v>55</v>
      </c>
      <c r="P737" s="6" t="s">
        <v>1409</v>
      </c>
    </row>
    <row r="738" spans="1:16" x14ac:dyDescent="0.2">
      <c r="A738">
        <v>684014860</v>
      </c>
      <c r="B738" t="s">
        <v>537</v>
      </c>
      <c r="C738" t="s">
        <v>667</v>
      </c>
      <c r="E738" s="22">
        <v>0.56000000000000005</v>
      </c>
      <c r="F738" t="s">
        <v>648</v>
      </c>
      <c r="G738" t="s">
        <v>649</v>
      </c>
      <c r="H738" t="s">
        <v>650</v>
      </c>
      <c r="I738" t="s">
        <v>651</v>
      </c>
      <c r="J738" t="s">
        <v>652</v>
      </c>
      <c r="K738" t="s">
        <v>48</v>
      </c>
      <c r="L738">
        <v>2016</v>
      </c>
      <c r="M738" t="s">
        <v>56</v>
      </c>
      <c r="N738" t="s">
        <v>55</v>
      </c>
      <c r="P738" s="6" t="s">
        <v>1410</v>
      </c>
    </row>
    <row r="739" spans="1:16" x14ac:dyDescent="0.2">
      <c r="A739">
        <v>843228181</v>
      </c>
      <c r="B739" t="s">
        <v>537</v>
      </c>
      <c r="C739" t="s">
        <v>667</v>
      </c>
      <c r="E739" s="22">
        <v>0.42000000000000004</v>
      </c>
      <c r="F739" t="s">
        <v>648</v>
      </c>
      <c r="G739" t="s">
        <v>649</v>
      </c>
      <c r="H739" t="s">
        <v>650</v>
      </c>
      <c r="I739" t="s">
        <v>651</v>
      </c>
      <c r="J739" t="s">
        <v>652</v>
      </c>
      <c r="K739" t="s">
        <v>48</v>
      </c>
      <c r="L739">
        <v>2016</v>
      </c>
      <c r="M739" t="s">
        <v>56</v>
      </c>
      <c r="N739" t="s">
        <v>55</v>
      </c>
      <c r="P739" s="6" t="s">
        <v>1411</v>
      </c>
    </row>
    <row r="740" spans="1:16" x14ac:dyDescent="0.2">
      <c r="A740">
        <v>820549378</v>
      </c>
      <c r="B740" t="s">
        <v>537</v>
      </c>
      <c r="C740" t="s">
        <v>667</v>
      </c>
      <c r="E740" s="22">
        <v>0.26</v>
      </c>
      <c r="F740" t="s">
        <v>648</v>
      </c>
      <c r="G740" t="s">
        <v>649</v>
      </c>
      <c r="H740" t="s">
        <v>650</v>
      </c>
      <c r="I740" t="s">
        <v>651</v>
      </c>
      <c r="J740" t="s">
        <v>652</v>
      </c>
      <c r="K740" t="s">
        <v>48</v>
      </c>
      <c r="L740">
        <v>2016</v>
      </c>
      <c r="M740" t="s">
        <v>56</v>
      </c>
      <c r="N740" t="s">
        <v>55</v>
      </c>
      <c r="P740" s="6" t="s">
        <v>1412</v>
      </c>
    </row>
    <row r="741" spans="1:16" x14ac:dyDescent="0.2">
      <c r="A741">
        <v>533572169</v>
      </c>
      <c r="B741" t="s">
        <v>537</v>
      </c>
      <c r="C741" t="s">
        <v>667</v>
      </c>
      <c r="E741" s="22">
        <v>0.04</v>
      </c>
      <c r="F741" t="s">
        <v>648</v>
      </c>
      <c r="G741" t="s">
        <v>649</v>
      </c>
      <c r="H741" t="s">
        <v>650</v>
      </c>
      <c r="I741" t="s">
        <v>651</v>
      </c>
      <c r="J741" t="s">
        <v>652</v>
      </c>
      <c r="K741" t="s">
        <v>48</v>
      </c>
      <c r="L741">
        <v>2016</v>
      </c>
      <c r="M741" t="s">
        <v>56</v>
      </c>
      <c r="N741" t="s">
        <v>55</v>
      </c>
      <c r="P741" s="6" t="s">
        <v>1413</v>
      </c>
    </row>
    <row r="742" spans="1:16" x14ac:dyDescent="0.2">
      <c r="A742">
        <v>975325712</v>
      </c>
      <c r="B742" t="s">
        <v>537</v>
      </c>
      <c r="C742" t="s">
        <v>667</v>
      </c>
      <c r="E742" s="22">
        <v>0.36</v>
      </c>
      <c r="F742" t="s">
        <v>648</v>
      </c>
      <c r="G742" t="s">
        <v>649</v>
      </c>
      <c r="H742" t="s">
        <v>650</v>
      </c>
      <c r="I742" t="s">
        <v>651</v>
      </c>
      <c r="J742" t="s">
        <v>652</v>
      </c>
      <c r="K742" t="s">
        <v>48</v>
      </c>
      <c r="L742">
        <v>2016</v>
      </c>
      <c r="M742" t="s">
        <v>56</v>
      </c>
      <c r="N742" t="s">
        <v>55</v>
      </c>
      <c r="P742" s="6" t="s">
        <v>1414</v>
      </c>
    </row>
    <row r="743" spans="1:16" x14ac:dyDescent="0.2">
      <c r="A743">
        <v>310082419</v>
      </c>
      <c r="B743" t="s">
        <v>537</v>
      </c>
      <c r="C743" t="s">
        <v>667</v>
      </c>
      <c r="E743" s="22">
        <v>0.22000000000000003</v>
      </c>
      <c r="F743" t="s">
        <v>648</v>
      </c>
      <c r="G743" t="s">
        <v>649</v>
      </c>
      <c r="H743" t="s">
        <v>650</v>
      </c>
      <c r="I743" t="s">
        <v>651</v>
      </c>
      <c r="J743" t="s">
        <v>652</v>
      </c>
      <c r="K743" t="s">
        <v>48</v>
      </c>
      <c r="L743">
        <v>2016</v>
      </c>
      <c r="M743" t="s">
        <v>56</v>
      </c>
      <c r="N743" t="s">
        <v>55</v>
      </c>
      <c r="P743" s="6" t="s">
        <v>1415</v>
      </c>
    </row>
    <row r="744" spans="1:16" x14ac:dyDescent="0.2">
      <c r="A744">
        <v>242132470</v>
      </c>
      <c r="B744" t="s">
        <v>537</v>
      </c>
      <c r="C744" t="s">
        <v>667</v>
      </c>
      <c r="E744" s="22">
        <v>0.56000000000000005</v>
      </c>
      <c r="F744" t="s">
        <v>648</v>
      </c>
      <c r="G744" t="s">
        <v>649</v>
      </c>
      <c r="H744" t="s">
        <v>650</v>
      </c>
      <c r="I744" t="s">
        <v>651</v>
      </c>
      <c r="J744" t="s">
        <v>652</v>
      </c>
      <c r="K744" t="s">
        <v>48</v>
      </c>
      <c r="L744">
        <v>2016</v>
      </c>
      <c r="M744" t="s">
        <v>56</v>
      </c>
      <c r="N744" t="s">
        <v>55</v>
      </c>
      <c r="P744" s="6" t="s">
        <v>1416</v>
      </c>
    </row>
    <row r="745" spans="1:16" x14ac:dyDescent="0.2">
      <c r="A745">
        <v>208248363</v>
      </c>
      <c r="B745" t="s">
        <v>537</v>
      </c>
      <c r="C745" t="s">
        <v>667</v>
      </c>
      <c r="E745" s="22">
        <v>0.4</v>
      </c>
      <c r="F745" t="s">
        <v>648</v>
      </c>
      <c r="G745" t="s">
        <v>649</v>
      </c>
      <c r="H745" t="s">
        <v>650</v>
      </c>
      <c r="I745" t="s">
        <v>651</v>
      </c>
      <c r="J745" t="s">
        <v>652</v>
      </c>
      <c r="K745" t="s">
        <v>48</v>
      </c>
      <c r="L745">
        <v>2016</v>
      </c>
      <c r="M745" t="s">
        <v>56</v>
      </c>
      <c r="N745" t="s">
        <v>55</v>
      </c>
      <c r="P745" s="6" t="s">
        <v>1417</v>
      </c>
    </row>
    <row r="746" spans="1:16" x14ac:dyDescent="0.2">
      <c r="A746">
        <v>277055951</v>
      </c>
      <c r="B746" t="s">
        <v>537</v>
      </c>
      <c r="C746" t="s">
        <v>667</v>
      </c>
      <c r="E746" s="22">
        <v>0</v>
      </c>
      <c r="F746" t="s">
        <v>648</v>
      </c>
      <c r="G746" t="s">
        <v>649</v>
      </c>
      <c r="H746" t="s">
        <v>650</v>
      </c>
      <c r="I746" t="s">
        <v>651</v>
      </c>
      <c r="J746" t="s">
        <v>652</v>
      </c>
      <c r="K746" t="s">
        <v>48</v>
      </c>
      <c r="L746">
        <v>2016</v>
      </c>
      <c r="M746" t="s">
        <v>56</v>
      </c>
      <c r="N746" t="s">
        <v>55</v>
      </c>
      <c r="P746" s="6" t="s">
        <v>1418</v>
      </c>
    </row>
    <row r="747" spans="1:16" x14ac:dyDescent="0.2">
      <c r="A747">
        <v>902907559</v>
      </c>
      <c r="B747" t="s">
        <v>537</v>
      </c>
      <c r="C747" t="s">
        <v>667</v>
      </c>
      <c r="E747" s="22">
        <v>0.12000000000000002</v>
      </c>
      <c r="F747" t="s">
        <v>648</v>
      </c>
      <c r="G747" t="s">
        <v>649</v>
      </c>
      <c r="H747" t="s">
        <v>650</v>
      </c>
      <c r="I747" t="s">
        <v>651</v>
      </c>
      <c r="J747" t="s">
        <v>652</v>
      </c>
      <c r="K747" t="s">
        <v>48</v>
      </c>
      <c r="L747">
        <v>2016</v>
      </c>
      <c r="M747" t="s">
        <v>56</v>
      </c>
      <c r="N747" t="s">
        <v>55</v>
      </c>
      <c r="P747" s="6" t="s">
        <v>1419</v>
      </c>
    </row>
    <row r="748" spans="1:16" x14ac:dyDescent="0.2">
      <c r="A748">
        <v>528297980</v>
      </c>
      <c r="B748" t="s">
        <v>537</v>
      </c>
      <c r="C748" t="s">
        <v>667</v>
      </c>
      <c r="E748" s="22">
        <v>0.62</v>
      </c>
      <c r="F748" t="s">
        <v>648</v>
      </c>
      <c r="G748" t="s">
        <v>649</v>
      </c>
      <c r="H748" t="s">
        <v>650</v>
      </c>
      <c r="I748" t="s">
        <v>651</v>
      </c>
      <c r="J748" t="s">
        <v>652</v>
      </c>
      <c r="K748" t="s">
        <v>48</v>
      </c>
      <c r="L748">
        <v>2016</v>
      </c>
      <c r="M748" t="s">
        <v>56</v>
      </c>
      <c r="N748" t="s">
        <v>55</v>
      </c>
      <c r="P748" s="6" t="s">
        <v>1420</v>
      </c>
    </row>
    <row r="749" spans="1:16" x14ac:dyDescent="0.2">
      <c r="A749">
        <v>444882790</v>
      </c>
      <c r="B749" t="s">
        <v>537</v>
      </c>
      <c r="C749" t="s">
        <v>667</v>
      </c>
      <c r="E749" s="22">
        <v>0.14000000000000001</v>
      </c>
      <c r="F749" t="s">
        <v>648</v>
      </c>
      <c r="G749" t="s">
        <v>649</v>
      </c>
      <c r="H749" t="s">
        <v>650</v>
      </c>
      <c r="I749" t="s">
        <v>651</v>
      </c>
      <c r="J749" t="s">
        <v>652</v>
      </c>
      <c r="K749" t="s">
        <v>48</v>
      </c>
      <c r="L749">
        <v>2016</v>
      </c>
      <c r="M749" t="s">
        <v>56</v>
      </c>
      <c r="N749" t="s">
        <v>55</v>
      </c>
      <c r="P749" s="6" t="s">
        <v>1421</v>
      </c>
    </row>
    <row r="750" spans="1:16" x14ac:dyDescent="0.2">
      <c r="A750">
        <v>112085131</v>
      </c>
      <c r="B750" t="s">
        <v>537</v>
      </c>
      <c r="C750" t="s">
        <v>667</v>
      </c>
      <c r="E750" s="22">
        <v>0.18</v>
      </c>
      <c r="F750" t="s">
        <v>648</v>
      </c>
      <c r="G750" t="s">
        <v>649</v>
      </c>
      <c r="H750" t="s">
        <v>650</v>
      </c>
      <c r="I750" t="s">
        <v>651</v>
      </c>
      <c r="J750" t="s">
        <v>652</v>
      </c>
      <c r="K750" t="s">
        <v>48</v>
      </c>
      <c r="L750">
        <v>2016</v>
      </c>
      <c r="M750" t="s">
        <v>56</v>
      </c>
      <c r="N750" t="s">
        <v>55</v>
      </c>
      <c r="P750" s="6" t="s">
        <v>1422</v>
      </c>
    </row>
    <row r="751" spans="1:16" x14ac:dyDescent="0.2">
      <c r="A751">
        <v>588642518</v>
      </c>
      <c r="B751" t="s">
        <v>537</v>
      </c>
      <c r="C751" t="s">
        <v>667</v>
      </c>
      <c r="E751" s="22">
        <v>0.68</v>
      </c>
      <c r="F751" t="s">
        <v>648</v>
      </c>
      <c r="G751" t="s">
        <v>649</v>
      </c>
      <c r="H751" t="s">
        <v>650</v>
      </c>
      <c r="I751" t="s">
        <v>651</v>
      </c>
      <c r="J751" t="s">
        <v>652</v>
      </c>
      <c r="K751" t="s">
        <v>48</v>
      </c>
      <c r="L751">
        <v>2016</v>
      </c>
      <c r="M751" t="s">
        <v>56</v>
      </c>
      <c r="N751" t="s">
        <v>55</v>
      </c>
      <c r="P751" s="6" t="s">
        <v>1423</v>
      </c>
    </row>
    <row r="752" spans="1:16" x14ac:dyDescent="0.2">
      <c r="A752">
        <v>414520736</v>
      </c>
      <c r="B752" t="s">
        <v>537</v>
      </c>
      <c r="C752" t="s">
        <v>667</v>
      </c>
      <c r="E752" s="22">
        <v>0.14000000000000001</v>
      </c>
      <c r="F752" t="s">
        <v>648</v>
      </c>
      <c r="G752" t="s">
        <v>649</v>
      </c>
      <c r="H752" t="s">
        <v>650</v>
      </c>
      <c r="I752" t="s">
        <v>651</v>
      </c>
      <c r="J752" t="s">
        <v>652</v>
      </c>
      <c r="K752" t="s">
        <v>48</v>
      </c>
      <c r="L752">
        <v>2016</v>
      </c>
      <c r="M752" t="s">
        <v>56</v>
      </c>
      <c r="N752" t="s">
        <v>55</v>
      </c>
      <c r="P752" s="6" t="s">
        <v>1424</v>
      </c>
    </row>
    <row r="753" spans="1:16" x14ac:dyDescent="0.2">
      <c r="A753">
        <v>356558346</v>
      </c>
      <c r="B753" t="s">
        <v>537</v>
      </c>
      <c r="C753" t="s">
        <v>667</v>
      </c>
      <c r="E753" s="22">
        <v>0.04</v>
      </c>
      <c r="F753" t="s">
        <v>648</v>
      </c>
      <c r="G753" t="s">
        <v>649</v>
      </c>
      <c r="H753" t="s">
        <v>650</v>
      </c>
      <c r="I753" t="s">
        <v>651</v>
      </c>
      <c r="J753" t="s">
        <v>652</v>
      </c>
      <c r="K753" t="s">
        <v>48</v>
      </c>
      <c r="L753">
        <v>2016</v>
      </c>
      <c r="M753" t="s">
        <v>56</v>
      </c>
      <c r="N753" t="s">
        <v>55</v>
      </c>
      <c r="P753" s="6" t="s">
        <v>1425</v>
      </c>
    </row>
    <row r="754" spans="1:16" x14ac:dyDescent="0.2">
      <c r="A754">
        <v>970698993</v>
      </c>
      <c r="B754" t="s">
        <v>537</v>
      </c>
      <c r="C754" t="s">
        <v>667</v>
      </c>
      <c r="E754" s="22">
        <v>0.08</v>
      </c>
      <c r="F754" t="s">
        <v>648</v>
      </c>
      <c r="G754" t="s">
        <v>649</v>
      </c>
      <c r="H754" t="s">
        <v>650</v>
      </c>
      <c r="I754" t="s">
        <v>651</v>
      </c>
      <c r="J754" t="s">
        <v>652</v>
      </c>
      <c r="K754" t="s">
        <v>48</v>
      </c>
      <c r="L754">
        <v>2016</v>
      </c>
      <c r="M754" t="s">
        <v>56</v>
      </c>
      <c r="N754" t="s">
        <v>55</v>
      </c>
      <c r="P754" s="6" t="s">
        <v>1426</v>
      </c>
    </row>
    <row r="755" spans="1:16" x14ac:dyDescent="0.2">
      <c r="A755">
        <v>633537205</v>
      </c>
      <c r="B755" t="s">
        <v>537</v>
      </c>
      <c r="C755" t="s">
        <v>667</v>
      </c>
      <c r="E755" s="22">
        <v>0.1</v>
      </c>
      <c r="F755" t="s">
        <v>648</v>
      </c>
      <c r="G755" t="s">
        <v>649</v>
      </c>
      <c r="H755" t="s">
        <v>650</v>
      </c>
      <c r="I755" t="s">
        <v>651</v>
      </c>
      <c r="J755" t="s">
        <v>652</v>
      </c>
      <c r="K755" t="s">
        <v>48</v>
      </c>
      <c r="L755">
        <v>2016</v>
      </c>
      <c r="M755" t="s">
        <v>56</v>
      </c>
      <c r="N755" t="s">
        <v>55</v>
      </c>
      <c r="P755" s="6" t="s">
        <v>1427</v>
      </c>
    </row>
    <row r="756" spans="1:16" x14ac:dyDescent="0.2">
      <c r="A756">
        <v>534292868</v>
      </c>
      <c r="B756" t="s">
        <v>537</v>
      </c>
      <c r="C756" t="s">
        <v>667</v>
      </c>
      <c r="E756" s="22">
        <v>0.08</v>
      </c>
      <c r="F756" t="s">
        <v>648</v>
      </c>
      <c r="G756" t="s">
        <v>649</v>
      </c>
      <c r="H756" t="s">
        <v>650</v>
      </c>
      <c r="I756" t="s">
        <v>651</v>
      </c>
      <c r="J756" t="s">
        <v>652</v>
      </c>
      <c r="K756" t="s">
        <v>48</v>
      </c>
      <c r="L756">
        <v>2016</v>
      </c>
      <c r="M756" t="s">
        <v>56</v>
      </c>
      <c r="N756" t="s">
        <v>55</v>
      </c>
      <c r="P756" s="6" t="s">
        <v>1428</v>
      </c>
    </row>
    <row r="757" spans="1:16" x14ac:dyDescent="0.2">
      <c r="A757">
        <v>816787809</v>
      </c>
      <c r="B757" t="s">
        <v>537</v>
      </c>
      <c r="C757" t="s">
        <v>667</v>
      </c>
      <c r="E757" s="22">
        <v>0.64</v>
      </c>
      <c r="F757" t="s">
        <v>648</v>
      </c>
      <c r="G757" t="s">
        <v>649</v>
      </c>
      <c r="H757" t="s">
        <v>650</v>
      </c>
      <c r="I757" t="s">
        <v>651</v>
      </c>
      <c r="J757" t="s">
        <v>652</v>
      </c>
      <c r="K757" t="s">
        <v>48</v>
      </c>
      <c r="L757">
        <v>2016</v>
      </c>
      <c r="M757" t="s">
        <v>56</v>
      </c>
      <c r="N757" t="s">
        <v>55</v>
      </c>
      <c r="P757" s="6" t="s">
        <v>1429</v>
      </c>
    </row>
    <row r="758" spans="1:16" x14ac:dyDescent="0.2">
      <c r="A758">
        <v>220052551</v>
      </c>
      <c r="B758" t="s">
        <v>537</v>
      </c>
      <c r="C758" t="s">
        <v>667</v>
      </c>
      <c r="E758" s="22">
        <v>0.14000000000000001</v>
      </c>
      <c r="F758" t="s">
        <v>648</v>
      </c>
      <c r="G758" t="s">
        <v>649</v>
      </c>
      <c r="H758" t="s">
        <v>650</v>
      </c>
      <c r="I758" t="s">
        <v>651</v>
      </c>
      <c r="J758" t="s">
        <v>652</v>
      </c>
      <c r="K758" t="s">
        <v>48</v>
      </c>
      <c r="L758">
        <v>2016</v>
      </c>
      <c r="M758" t="s">
        <v>56</v>
      </c>
      <c r="N758" t="s">
        <v>55</v>
      </c>
      <c r="P758" s="6" t="s">
        <v>1430</v>
      </c>
    </row>
    <row r="759" spans="1:16" x14ac:dyDescent="0.2">
      <c r="A759">
        <v>858571733</v>
      </c>
      <c r="B759" t="s">
        <v>537</v>
      </c>
      <c r="C759" t="s">
        <v>667</v>
      </c>
      <c r="E759" s="22">
        <v>0.16</v>
      </c>
      <c r="F759" t="s">
        <v>648</v>
      </c>
      <c r="G759" t="s">
        <v>649</v>
      </c>
      <c r="H759" t="s">
        <v>650</v>
      </c>
      <c r="I759" t="s">
        <v>651</v>
      </c>
      <c r="J759" t="s">
        <v>652</v>
      </c>
      <c r="K759" t="s">
        <v>48</v>
      </c>
      <c r="L759">
        <v>2016</v>
      </c>
      <c r="M759" t="s">
        <v>56</v>
      </c>
      <c r="N759" t="s">
        <v>55</v>
      </c>
      <c r="P759" s="6" t="s">
        <v>1431</v>
      </c>
    </row>
    <row r="760" spans="1:16" x14ac:dyDescent="0.2">
      <c r="A760">
        <v>363436152</v>
      </c>
      <c r="B760" t="s">
        <v>537</v>
      </c>
      <c r="C760" t="s">
        <v>667</v>
      </c>
      <c r="E760" s="22">
        <v>0.46000000000000008</v>
      </c>
      <c r="F760" t="s">
        <v>648</v>
      </c>
      <c r="G760" t="s">
        <v>649</v>
      </c>
      <c r="H760" t="s">
        <v>650</v>
      </c>
      <c r="I760" t="s">
        <v>651</v>
      </c>
      <c r="J760" t="s">
        <v>652</v>
      </c>
      <c r="K760" t="s">
        <v>48</v>
      </c>
      <c r="L760">
        <v>2016</v>
      </c>
      <c r="M760" t="s">
        <v>56</v>
      </c>
      <c r="N760" t="s">
        <v>55</v>
      </c>
      <c r="P760" s="6" t="s">
        <v>1432</v>
      </c>
    </row>
    <row r="761" spans="1:16" x14ac:dyDescent="0.2">
      <c r="A761">
        <v>393495083</v>
      </c>
      <c r="B761" t="s">
        <v>537</v>
      </c>
      <c r="C761" t="s">
        <v>667</v>
      </c>
      <c r="E761" s="22">
        <v>0.18</v>
      </c>
      <c r="F761" t="s">
        <v>648</v>
      </c>
      <c r="G761" t="s">
        <v>649</v>
      </c>
      <c r="H761" t="s">
        <v>650</v>
      </c>
      <c r="I761" t="s">
        <v>651</v>
      </c>
      <c r="J761" t="s">
        <v>652</v>
      </c>
      <c r="K761" t="s">
        <v>48</v>
      </c>
      <c r="L761">
        <v>2016</v>
      </c>
      <c r="M761" t="s">
        <v>56</v>
      </c>
      <c r="N761" t="s">
        <v>55</v>
      </c>
      <c r="P761" s="6" t="s">
        <v>1433</v>
      </c>
    </row>
    <row r="762" spans="1:16" x14ac:dyDescent="0.2">
      <c r="A762">
        <v>769635714</v>
      </c>
      <c r="B762" t="s">
        <v>537</v>
      </c>
      <c r="C762" t="s">
        <v>667</v>
      </c>
      <c r="E762" s="22">
        <v>0.64</v>
      </c>
      <c r="F762" t="s">
        <v>648</v>
      </c>
      <c r="G762" t="s">
        <v>649</v>
      </c>
      <c r="H762" t="s">
        <v>650</v>
      </c>
      <c r="I762" t="s">
        <v>651</v>
      </c>
      <c r="J762" t="s">
        <v>652</v>
      </c>
      <c r="K762" t="s">
        <v>48</v>
      </c>
      <c r="L762">
        <v>2016</v>
      </c>
      <c r="M762" t="s">
        <v>56</v>
      </c>
      <c r="N762" t="s">
        <v>55</v>
      </c>
      <c r="P762" s="6" t="s">
        <v>1434</v>
      </c>
    </row>
    <row r="763" spans="1:16" x14ac:dyDescent="0.2">
      <c r="A763">
        <v>373048949</v>
      </c>
      <c r="B763" t="s">
        <v>537</v>
      </c>
      <c r="C763" t="s">
        <v>667</v>
      </c>
      <c r="E763" s="22">
        <v>0.3</v>
      </c>
      <c r="F763" t="s">
        <v>648</v>
      </c>
      <c r="G763" t="s">
        <v>649</v>
      </c>
      <c r="H763" t="s">
        <v>650</v>
      </c>
      <c r="I763" t="s">
        <v>651</v>
      </c>
      <c r="J763" t="s">
        <v>652</v>
      </c>
      <c r="K763" t="s">
        <v>48</v>
      </c>
      <c r="L763">
        <v>2016</v>
      </c>
      <c r="M763" t="s">
        <v>56</v>
      </c>
      <c r="N763" t="s">
        <v>55</v>
      </c>
      <c r="P763" s="6" t="s">
        <v>1435</v>
      </c>
    </row>
    <row r="764" spans="1:16" x14ac:dyDescent="0.2">
      <c r="A764">
        <v>357061292</v>
      </c>
      <c r="B764" t="s">
        <v>537</v>
      </c>
      <c r="C764" t="s">
        <v>667</v>
      </c>
      <c r="E764" s="22">
        <v>0.5</v>
      </c>
      <c r="F764" t="s">
        <v>648</v>
      </c>
      <c r="G764" t="s">
        <v>649</v>
      </c>
      <c r="H764" t="s">
        <v>650</v>
      </c>
      <c r="I764" t="s">
        <v>651</v>
      </c>
      <c r="J764" t="s">
        <v>652</v>
      </c>
      <c r="K764" t="s">
        <v>48</v>
      </c>
      <c r="L764">
        <v>2016</v>
      </c>
      <c r="M764" t="s">
        <v>56</v>
      </c>
      <c r="N764" t="s">
        <v>55</v>
      </c>
      <c r="P764" s="6" t="s">
        <v>1436</v>
      </c>
    </row>
    <row r="765" spans="1:16" x14ac:dyDescent="0.2">
      <c r="A765">
        <v>837310284</v>
      </c>
      <c r="B765" t="s">
        <v>537</v>
      </c>
      <c r="C765" t="s">
        <v>667</v>
      </c>
      <c r="E765" s="22">
        <v>0.36</v>
      </c>
      <c r="F765" t="s">
        <v>648</v>
      </c>
      <c r="G765" t="s">
        <v>649</v>
      </c>
      <c r="H765" t="s">
        <v>650</v>
      </c>
      <c r="I765" t="s">
        <v>651</v>
      </c>
      <c r="J765" t="s">
        <v>652</v>
      </c>
      <c r="K765" t="s">
        <v>48</v>
      </c>
      <c r="L765">
        <v>2016</v>
      </c>
      <c r="M765" t="s">
        <v>56</v>
      </c>
      <c r="N765" t="s">
        <v>55</v>
      </c>
      <c r="P765" s="6" t="s">
        <v>1437</v>
      </c>
    </row>
    <row r="766" spans="1:16" x14ac:dyDescent="0.2">
      <c r="A766">
        <v>815854164</v>
      </c>
      <c r="B766" t="s">
        <v>537</v>
      </c>
      <c r="C766" t="s">
        <v>667</v>
      </c>
      <c r="E766" s="22">
        <v>0.62</v>
      </c>
      <c r="F766" t="s">
        <v>648</v>
      </c>
      <c r="G766" t="s">
        <v>649</v>
      </c>
      <c r="H766" t="s">
        <v>650</v>
      </c>
      <c r="I766" t="s">
        <v>651</v>
      </c>
      <c r="J766" t="s">
        <v>652</v>
      </c>
      <c r="K766" t="s">
        <v>48</v>
      </c>
      <c r="L766">
        <v>2016</v>
      </c>
      <c r="M766" t="s">
        <v>56</v>
      </c>
      <c r="N766" t="s">
        <v>55</v>
      </c>
      <c r="P766" s="6" t="s">
        <v>1438</v>
      </c>
    </row>
    <row r="767" spans="1:16" x14ac:dyDescent="0.2">
      <c r="A767">
        <v>315378369</v>
      </c>
      <c r="B767" t="s">
        <v>537</v>
      </c>
      <c r="C767" t="s">
        <v>667</v>
      </c>
      <c r="E767" s="22">
        <v>0.36</v>
      </c>
      <c r="F767" t="s">
        <v>648</v>
      </c>
      <c r="G767" t="s">
        <v>649</v>
      </c>
      <c r="H767" t="s">
        <v>650</v>
      </c>
      <c r="I767" t="s">
        <v>651</v>
      </c>
      <c r="J767" t="s">
        <v>652</v>
      </c>
      <c r="K767" t="s">
        <v>48</v>
      </c>
      <c r="L767">
        <v>2016</v>
      </c>
      <c r="M767" t="s">
        <v>56</v>
      </c>
      <c r="N767" t="s">
        <v>55</v>
      </c>
      <c r="P767" s="6" t="s">
        <v>1439</v>
      </c>
    </row>
    <row r="768" spans="1:16" x14ac:dyDescent="0.2">
      <c r="A768">
        <v>564410540</v>
      </c>
      <c r="B768" t="s">
        <v>537</v>
      </c>
      <c r="C768" t="s">
        <v>667</v>
      </c>
      <c r="E768" s="22">
        <v>0.72</v>
      </c>
      <c r="F768" t="s">
        <v>648</v>
      </c>
      <c r="G768" t="s">
        <v>649</v>
      </c>
      <c r="H768" t="s">
        <v>650</v>
      </c>
      <c r="I768" t="s">
        <v>651</v>
      </c>
      <c r="J768" t="s">
        <v>652</v>
      </c>
      <c r="K768" t="s">
        <v>48</v>
      </c>
      <c r="L768">
        <v>2016</v>
      </c>
      <c r="M768" t="s">
        <v>56</v>
      </c>
      <c r="N768" t="s">
        <v>55</v>
      </c>
      <c r="P768" s="6" t="s">
        <v>1440</v>
      </c>
    </row>
    <row r="769" spans="1:16" x14ac:dyDescent="0.2">
      <c r="A769">
        <v>126539887</v>
      </c>
      <c r="B769" t="s">
        <v>537</v>
      </c>
      <c r="C769" t="s">
        <v>667</v>
      </c>
      <c r="E769" s="22">
        <v>0.62</v>
      </c>
      <c r="F769" t="s">
        <v>648</v>
      </c>
      <c r="G769" t="s">
        <v>649</v>
      </c>
      <c r="H769" t="s">
        <v>650</v>
      </c>
      <c r="I769" t="s">
        <v>651</v>
      </c>
      <c r="J769" t="s">
        <v>652</v>
      </c>
      <c r="K769" t="s">
        <v>48</v>
      </c>
      <c r="L769">
        <v>2016</v>
      </c>
      <c r="M769" t="s">
        <v>56</v>
      </c>
      <c r="N769" t="s">
        <v>55</v>
      </c>
      <c r="P769" s="6" t="s">
        <v>1441</v>
      </c>
    </row>
    <row r="770" spans="1:16" x14ac:dyDescent="0.2">
      <c r="A770">
        <v>563937624</v>
      </c>
      <c r="B770" t="s">
        <v>537</v>
      </c>
      <c r="C770" t="s">
        <v>667</v>
      </c>
      <c r="E770" s="22">
        <v>0.2</v>
      </c>
      <c r="F770" t="s">
        <v>648</v>
      </c>
      <c r="G770" t="s">
        <v>649</v>
      </c>
      <c r="H770" t="s">
        <v>650</v>
      </c>
      <c r="I770" t="s">
        <v>651</v>
      </c>
      <c r="J770" t="s">
        <v>652</v>
      </c>
      <c r="K770" t="s">
        <v>48</v>
      </c>
      <c r="L770">
        <v>2016</v>
      </c>
      <c r="M770" t="s">
        <v>56</v>
      </c>
      <c r="N770" t="s">
        <v>55</v>
      </c>
      <c r="P770" s="6" t="s">
        <v>1442</v>
      </c>
    </row>
    <row r="771" spans="1:16" x14ac:dyDescent="0.2">
      <c r="A771">
        <v>684291511</v>
      </c>
      <c r="B771" t="s">
        <v>537</v>
      </c>
      <c r="C771" t="s">
        <v>667</v>
      </c>
      <c r="E771" s="22">
        <v>0.52</v>
      </c>
      <c r="F771" t="s">
        <v>648</v>
      </c>
      <c r="G771" t="s">
        <v>649</v>
      </c>
      <c r="H771" t="s">
        <v>650</v>
      </c>
      <c r="I771" t="s">
        <v>651</v>
      </c>
      <c r="J771" t="s">
        <v>652</v>
      </c>
      <c r="K771" t="s">
        <v>48</v>
      </c>
      <c r="L771">
        <v>2016</v>
      </c>
      <c r="M771" t="s">
        <v>56</v>
      </c>
      <c r="N771" t="s">
        <v>55</v>
      </c>
      <c r="P771" s="6" t="s">
        <v>1443</v>
      </c>
    </row>
    <row r="772" spans="1:16" x14ac:dyDescent="0.2">
      <c r="A772">
        <v>598829620</v>
      </c>
      <c r="B772" t="s">
        <v>537</v>
      </c>
      <c r="C772" t="s">
        <v>668</v>
      </c>
      <c r="E772" s="22">
        <v>0.23333333333333334</v>
      </c>
      <c r="F772" t="s">
        <v>648</v>
      </c>
      <c r="G772" t="s">
        <v>649</v>
      </c>
      <c r="H772" t="s">
        <v>650</v>
      </c>
      <c r="I772" t="s">
        <v>651</v>
      </c>
      <c r="J772" t="s">
        <v>652</v>
      </c>
      <c r="K772" t="s">
        <v>48</v>
      </c>
      <c r="L772">
        <v>2016</v>
      </c>
      <c r="M772" t="s">
        <v>56</v>
      </c>
      <c r="N772" t="s">
        <v>55</v>
      </c>
      <c r="P772" s="6" t="s">
        <v>1444</v>
      </c>
    </row>
    <row r="773" spans="1:16" x14ac:dyDescent="0.2">
      <c r="A773">
        <v>684014860</v>
      </c>
      <c r="B773" t="s">
        <v>537</v>
      </c>
      <c r="C773" t="s">
        <v>668</v>
      </c>
      <c r="E773" s="22">
        <v>0.56000000000000005</v>
      </c>
      <c r="F773" t="s">
        <v>648</v>
      </c>
      <c r="G773" t="s">
        <v>649</v>
      </c>
      <c r="H773" t="s">
        <v>650</v>
      </c>
      <c r="I773" t="s">
        <v>651</v>
      </c>
      <c r="J773" t="s">
        <v>652</v>
      </c>
      <c r="K773" t="s">
        <v>48</v>
      </c>
      <c r="L773">
        <v>2016</v>
      </c>
      <c r="M773" t="s">
        <v>56</v>
      </c>
      <c r="N773" t="s">
        <v>55</v>
      </c>
      <c r="P773" s="6" t="s">
        <v>1445</v>
      </c>
    </row>
    <row r="774" spans="1:16" x14ac:dyDescent="0.2">
      <c r="A774">
        <v>843228181</v>
      </c>
      <c r="B774" t="s">
        <v>537</v>
      </c>
      <c r="C774" t="s">
        <v>668</v>
      </c>
      <c r="E774" s="22">
        <v>0.54666666666666675</v>
      </c>
      <c r="F774" t="s">
        <v>648</v>
      </c>
      <c r="G774" t="s">
        <v>649</v>
      </c>
      <c r="H774" t="s">
        <v>650</v>
      </c>
      <c r="I774" t="s">
        <v>651</v>
      </c>
      <c r="J774" t="s">
        <v>652</v>
      </c>
      <c r="K774" t="s">
        <v>48</v>
      </c>
      <c r="L774">
        <v>2016</v>
      </c>
      <c r="M774" t="s">
        <v>56</v>
      </c>
      <c r="N774" t="s">
        <v>55</v>
      </c>
      <c r="P774" s="6" t="s">
        <v>1446</v>
      </c>
    </row>
    <row r="775" spans="1:16" x14ac:dyDescent="0.2">
      <c r="A775">
        <v>820549378</v>
      </c>
      <c r="B775" t="s">
        <v>537</v>
      </c>
      <c r="C775" t="s">
        <v>668</v>
      </c>
      <c r="E775" s="22">
        <v>0.3</v>
      </c>
      <c r="F775" t="s">
        <v>648</v>
      </c>
      <c r="G775" t="s">
        <v>649</v>
      </c>
      <c r="H775" t="s">
        <v>650</v>
      </c>
      <c r="I775" t="s">
        <v>651</v>
      </c>
      <c r="J775" t="s">
        <v>652</v>
      </c>
      <c r="K775" t="s">
        <v>48</v>
      </c>
      <c r="L775">
        <v>2016</v>
      </c>
      <c r="M775" t="s">
        <v>56</v>
      </c>
      <c r="N775" t="s">
        <v>55</v>
      </c>
      <c r="P775" s="6" t="s">
        <v>1447</v>
      </c>
    </row>
    <row r="776" spans="1:16" x14ac:dyDescent="0.2">
      <c r="A776">
        <v>533572169</v>
      </c>
      <c r="B776" t="s">
        <v>537</v>
      </c>
      <c r="C776" t="s">
        <v>668</v>
      </c>
      <c r="E776" s="22">
        <v>0.21333333333333335</v>
      </c>
      <c r="F776" t="s">
        <v>648</v>
      </c>
      <c r="G776" t="s">
        <v>649</v>
      </c>
      <c r="H776" t="s">
        <v>650</v>
      </c>
      <c r="I776" t="s">
        <v>651</v>
      </c>
      <c r="J776" t="s">
        <v>652</v>
      </c>
      <c r="K776" t="s">
        <v>48</v>
      </c>
      <c r="L776">
        <v>2016</v>
      </c>
      <c r="M776" t="s">
        <v>56</v>
      </c>
      <c r="N776" t="s">
        <v>55</v>
      </c>
      <c r="P776" s="6" t="s">
        <v>1448</v>
      </c>
    </row>
    <row r="777" spans="1:16" x14ac:dyDescent="0.2">
      <c r="A777">
        <v>975325712</v>
      </c>
      <c r="B777" t="s">
        <v>537</v>
      </c>
      <c r="C777" t="s">
        <v>668</v>
      </c>
      <c r="E777" s="22">
        <v>0.38666666666666666</v>
      </c>
      <c r="F777" t="s">
        <v>648</v>
      </c>
      <c r="G777" t="s">
        <v>649</v>
      </c>
      <c r="H777" t="s">
        <v>650</v>
      </c>
      <c r="I777" t="s">
        <v>651</v>
      </c>
      <c r="J777" t="s">
        <v>652</v>
      </c>
      <c r="K777" t="s">
        <v>48</v>
      </c>
      <c r="L777">
        <v>2016</v>
      </c>
      <c r="M777" t="s">
        <v>56</v>
      </c>
      <c r="N777" t="s">
        <v>55</v>
      </c>
      <c r="P777" s="6" t="s">
        <v>1449</v>
      </c>
    </row>
    <row r="778" spans="1:16" x14ac:dyDescent="0.2">
      <c r="A778">
        <v>310082419</v>
      </c>
      <c r="B778" t="s">
        <v>537</v>
      </c>
      <c r="C778" t="s">
        <v>668</v>
      </c>
      <c r="E778" s="22">
        <v>0.1</v>
      </c>
      <c r="F778" t="s">
        <v>648</v>
      </c>
      <c r="G778" t="s">
        <v>649</v>
      </c>
      <c r="H778" t="s">
        <v>650</v>
      </c>
      <c r="I778" t="s">
        <v>651</v>
      </c>
      <c r="J778" t="s">
        <v>652</v>
      </c>
      <c r="K778" t="s">
        <v>48</v>
      </c>
      <c r="L778">
        <v>2016</v>
      </c>
      <c r="M778" t="s">
        <v>56</v>
      </c>
      <c r="N778" t="s">
        <v>55</v>
      </c>
      <c r="P778" s="6" t="s">
        <v>1450</v>
      </c>
    </row>
    <row r="779" spans="1:16" x14ac:dyDescent="0.2">
      <c r="A779">
        <v>242132470</v>
      </c>
      <c r="B779" t="s">
        <v>537</v>
      </c>
      <c r="C779" t="s">
        <v>668</v>
      </c>
      <c r="E779" s="22">
        <v>0.26</v>
      </c>
      <c r="F779" t="s">
        <v>648</v>
      </c>
      <c r="G779" t="s">
        <v>649</v>
      </c>
      <c r="H779" t="s">
        <v>650</v>
      </c>
      <c r="I779" t="s">
        <v>651</v>
      </c>
      <c r="J779" t="s">
        <v>652</v>
      </c>
      <c r="K779" t="s">
        <v>48</v>
      </c>
      <c r="L779">
        <v>2016</v>
      </c>
      <c r="M779" t="s">
        <v>56</v>
      </c>
      <c r="N779" t="s">
        <v>55</v>
      </c>
      <c r="P779" s="6" t="s">
        <v>1451</v>
      </c>
    </row>
    <row r="780" spans="1:16" x14ac:dyDescent="0.2">
      <c r="A780">
        <v>208248363</v>
      </c>
      <c r="B780" t="s">
        <v>537</v>
      </c>
      <c r="C780" t="s">
        <v>668</v>
      </c>
      <c r="E780" s="22">
        <v>0.47333333333333338</v>
      </c>
      <c r="F780" t="s">
        <v>648</v>
      </c>
      <c r="G780" t="s">
        <v>649</v>
      </c>
      <c r="H780" t="s">
        <v>650</v>
      </c>
      <c r="I780" t="s">
        <v>651</v>
      </c>
      <c r="J780" t="s">
        <v>652</v>
      </c>
      <c r="K780" t="s">
        <v>48</v>
      </c>
      <c r="L780">
        <v>2016</v>
      </c>
      <c r="M780" t="s">
        <v>56</v>
      </c>
      <c r="N780" t="s">
        <v>55</v>
      </c>
      <c r="P780" s="6" t="s">
        <v>1452</v>
      </c>
    </row>
    <row r="781" spans="1:16" x14ac:dyDescent="0.2">
      <c r="A781">
        <v>277055951</v>
      </c>
      <c r="B781" t="s">
        <v>537</v>
      </c>
      <c r="C781" t="s">
        <v>668</v>
      </c>
      <c r="E781" s="22">
        <v>0.17333333333333334</v>
      </c>
      <c r="F781" t="s">
        <v>648</v>
      </c>
      <c r="G781" t="s">
        <v>649</v>
      </c>
      <c r="H781" t="s">
        <v>650</v>
      </c>
      <c r="I781" t="s">
        <v>651</v>
      </c>
      <c r="J781" t="s">
        <v>652</v>
      </c>
      <c r="K781" t="s">
        <v>48</v>
      </c>
      <c r="L781">
        <v>2016</v>
      </c>
      <c r="M781" t="s">
        <v>56</v>
      </c>
      <c r="N781" t="s">
        <v>55</v>
      </c>
      <c r="P781" s="6" t="s">
        <v>1453</v>
      </c>
    </row>
    <row r="782" spans="1:16" x14ac:dyDescent="0.2">
      <c r="A782">
        <v>902907559</v>
      </c>
      <c r="B782" t="s">
        <v>537</v>
      </c>
      <c r="C782" t="s">
        <v>668</v>
      </c>
      <c r="E782" s="22">
        <v>0.61333333333333329</v>
      </c>
      <c r="F782" t="s">
        <v>648</v>
      </c>
      <c r="G782" t="s">
        <v>649</v>
      </c>
      <c r="H782" t="s">
        <v>650</v>
      </c>
      <c r="I782" t="s">
        <v>651</v>
      </c>
      <c r="J782" t="s">
        <v>652</v>
      </c>
      <c r="K782" t="s">
        <v>48</v>
      </c>
      <c r="L782">
        <v>2016</v>
      </c>
      <c r="M782" t="s">
        <v>56</v>
      </c>
      <c r="N782" t="s">
        <v>55</v>
      </c>
      <c r="P782" s="6" t="s">
        <v>1454</v>
      </c>
    </row>
    <row r="783" spans="1:16" x14ac:dyDescent="0.2">
      <c r="A783">
        <v>528297980</v>
      </c>
      <c r="B783" t="s">
        <v>537</v>
      </c>
      <c r="C783" t="s">
        <v>668</v>
      </c>
      <c r="E783" s="22">
        <v>0.59333333333333338</v>
      </c>
      <c r="F783" t="s">
        <v>648</v>
      </c>
      <c r="G783" t="s">
        <v>649</v>
      </c>
      <c r="H783" t="s">
        <v>650</v>
      </c>
      <c r="I783" t="s">
        <v>651</v>
      </c>
      <c r="J783" t="s">
        <v>652</v>
      </c>
      <c r="K783" t="s">
        <v>48</v>
      </c>
      <c r="L783">
        <v>2016</v>
      </c>
      <c r="M783" t="s">
        <v>56</v>
      </c>
      <c r="N783" t="s">
        <v>55</v>
      </c>
      <c r="P783" s="6" t="s">
        <v>1455</v>
      </c>
    </row>
    <row r="784" spans="1:16" x14ac:dyDescent="0.2">
      <c r="A784">
        <v>444882790</v>
      </c>
      <c r="B784" t="s">
        <v>537</v>
      </c>
      <c r="C784" t="s">
        <v>668</v>
      </c>
      <c r="E784" s="22">
        <v>8.0000000000000016E-2</v>
      </c>
      <c r="F784" t="s">
        <v>648</v>
      </c>
      <c r="G784" t="s">
        <v>649</v>
      </c>
      <c r="H784" t="s">
        <v>650</v>
      </c>
      <c r="I784" t="s">
        <v>651</v>
      </c>
      <c r="J784" t="s">
        <v>652</v>
      </c>
      <c r="K784" t="s">
        <v>48</v>
      </c>
      <c r="L784">
        <v>2016</v>
      </c>
      <c r="M784" t="s">
        <v>56</v>
      </c>
      <c r="N784" t="s">
        <v>55</v>
      </c>
      <c r="P784" s="6" t="s">
        <v>1456</v>
      </c>
    </row>
    <row r="785" spans="1:16" x14ac:dyDescent="0.2">
      <c r="A785">
        <v>112085131</v>
      </c>
      <c r="B785" t="s">
        <v>537</v>
      </c>
      <c r="C785" t="s">
        <v>668</v>
      </c>
      <c r="E785" s="22">
        <v>0.14666666666666667</v>
      </c>
      <c r="F785" t="s">
        <v>648</v>
      </c>
      <c r="G785" t="s">
        <v>649</v>
      </c>
      <c r="H785" t="s">
        <v>650</v>
      </c>
      <c r="I785" t="s">
        <v>651</v>
      </c>
      <c r="J785" t="s">
        <v>652</v>
      </c>
      <c r="K785" t="s">
        <v>48</v>
      </c>
      <c r="L785">
        <v>2016</v>
      </c>
      <c r="M785" t="s">
        <v>56</v>
      </c>
      <c r="N785" t="s">
        <v>55</v>
      </c>
      <c r="P785" s="6" t="s">
        <v>1457</v>
      </c>
    </row>
    <row r="786" spans="1:16" x14ac:dyDescent="0.2">
      <c r="A786">
        <v>588642518</v>
      </c>
      <c r="B786" t="s">
        <v>537</v>
      </c>
      <c r="C786" t="s">
        <v>668</v>
      </c>
      <c r="E786" s="22">
        <v>0.85333333333333339</v>
      </c>
      <c r="F786" t="s">
        <v>648</v>
      </c>
      <c r="G786" t="s">
        <v>649</v>
      </c>
      <c r="H786" t="s">
        <v>650</v>
      </c>
      <c r="I786" t="s">
        <v>651</v>
      </c>
      <c r="J786" t="s">
        <v>652</v>
      </c>
      <c r="K786" t="s">
        <v>48</v>
      </c>
      <c r="L786">
        <v>2016</v>
      </c>
      <c r="M786" t="s">
        <v>56</v>
      </c>
      <c r="N786" t="s">
        <v>55</v>
      </c>
      <c r="P786" s="6" t="s">
        <v>1458</v>
      </c>
    </row>
    <row r="787" spans="1:16" x14ac:dyDescent="0.2">
      <c r="A787">
        <v>414520736</v>
      </c>
      <c r="B787" t="s">
        <v>537</v>
      </c>
      <c r="C787" t="s">
        <v>668</v>
      </c>
      <c r="E787" s="22">
        <v>0.58666666666666656</v>
      </c>
      <c r="F787" t="s">
        <v>648</v>
      </c>
      <c r="G787" t="s">
        <v>649</v>
      </c>
      <c r="H787" t="s">
        <v>650</v>
      </c>
      <c r="I787" t="s">
        <v>651</v>
      </c>
      <c r="J787" t="s">
        <v>652</v>
      </c>
      <c r="K787" t="s">
        <v>48</v>
      </c>
      <c r="L787">
        <v>2016</v>
      </c>
      <c r="M787" t="s">
        <v>56</v>
      </c>
      <c r="N787" t="s">
        <v>55</v>
      </c>
      <c r="P787" s="6" t="s">
        <v>1459</v>
      </c>
    </row>
    <row r="788" spans="1:16" x14ac:dyDescent="0.2">
      <c r="A788">
        <v>356558346</v>
      </c>
      <c r="B788" t="s">
        <v>537</v>
      </c>
      <c r="C788" t="s">
        <v>668</v>
      </c>
      <c r="E788" s="22">
        <v>0.3</v>
      </c>
      <c r="F788" t="s">
        <v>648</v>
      </c>
      <c r="G788" t="s">
        <v>649</v>
      </c>
      <c r="H788" t="s">
        <v>650</v>
      </c>
      <c r="I788" t="s">
        <v>651</v>
      </c>
      <c r="J788" t="s">
        <v>652</v>
      </c>
      <c r="K788" t="s">
        <v>48</v>
      </c>
      <c r="L788">
        <v>2016</v>
      </c>
      <c r="M788" t="s">
        <v>56</v>
      </c>
      <c r="N788" t="s">
        <v>55</v>
      </c>
      <c r="P788" s="6" t="s">
        <v>1460</v>
      </c>
    </row>
    <row r="789" spans="1:16" x14ac:dyDescent="0.2">
      <c r="A789">
        <v>970698993</v>
      </c>
      <c r="B789" t="s">
        <v>537</v>
      </c>
      <c r="C789" t="s">
        <v>668</v>
      </c>
      <c r="E789" s="22">
        <v>0.66</v>
      </c>
      <c r="F789" t="s">
        <v>648</v>
      </c>
      <c r="G789" t="s">
        <v>649</v>
      </c>
      <c r="H789" t="s">
        <v>650</v>
      </c>
      <c r="I789" t="s">
        <v>651</v>
      </c>
      <c r="J789" t="s">
        <v>652</v>
      </c>
      <c r="K789" t="s">
        <v>48</v>
      </c>
      <c r="L789">
        <v>2016</v>
      </c>
      <c r="M789" t="s">
        <v>56</v>
      </c>
      <c r="N789" t="s">
        <v>55</v>
      </c>
      <c r="P789" s="6" t="s">
        <v>1461</v>
      </c>
    </row>
    <row r="790" spans="1:16" x14ac:dyDescent="0.2">
      <c r="A790">
        <v>633537205</v>
      </c>
      <c r="B790" t="s">
        <v>537</v>
      </c>
      <c r="C790" t="s">
        <v>668</v>
      </c>
      <c r="E790" s="22">
        <v>0.27333333333333332</v>
      </c>
      <c r="F790" t="s">
        <v>648</v>
      </c>
      <c r="G790" t="s">
        <v>649</v>
      </c>
      <c r="H790" t="s">
        <v>650</v>
      </c>
      <c r="I790" t="s">
        <v>651</v>
      </c>
      <c r="J790" t="s">
        <v>652</v>
      </c>
      <c r="K790" t="s">
        <v>48</v>
      </c>
      <c r="L790">
        <v>2016</v>
      </c>
      <c r="M790" t="s">
        <v>56</v>
      </c>
      <c r="N790" t="s">
        <v>55</v>
      </c>
      <c r="P790" s="6" t="s">
        <v>1462</v>
      </c>
    </row>
    <row r="791" spans="1:16" x14ac:dyDescent="0.2">
      <c r="A791">
        <v>534292868</v>
      </c>
      <c r="B791" t="s">
        <v>537</v>
      </c>
      <c r="C791" t="s">
        <v>668</v>
      </c>
      <c r="E791" s="22">
        <v>0.62666666666666671</v>
      </c>
      <c r="F791" t="s">
        <v>648</v>
      </c>
      <c r="G791" t="s">
        <v>649</v>
      </c>
      <c r="H791" t="s">
        <v>650</v>
      </c>
      <c r="I791" t="s">
        <v>651</v>
      </c>
      <c r="J791" t="s">
        <v>652</v>
      </c>
      <c r="K791" t="s">
        <v>48</v>
      </c>
      <c r="L791">
        <v>2016</v>
      </c>
      <c r="M791" t="s">
        <v>56</v>
      </c>
      <c r="N791" t="s">
        <v>55</v>
      </c>
      <c r="P791" s="6" t="s">
        <v>1463</v>
      </c>
    </row>
    <row r="792" spans="1:16" x14ac:dyDescent="0.2">
      <c r="A792">
        <v>816787809</v>
      </c>
      <c r="B792" t="s">
        <v>537</v>
      </c>
      <c r="C792" t="s">
        <v>668</v>
      </c>
      <c r="E792" s="22">
        <v>0.52666666666666673</v>
      </c>
      <c r="F792" t="s">
        <v>648</v>
      </c>
      <c r="G792" t="s">
        <v>649</v>
      </c>
      <c r="H792" t="s">
        <v>650</v>
      </c>
      <c r="I792" t="s">
        <v>651</v>
      </c>
      <c r="J792" t="s">
        <v>652</v>
      </c>
      <c r="K792" t="s">
        <v>48</v>
      </c>
      <c r="L792">
        <v>2016</v>
      </c>
      <c r="M792" t="s">
        <v>56</v>
      </c>
      <c r="N792" t="s">
        <v>55</v>
      </c>
      <c r="P792" s="6" t="s">
        <v>1464</v>
      </c>
    </row>
    <row r="793" spans="1:16" x14ac:dyDescent="0.2">
      <c r="A793">
        <v>220052551</v>
      </c>
      <c r="B793" t="s">
        <v>537</v>
      </c>
      <c r="C793" t="s">
        <v>668</v>
      </c>
      <c r="E793" s="22">
        <v>0.53999999999999992</v>
      </c>
      <c r="F793" t="s">
        <v>648</v>
      </c>
      <c r="G793" t="s">
        <v>649</v>
      </c>
      <c r="H793" t="s">
        <v>650</v>
      </c>
      <c r="I793" t="s">
        <v>651</v>
      </c>
      <c r="J793" t="s">
        <v>652</v>
      </c>
      <c r="K793" t="s">
        <v>48</v>
      </c>
      <c r="L793">
        <v>2016</v>
      </c>
      <c r="M793" t="s">
        <v>56</v>
      </c>
      <c r="N793" t="s">
        <v>55</v>
      </c>
      <c r="P793" s="6" t="s">
        <v>1465</v>
      </c>
    </row>
    <row r="794" spans="1:16" x14ac:dyDescent="0.2">
      <c r="A794">
        <v>858571733</v>
      </c>
      <c r="B794" t="s">
        <v>537</v>
      </c>
      <c r="C794" t="s">
        <v>668</v>
      </c>
      <c r="E794" s="22">
        <v>0.18000000000000002</v>
      </c>
      <c r="F794" t="s">
        <v>648</v>
      </c>
      <c r="G794" t="s">
        <v>649</v>
      </c>
      <c r="H794" t="s">
        <v>650</v>
      </c>
      <c r="I794" t="s">
        <v>651</v>
      </c>
      <c r="J794" t="s">
        <v>652</v>
      </c>
      <c r="K794" t="s">
        <v>48</v>
      </c>
      <c r="L794">
        <v>2016</v>
      </c>
      <c r="M794" t="s">
        <v>56</v>
      </c>
      <c r="N794" t="s">
        <v>55</v>
      </c>
      <c r="P794" s="6" t="s">
        <v>1466</v>
      </c>
    </row>
    <row r="795" spans="1:16" x14ac:dyDescent="0.2">
      <c r="A795">
        <v>363436152</v>
      </c>
      <c r="B795" t="s">
        <v>537</v>
      </c>
      <c r="C795" t="s">
        <v>668</v>
      </c>
      <c r="E795" s="22">
        <v>0.29333333333333333</v>
      </c>
      <c r="F795" t="s">
        <v>648</v>
      </c>
      <c r="G795" t="s">
        <v>649</v>
      </c>
      <c r="H795" t="s">
        <v>650</v>
      </c>
      <c r="I795" t="s">
        <v>651</v>
      </c>
      <c r="J795" t="s">
        <v>652</v>
      </c>
      <c r="K795" t="s">
        <v>48</v>
      </c>
      <c r="L795">
        <v>2016</v>
      </c>
      <c r="M795" t="s">
        <v>56</v>
      </c>
      <c r="N795" t="s">
        <v>55</v>
      </c>
      <c r="P795" s="6" t="s">
        <v>1467</v>
      </c>
    </row>
    <row r="796" spans="1:16" x14ac:dyDescent="0.2">
      <c r="A796">
        <v>393495083</v>
      </c>
      <c r="B796" t="s">
        <v>537</v>
      </c>
      <c r="C796" t="s">
        <v>668</v>
      </c>
      <c r="E796" s="22">
        <v>0.66666666666666663</v>
      </c>
      <c r="F796" t="s">
        <v>648</v>
      </c>
      <c r="G796" t="s">
        <v>649</v>
      </c>
      <c r="H796" t="s">
        <v>650</v>
      </c>
      <c r="I796" t="s">
        <v>651</v>
      </c>
      <c r="J796" t="s">
        <v>652</v>
      </c>
      <c r="K796" t="s">
        <v>48</v>
      </c>
      <c r="L796">
        <v>2016</v>
      </c>
      <c r="M796" t="s">
        <v>56</v>
      </c>
      <c r="N796" t="s">
        <v>55</v>
      </c>
      <c r="P796" s="6" t="s">
        <v>1468</v>
      </c>
    </row>
    <row r="797" spans="1:16" x14ac:dyDescent="0.2">
      <c r="A797">
        <v>769635714</v>
      </c>
      <c r="B797" t="s">
        <v>537</v>
      </c>
      <c r="C797" t="s">
        <v>668</v>
      </c>
      <c r="E797" s="22">
        <v>0.8</v>
      </c>
      <c r="F797" t="s">
        <v>648</v>
      </c>
      <c r="G797" t="s">
        <v>649</v>
      </c>
      <c r="H797" t="s">
        <v>650</v>
      </c>
      <c r="I797" t="s">
        <v>651</v>
      </c>
      <c r="J797" t="s">
        <v>652</v>
      </c>
      <c r="K797" t="s">
        <v>48</v>
      </c>
      <c r="L797">
        <v>2016</v>
      </c>
      <c r="M797" t="s">
        <v>56</v>
      </c>
      <c r="N797" t="s">
        <v>55</v>
      </c>
      <c r="P797" s="6" t="s">
        <v>1469</v>
      </c>
    </row>
    <row r="798" spans="1:16" x14ac:dyDescent="0.2">
      <c r="A798">
        <v>373048949</v>
      </c>
      <c r="B798" t="s">
        <v>537</v>
      </c>
      <c r="C798" t="s">
        <v>668</v>
      </c>
      <c r="E798" s="22">
        <v>0.6333333333333333</v>
      </c>
      <c r="F798" t="s">
        <v>648</v>
      </c>
      <c r="G798" t="s">
        <v>649</v>
      </c>
      <c r="H798" t="s">
        <v>650</v>
      </c>
      <c r="I798" t="s">
        <v>651</v>
      </c>
      <c r="J798" t="s">
        <v>652</v>
      </c>
      <c r="K798" t="s">
        <v>48</v>
      </c>
      <c r="L798">
        <v>2016</v>
      </c>
      <c r="M798" t="s">
        <v>56</v>
      </c>
      <c r="N798" t="s">
        <v>55</v>
      </c>
      <c r="P798" s="6" t="s">
        <v>1470</v>
      </c>
    </row>
    <row r="799" spans="1:16" x14ac:dyDescent="0.2">
      <c r="A799">
        <v>357061292</v>
      </c>
      <c r="B799" t="s">
        <v>537</v>
      </c>
      <c r="C799" t="s">
        <v>668</v>
      </c>
      <c r="E799" s="22">
        <v>0.23333333333333334</v>
      </c>
      <c r="F799" t="s">
        <v>648</v>
      </c>
      <c r="G799" t="s">
        <v>649</v>
      </c>
      <c r="H799" t="s">
        <v>650</v>
      </c>
      <c r="I799" t="s">
        <v>651</v>
      </c>
      <c r="J799" t="s">
        <v>652</v>
      </c>
      <c r="K799" t="s">
        <v>48</v>
      </c>
      <c r="L799">
        <v>2016</v>
      </c>
      <c r="M799" t="s">
        <v>56</v>
      </c>
      <c r="N799" t="s">
        <v>55</v>
      </c>
      <c r="P799" s="6" t="s">
        <v>1471</v>
      </c>
    </row>
    <row r="800" spans="1:16" x14ac:dyDescent="0.2">
      <c r="A800">
        <v>837310284</v>
      </c>
      <c r="B800" t="s">
        <v>537</v>
      </c>
      <c r="C800" t="s">
        <v>668</v>
      </c>
      <c r="E800" s="22">
        <v>0.42</v>
      </c>
      <c r="F800" t="s">
        <v>648</v>
      </c>
      <c r="G800" t="s">
        <v>649</v>
      </c>
      <c r="H800" t="s">
        <v>650</v>
      </c>
      <c r="I800" t="s">
        <v>651</v>
      </c>
      <c r="J800" t="s">
        <v>652</v>
      </c>
      <c r="K800" t="s">
        <v>48</v>
      </c>
      <c r="L800">
        <v>2016</v>
      </c>
      <c r="M800" t="s">
        <v>56</v>
      </c>
      <c r="N800" t="s">
        <v>55</v>
      </c>
      <c r="P800" s="6" t="s">
        <v>1472</v>
      </c>
    </row>
    <row r="801" spans="1:16" x14ac:dyDescent="0.2">
      <c r="A801">
        <v>815854164</v>
      </c>
      <c r="B801" t="s">
        <v>537</v>
      </c>
      <c r="C801" t="s">
        <v>668</v>
      </c>
      <c r="E801" s="22">
        <v>0.8</v>
      </c>
      <c r="F801" t="s">
        <v>648</v>
      </c>
      <c r="G801" t="s">
        <v>649</v>
      </c>
      <c r="H801" t="s">
        <v>650</v>
      </c>
      <c r="I801" t="s">
        <v>651</v>
      </c>
      <c r="J801" t="s">
        <v>652</v>
      </c>
      <c r="K801" t="s">
        <v>48</v>
      </c>
      <c r="L801">
        <v>2016</v>
      </c>
      <c r="M801" t="s">
        <v>56</v>
      </c>
      <c r="N801" t="s">
        <v>55</v>
      </c>
      <c r="P801" s="6" t="s">
        <v>1473</v>
      </c>
    </row>
    <row r="802" spans="1:16" x14ac:dyDescent="0.2">
      <c r="A802">
        <v>315378369</v>
      </c>
      <c r="B802" t="s">
        <v>537</v>
      </c>
      <c r="C802" t="s">
        <v>668</v>
      </c>
      <c r="E802" s="22">
        <v>0.2</v>
      </c>
      <c r="F802" t="s">
        <v>648</v>
      </c>
      <c r="G802" t="s">
        <v>649</v>
      </c>
      <c r="H802" t="s">
        <v>650</v>
      </c>
      <c r="I802" t="s">
        <v>651</v>
      </c>
      <c r="J802" t="s">
        <v>652</v>
      </c>
      <c r="K802" t="s">
        <v>48</v>
      </c>
      <c r="L802">
        <v>2016</v>
      </c>
      <c r="M802" t="s">
        <v>56</v>
      </c>
      <c r="N802" t="s">
        <v>55</v>
      </c>
      <c r="P802" s="6" t="s">
        <v>1474</v>
      </c>
    </row>
    <row r="803" spans="1:16" x14ac:dyDescent="0.2">
      <c r="A803">
        <v>564410540</v>
      </c>
      <c r="B803" t="s">
        <v>537</v>
      </c>
      <c r="C803" t="s">
        <v>668</v>
      </c>
      <c r="E803" s="22">
        <v>0.38</v>
      </c>
      <c r="F803" t="s">
        <v>648</v>
      </c>
      <c r="G803" t="s">
        <v>649</v>
      </c>
      <c r="H803" t="s">
        <v>650</v>
      </c>
      <c r="I803" t="s">
        <v>651</v>
      </c>
      <c r="J803" t="s">
        <v>652</v>
      </c>
      <c r="K803" t="s">
        <v>48</v>
      </c>
      <c r="L803">
        <v>2016</v>
      </c>
      <c r="M803" t="s">
        <v>56</v>
      </c>
      <c r="N803" t="s">
        <v>55</v>
      </c>
      <c r="P803" s="6" t="s">
        <v>1475</v>
      </c>
    </row>
    <row r="804" spans="1:16" x14ac:dyDescent="0.2">
      <c r="A804">
        <v>126539887</v>
      </c>
      <c r="B804" t="s">
        <v>537</v>
      </c>
      <c r="C804" t="s">
        <v>668</v>
      </c>
      <c r="E804" s="22">
        <v>0.25333333333333335</v>
      </c>
      <c r="F804" t="s">
        <v>648</v>
      </c>
      <c r="G804" t="s">
        <v>649</v>
      </c>
      <c r="H804" t="s">
        <v>650</v>
      </c>
      <c r="I804" t="s">
        <v>651</v>
      </c>
      <c r="J804" t="s">
        <v>652</v>
      </c>
      <c r="K804" t="s">
        <v>48</v>
      </c>
      <c r="L804">
        <v>2016</v>
      </c>
      <c r="M804" t="s">
        <v>56</v>
      </c>
      <c r="N804" t="s">
        <v>55</v>
      </c>
      <c r="P804" s="6" t="s">
        <v>1476</v>
      </c>
    </row>
    <row r="805" spans="1:16" x14ac:dyDescent="0.2">
      <c r="A805">
        <v>563937624</v>
      </c>
      <c r="B805" t="s">
        <v>537</v>
      </c>
      <c r="C805" t="s">
        <v>668</v>
      </c>
      <c r="E805" s="22">
        <v>0.1</v>
      </c>
      <c r="F805" t="s">
        <v>648</v>
      </c>
      <c r="G805" t="s">
        <v>649</v>
      </c>
      <c r="H805" t="s">
        <v>650</v>
      </c>
      <c r="I805" t="s">
        <v>651</v>
      </c>
      <c r="J805" t="s">
        <v>652</v>
      </c>
      <c r="K805" t="s">
        <v>48</v>
      </c>
      <c r="L805">
        <v>2016</v>
      </c>
      <c r="M805" t="s">
        <v>56</v>
      </c>
      <c r="N805" t="s">
        <v>55</v>
      </c>
      <c r="P805" s="6" t="s">
        <v>1477</v>
      </c>
    </row>
    <row r="806" spans="1:16" x14ac:dyDescent="0.2">
      <c r="A806">
        <v>684291511</v>
      </c>
      <c r="B806" t="s">
        <v>537</v>
      </c>
      <c r="C806" t="s">
        <v>668</v>
      </c>
      <c r="E806" s="22">
        <v>0.42000000000000004</v>
      </c>
      <c r="F806" t="s">
        <v>648</v>
      </c>
      <c r="G806" t="s">
        <v>649</v>
      </c>
      <c r="H806" t="s">
        <v>650</v>
      </c>
      <c r="I806" t="s">
        <v>651</v>
      </c>
      <c r="J806" t="s">
        <v>652</v>
      </c>
      <c r="K806" t="s">
        <v>48</v>
      </c>
      <c r="L806">
        <v>2016</v>
      </c>
      <c r="M806" t="s">
        <v>56</v>
      </c>
      <c r="N806" t="s">
        <v>55</v>
      </c>
      <c r="P806" s="6" t="s">
        <v>1478</v>
      </c>
    </row>
    <row r="807" spans="1:16" x14ac:dyDescent="0.2">
      <c r="A807">
        <v>598829620</v>
      </c>
      <c r="B807" t="s">
        <v>537</v>
      </c>
      <c r="C807" t="s">
        <v>669</v>
      </c>
      <c r="E807" s="22">
        <v>0.4</v>
      </c>
      <c r="F807" t="s">
        <v>648</v>
      </c>
      <c r="G807" t="s">
        <v>649</v>
      </c>
      <c r="H807" t="s">
        <v>650</v>
      </c>
      <c r="I807" t="s">
        <v>651</v>
      </c>
      <c r="J807" t="s">
        <v>652</v>
      </c>
      <c r="K807" t="s">
        <v>48</v>
      </c>
      <c r="L807">
        <v>2016</v>
      </c>
      <c r="M807" t="s">
        <v>56</v>
      </c>
      <c r="N807" t="s">
        <v>55</v>
      </c>
      <c r="P807" s="6" t="s">
        <v>1479</v>
      </c>
    </row>
    <row r="808" spans="1:16" x14ac:dyDescent="0.2">
      <c r="A808">
        <v>684014860</v>
      </c>
      <c r="B808" t="s">
        <v>537</v>
      </c>
      <c r="C808" t="s">
        <v>669</v>
      </c>
      <c r="E808" s="22">
        <v>0.56000000000000005</v>
      </c>
      <c r="F808" t="s">
        <v>648</v>
      </c>
      <c r="G808" t="s">
        <v>649</v>
      </c>
      <c r="H808" t="s">
        <v>650</v>
      </c>
      <c r="I808" t="s">
        <v>651</v>
      </c>
      <c r="J808" t="s">
        <v>652</v>
      </c>
      <c r="K808" t="s">
        <v>48</v>
      </c>
      <c r="L808">
        <v>2016</v>
      </c>
      <c r="M808" t="s">
        <v>56</v>
      </c>
      <c r="N808" t="s">
        <v>55</v>
      </c>
      <c r="P808" s="6" t="s">
        <v>1480</v>
      </c>
    </row>
    <row r="809" spans="1:16" x14ac:dyDescent="0.2">
      <c r="A809">
        <v>843228181</v>
      </c>
      <c r="B809" t="s">
        <v>537</v>
      </c>
      <c r="C809" t="s">
        <v>669</v>
      </c>
      <c r="E809" s="22">
        <v>0.42000000000000004</v>
      </c>
      <c r="F809" t="s">
        <v>648</v>
      </c>
      <c r="G809" t="s">
        <v>649</v>
      </c>
      <c r="H809" t="s">
        <v>650</v>
      </c>
      <c r="I809" t="s">
        <v>651</v>
      </c>
      <c r="J809" t="s">
        <v>652</v>
      </c>
      <c r="K809" t="s">
        <v>48</v>
      </c>
      <c r="L809">
        <v>2016</v>
      </c>
      <c r="M809" t="s">
        <v>56</v>
      </c>
      <c r="N809" t="s">
        <v>55</v>
      </c>
      <c r="P809" s="6" t="s">
        <v>1481</v>
      </c>
    </row>
    <row r="810" spans="1:16" x14ac:dyDescent="0.2">
      <c r="A810">
        <v>820549378</v>
      </c>
      <c r="B810" t="s">
        <v>537</v>
      </c>
      <c r="C810" t="s">
        <v>669</v>
      </c>
      <c r="E810" s="22">
        <v>0.26</v>
      </c>
      <c r="F810" t="s">
        <v>648</v>
      </c>
      <c r="G810" t="s">
        <v>649</v>
      </c>
      <c r="H810" t="s">
        <v>650</v>
      </c>
      <c r="I810" t="s">
        <v>651</v>
      </c>
      <c r="J810" t="s">
        <v>652</v>
      </c>
      <c r="K810" t="s">
        <v>48</v>
      </c>
      <c r="L810">
        <v>2016</v>
      </c>
      <c r="M810" t="s">
        <v>56</v>
      </c>
      <c r="N810" t="s">
        <v>55</v>
      </c>
      <c r="P810" s="6" t="s">
        <v>1482</v>
      </c>
    </row>
    <row r="811" spans="1:16" x14ac:dyDescent="0.2">
      <c r="A811">
        <v>533572169</v>
      </c>
      <c r="B811" t="s">
        <v>537</v>
      </c>
      <c r="C811" t="s">
        <v>669</v>
      </c>
      <c r="E811" s="22">
        <v>0.04</v>
      </c>
      <c r="F811" t="s">
        <v>648</v>
      </c>
      <c r="G811" t="s">
        <v>649</v>
      </c>
      <c r="H811" t="s">
        <v>650</v>
      </c>
      <c r="I811" t="s">
        <v>651</v>
      </c>
      <c r="J811" t="s">
        <v>652</v>
      </c>
      <c r="K811" t="s">
        <v>48</v>
      </c>
      <c r="L811">
        <v>2016</v>
      </c>
      <c r="M811" t="s">
        <v>56</v>
      </c>
      <c r="N811" t="s">
        <v>55</v>
      </c>
      <c r="P811" s="6" t="s">
        <v>1483</v>
      </c>
    </row>
    <row r="812" spans="1:16" x14ac:dyDescent="0.2">
      <c r="A812">
        <v>975325712</v>
      </c>
      <c r="B812" t="s">
        <v>537</v>
      </c>
      <c r="C812" t="s">
        <v>669</v>
      </c>
      <c r="E812" s="22">
        <v>0.36</v>
      </c>
      <c r="F812" t="s">
        <v>648</v>
      </c>
      <c r="G812" t="s">
        <v>649</v>
      </c>
      <c r="H812" t="s">
        <v>650</v>
      </c>
      <c r="I812" t="s">
        <v>651</v>
      </c>
      <c r="J812" t="s">
        <v>652</v>
      </c>
      <c r="K812" t="s">
        <v>48</v>
      </c>
      <c r="L812">
        <v>2016</v>
      </c>
      <c r="M812" t="s">
        <v>56</v>
      </c>
      <c r="N812" t="s">
        <v>55</v>
      </c>
      <c r="P812" s="6" t="s">
        <v>1484</v>
      </c>
    </row>
    <row r="813" spans="1:16" x14ac:dyDescent="0.2">
      <c r="A813">
        <v>310082419</v>
      </c>
      <c r="B813" t="s">
        <v>537</v>
      </c>
      <c r="C813" t="s">
        <v>669</v>
      </c>
      <c r="E813" s="22">
        <v>0.22000000000000003</v>
      </c>
      <c r="F813" t="s">
        <v>648</v>
      </c>
      <c r="G813" t="s">
        <v>649</v>
      </c>
      <c r="H813" t="s">
        <v>650</v>
      </c>
      <c r="I813" t="s">
        <v>651</v>
      </c>
      <c r="J813" t="s">
        <v>652</v>
      </c>
      <c r="K813" t="s">
        <v>48</v>
      </c>
      <c r="L813">
        <v>2016</v>
      </c>
      <c r="M813" t="s">
        <v>56</v>
      </c>
      <c r="N813" t="s">
        <v>55</v>
      </c>
      <c r="P813" s="6" t="s">
        <v>1485</v>
      </c>
    </row>
    <row r="814" spans="1:16" x14ac:dyDescent="0.2">
      <c r="A814">
        <v>242132470</v>
      </c>
      <c r="B814" t="s">
        <v>537</v>
      </c>
      <c r="C814" t="s">
        <v>669</v>
      </c>
      <c r="E814" s="22">
        <v>0.56000000000000005</v>
      </c>
      <c r="F814" t="s">
        <v>648</v>
      </c>
      <c r="G814" t="s">
        <v>649</v>
      </c>
      <c r="H814" t="s">
        <v>650</v>
      </c>
      <c r="I814" t="s">
        <v>651</v>
      </c>
      <c r="J814" t="s">
        <v>652</v>
      </c>
      <c r="K814" t="s">
        <v>48</v>
      </c>
      <c r="L814">
        <v>2016</v>
      </c>
      <c r="M814" t="s">
        <v>56</v>
      </c>
      <c r="N814" t="s">
        <v>55</v>
      </c>
      <c r="P814" s="6" t="s">
        <v>1486</v>
      </c>
    </row>
    <row r="815" spans="1:16" x14ac:dyDescent="0.2">
      <c r="A815">
        <v>208248363</v>
      </c>
      <c r="B815" t="s">
        <v>537</v>
      </c>
      <c r="C815" t="s">
        <v>669</v>
      </c>
      <c r="E815" s="22">
        <v>0.4</v>
      </c>
      <c r="F815" t="s">
        <v>648</v>
      </c>
      <c r="G815" t="s">
        <v>649</v>
      </c>
      <c r="H815" t="s">
        <v>650</v>
      </c>
      <c r="I815" t="s">
        <v>651</v>
      </c>
      <c r="J815" t="s">
        <v>652</v>
      </c>
      <c r="K815" t="s">
        <v>48</v>
      </c>
      <c r="L815">
        <v>2016</v>
      </c>
      <c r="M815" t="s">
        <v>56</v>
      </c>
      <c r="N815" t="s">
        <v>55</v>
      </c>
      <c r="P815" s="6" t="s">
        <v>1487</v>
      </c>
    </row>
    <row r="816" spans="1:16" x14ac:dyDescent="0.2">
      <c r="A816">
        <v>277055951</v>
      </c>
      <c r="B816" t="s">
        <v>537</v>
      </c>
      <c r="C816" t="s">
        <v>669</v>
      </c>
      <c r="E816" s="22">
        <v>0</v>
      </c>
      <c r="F816" t="s">
        <v>648</v>
      </c>
      <c r="G816" t="s">
        <v>649</v>
      </c>
      <c r="H816" t="s">
        <v>650</v>
      </c>
      <c r="I816" t="s">
        <v>651</v>
      </c>
      <c r="J816" t="s">
        <v>652</v>
      </c>
      <c r="K816" t="s">
        <v>48</v>
      </c>
      <c r="L816">
        <v>2016</v>
      </c>
      <c r="M816" t="s">
        <v>56</v>
      </c>
      <c r="N816" t="s">
        <v>55</v>
      </c>
      <c r="P816" s="6" t="s">
        <v>1488</v>
      </c>
    </row>
    <row r="817" spans="1:16" x14ac:dyDescent="0.2">
      <c r="A817">
        <v>902907559</v>
      </c>
      <c r="B817" t="s">
        <v>537</v>
      </c>
      <c r="C817" t="s">
        <v>669</v>
      </c>
      <c r="E817" s="22">
        <v>0.12000000000000002</v>
      </c>
      <c r="F817" t="s">
        <v>648</v>
      </c>
      <c r="G817" t="s">
        <v>649</v>
      </c>
      <c r="H817" t="s">
        <v>650</v>
      </c>
      <c r="I817" t="s">
        <v>651</v>
      </c>
      <c r="J817" t="s">
        <v>652</v>
      </c>
      <c r="K817" t="s">
        <v>48</v>
      </c>
      <c r="L817">
        <v>2016</v>
      </c>
      <c r="M817" t="s">
        <v>56</v>
      </c>
      <c r="N817" t="s">
        <v>55</v>
      </c>
      <c r="P817" s="6" t="s">
        <v>1489</v>
      </c>
    </row>
    <row r="818" spans="1:16" x14ac:dyDescent="0.2">
      <c r="A818">
        <v>528297980</v>
      </c>
      <c r="B818" t="s">
        <v>537</v>
      </c>
      <c r="C818" t="s">
        <v>669</v>
      </c>
      <c r="E818" s="22">
        <v>0.62</v>
      </c>
      <c r="F818" t="s">
        <v>648</v>
      </c>
      <c r="G818" t="s">
        <v>649</v>
      </c>
      <c r="H818" t="s">
        <v>650</v>
      </c>
      <c r="I818" t="s">
        <v>651</v>
      </c>
      <c r="J818" t="s">
        <v>652</v>
      </c>
      <c r="K818" t="s">
        <v>48</v>
      </c>
      <c r="L818">
        <v>2016</v>
      </c>
      <c r="M818" t="s">
        <v>56</v>
      </c>
      <c r="N818" t="s">
        <v>55</v>
      </c>
      <c r="P818" s="6" t="s">
        <v>1490</v>
      </c>
    </row>
    <row r="819" spans="1:16" x14ac:dyDescent="0.2">
      <c r="A819">
        <v>444882790</v>
      </c>
      <c r="B819" t="s">
        <v>537</v>
      </c>
      <c r="C819" t="s">
        <v>669</v>
      </c>
      <c r="E819" s="22">
        <v>0.14000000000000001</v>
      </c>
      <c r="F819" t="s">
        <v>648</v>
      </c>
      <c r="G819" t="s">
        <v>649</v>
      </c>
      <c r="H819" t="s">
        <v>650</v>
      </c>
      <c r="I819" t="s">
        <v>651</v>
      </c>
      <c r="J819" t="s">
        <v>652</v>
      </c>
      <c r="K819" t="s">
        <v>48</v>
      </c>
      <c r="L819">
        <v>2016</v>
      </c>
      <c r="M819" t="s">
        <v>56</v>
      </c>
      <c r="N819" t="s">
        <v>55</v>
      </c>
      <c r="P819" s="6" t="s">
        <v>1491</v>
      </c>
    </row>
    <row r="820" spans="1:16" x14ac:dyDescent="0.2">
      <c r="A820">
        <v>112085131</v>
      </c>
      <c r="B820" t="s">
        <v>537</v>
      </c>
      <c r="C820" t="s">
        <v>669</v>
      </c>
      <c r="E820" s="22">
        <v>0.18</v>
      </c>
      <c r="F820" t="s">
        <v>648</v>
      </c>
      <c r="G820" t="s">
        <v>649</v>
      </c>
      <c r="H820" t="s">
        <v>650</v>
      </c>
      <c r="I820" t="s">
        <v>651</v>
      </c>
      <c r="J820" t="s">
        <v>652</v>
      </c>
      <c r="K820" t="s">
        <v>48</v>
      </c>
      <c r="L820">
        <v>2016</v>
      </c>
      <c r="M820" t="s">
        <v>56</v>
      </c>
      <c r="N820" t="s">
        <v>55</v>
      </c>
      <c r="P820" s="6" t="s">
        <v>1492</v>
      </c>
    </row>
    <row r="821" spans="1:16" x14ac:dyDescent="0.2">
      <c r="A821">
        <v>588642518</v>
      </c>
      <c r="B821" t="s">
        <v>537</v>
      </c>
      <c r="C821" t="s">
        <v>669</v>
      </c>
      <c r="E821" s="22">
        <v>0.68</v>
      </c>
      <c r="F821" t="s">
        <v>648</v>
      </c>
      <c r="G821" t="s">
        <v>649</v>
      </c>
      <c r="H821" t="s">
        <v>650</v>
      </c>
      <c r="I821" t="s">
        <v>651</v>
      </c>
      <c r="J821" t="s">
        <v>652</v>
      </c>
      <c r="K821" t="s">
        <v>48</v>
      </c>
      <c r="L821">
        <v>2016</v>
      </c>
      <c r="M821" t="s">
        <v>56</v>
      </c>
      <c r="N821" t="s">
        <v>55</v>
      </c>
      <c r="P821" s="6" t="s">
        <v>1493</v>
      </c>
    </row>
    <row r="822" spans="1:16" x14ac:dyDescent="0.2">
      <c r="A822">
        <v>414520736</v>
      </c>
      <c r="B822" t="s">
        <v>537</v>
      </c>
      <c r="C822" t="s">
        <v>669</v>
      </c>
      <c r="E822" s="22">
        <v>0.14000000000000001</v>
      </c>
      <c r="F822" t="s">
        <v>648</v>
      </c>
      <c r="G822" t="s">
        <v>649</v>
      </c>
      <c r="H822" t="s">
        <v>650</v>
      </c>
      <c r="I822" t="s">
        <v>651</v>
      </c>
      <c r="J822" t="s">
        <v>652</v>
      </c>
      <c r="K822" t="s">
        <v>48</v>
      </c>
      <c r="L822">
        <v>2016</v>
      </c>
      <c r="M822" t="s">
        <v>56</v>
      </c>
      <c r="N822" t="s">
        <v>55</v>
      </c>
      <c r="P822" s="6" t="s">
        <v>1494</v>
      </c>
    </row>
    <row r="823" spans="1:16" x14ac:dyDescent="0.2">
      <c r="A823">
        <v>356558346</v>
      </c>
      <c r="B823" t="s">
        <v>537</v>
      </c>
      <c r="C823" t="s">
        <v>669</v>
      </c>
      <c r="E823" s="22">
        <v>0.04</v>
      </c>
      <c r="F823" t="s">
        <v>648</v>
      </c>
      <c r="G823" t="s">
        <v>649</v>
      </c>
      <c r="H823" t="s">
        <v>650</v>
      </c>
      <c r="I823" t="s">
        <v>651</v>
      </c>
      <c r="J823" t="s">
        <v>652</v>
      </c>
      <c r="K823" t="s">
        <v>48</v>
      </c>
      <c r="L823">
        <v>2016</v>
      </c>
      <c r="M823" t="s">
        <v>56</v>
      </c>
      <c r="N823" t="s">
        <v>55</v>
      </c>
      <c r="P823" s="6" t="s">
        <v>1495</v>
      </c>
    </row>
    <row r="824" spans="1:16" x14ac:dyDescent="0.2">
      <c r="A824">
        <v>970698993</v>
      </c>
      <c r="B824" t="s">
        <v>537</v>
      </c>
      <c r="C824" t="s">
        <v>669</v>
      </c>
      <c r="E824" s="22">
        <v>0.08</v>
      </c>
      <c r="F824" t="s">
        <v>648</v>
      </c>
      <c r="G824" t="s">
        <v>649</v>
      </c>
      <c r="H824" t="s">
        <v>650</v>
      </c>
      <c r="I824" t="s">
        <v>651</v>
      </c>
      <c r="J824" t="s">
        <v>652</v>
      </c>
      <c r="K824" t="s">
        <v>48</v>
      </c>
      <c r="L824">
        <v>2016</v>
      </c>
      <c r="M824" t="s">
        <v>56</v>
      </c>
      <c r="N824" t="s">
        <v>55</v>
      </c>
      <c r="P824" s="6" t="s">
        <v>1496</v>
      </c>
    </row>
    <row r="825" spans="1:16" x14ac:dyDescent="0.2">
      <c r="A825">
        <v>633537205</v>
      </c>
      <c r="B825" t="s">
        <v>537</v>
      </c>
      <c r="C825" t="s">
        <v>669</v>
      </c>
      <c r="E825" s="22">
        <v>0.1</v>
      </c>
      <c r="F825" t="s">
        <v>648</v>
      </c>
      <c r="G825" t="s">
        <v>649</v>
      </c>
      <c r="H825" t="s">
        <v>650</v>
      </c>
      <c r="I825" t="s">
        <v>651</v>
      </c>
      <c r="J825" t="s">
        <v>652</v>
      </c>
      <c r="K825" t="s">
        <v>48</v>
      </c>
      <c r="L825">
        <v>2016</v>
      </c>
      <c r="M825" t="s">
        <v>56</v>
      </c>
      <c r="N825" t="s">
        <v>55</v>
      </c>
      <c r="P825" s="6" t="s">
        <v>1497</v>
      </c>
    </row>
    <row r="826" spans="1:16" x14ac:dyDescent="0.2">
      <c r="A826">
        <v>534292868</v>
      </c>
      <c r="B826" t="s">
        <v>537</v>
      </c>
      <c r="C826" t="s">
        <v>669</v>
      </c>
      <c r="E826" s="22">
        <v>0.08</v>
      </c>
      <c r="F826" t="s">
        <v>648</v>
      </c>
      <c r="G826" t="s">
        <v>649</v>
      </c>
      <c r="H826" t="s">
        <v>650</v>
      </c>
      <c r="I826" t="s">
        <v>651</v>
      </c>
      <c r="J826" t="s">
        <v>652</v>
      </c>
      <c r="K826" t="s">
        <v>48</v>
      </c>
      <c r="L826">
        <v>2016</v>
      </c>
      <c r="M826" t="s">
        <v>56</v>
      </c>
      <c r="N826" t="s">
        <v>55</v>
      </c>
      <c r="P826" s="6" t="s">
        <v>1498</v>
      </c>
    </row>
    <row r="827" spans="1:16" x14ac:dyDescent="0.2">
      <c r="A827">
        <v>816787809</v>
      </c>
      <c r="B827" t="s">
        <v>537</v>
      </c>
      <c r="C827" t="s">
        <v>669</v>
      </c>
      <c r="E827" s="22">
        <v>0.64</v>
      </c>
      <c r="F827" t="s">
        <v>648</v>
      </c>
      <c r="G827" t="s">
        <v>649</v>
      </c>
      <c r="H827" t="s">
        <v>650</v>
      </c>
      <c r="I827" t="s">
        <v>651</v>
      </c>
      <c r="J827" t="s">
        <v>652</v>
      </c>
      <c r="K827" t="s">
        <v>48</v>
      </c>
      <c r="L827">
        <v>2016</v>
      </c>
      <c r="M827" t="s">
        <v>56</v>
      </c>
      <c r="N827" t="s">
        <v>55</v>
      </c>
      <c r="P827" s="6" t="s">
        <v>1499</v>
      </c>
    </row>
    <row r="828" spans="1:16" x14ac:dyDescent="0.2">
      <c r="A828">
        <v>220052551</v>
      </c>
      <c r="B828" t="s">
        <v>537</v>
      </c>
      <c r="C828" t="s">
        <v>669</v>
      </c>
      <c r="E828" s="22">
        <v>0.14000000000000001</v>
      </c>
      <c r="F828" t="s">
        <v>648</v>
      </c>
      <c r="G828" t="s">
        <v>649</v>
      </c>
      <c r="H828" t="s">
        <v>650</v>
      </c>
      <c r="I828" t="s">
        <v>651</v>
      </c>
      <c r="J828" t="s">
        <v>652</v>
      </c>
      <c r="K828" t="s">
        <v>48</v>
      </c>
      <c r="L828">
        <v>2016</v>
      </c>
      <c r="M828" t="s">
        <v>56</v>
      </c>
      <c r="N828" t="s">
        <v>55</v>
      </c>
      <c r="P828" s="6" t="s">
        <v>1500</v>
      </c>
    </row>
    <row r="829" spans="1:16" x14ac:dyDescent="0.2">
      <c r="A829">
        <v>858571733</v>
      </c>
      <c r="B829" t="s">
        <v>537</v>
      </c>
      <c r="C829" t="s">
        <v>669</v>
      </c>
      <c r="E829" s="22">
        <v>0.16</v>
      </c>
      <c r="F829" t="s">
        <v>648</v>
      </c>
      <c r="G829" t="s">
        <v>649</v>
      </c>
      <c r="H829" t="s">
        <v>650</v>
      </c>
      <c r="I829" t="s">
        <v>651</v>
      </c>
      <c r="J829" t="s">
        <v>652</v>
      </c>
      <c r="K829" t="s">
        <v>48</v>
      </c>
      <c r="L829">
        <v>2016</v>
      </c>
      <c r="M829" t="s">
        <v>56</v>
      </c>
      <c r="N829" t="s">
        <v>55</v>
      </c>
      <c r="P829" s="6" t="s">
        <v>1501</v>
      </c>
    </row>
    <row r="830" spans="1:16" x14ac:dyDescent="0.2">
      <c r="A830">
        <v>363436152</v>
      </c>
      <c r="B830" t="s">
        <v>537</v>
      </c>
      <c r="C830" t="s">
        <v>669</v>
      </c>
      <c r="E830" s="22">
        <v>0.46000000000000008</v>
      </c>
      <c r="F830" t="s">
        <v>648</v>
      </c>
      <c r="G830" t="s">
        <v>649</v>
      </c>
      <c r="H830" t="s">
        <v>650</v>
      </c>
      <c r="I830" t="s">
        <v>651</v>
      </c>
      <c r="J830" t="s">
        <v>652</v>
      </c>
      <c r="K830" t="s">
        <v>48</v>
      </c>
      <c r="L830">
        <v>2016</v>
      </c>
      <c r="M830" t="s">
        <v>56</v>
      </c>
      <c r="N830" t="s">
        <v>55</v>
      </c>
      <c r="P830" s="6" t="s">
        <v>1502</v>
      </c>
    </row>
    <row r="831" spans="1:16" x14ac:dyDescent="0.2">
      <c r="A831">
        <v>393495083</v>
      </c>
      <c r="B831" t="s">
        <v>537</v>
      </c>
      <c r="C831" t="s">
        <v>669</v>
      </c>
      <c r="E831" s="22">
        <v>0.18</v>
      </c>
      <c r="F831" t="s">
        <v>648</v>
      </c>
      <c r="G831" t="s">
        <v>649</v>
      </c>
      <c r="H831" t="s">
        <v>650</v>
      </c>
      <c r="I831" t="s">
        <v>651</v>
      </c>
      <c r="J831" t="s">
        <v>652</v>
      </c>
      <c r="K831" t="s">
        <v>48</v>
      </c>
      <c r="L831">
        <v>2016</v>
      </c>
      <c r="M831" t="s">
        <v>56</v>
      </c>
      <c r="N831" t="s">
        <v>55</v>
      </c>
      <c r="P831" s="6" t="s">
        <v>1503</v>
      </c>
    </row>
    <row r="832" spans="1:16" x14ac:dyDescent="0.2">
      <c r="A832">
        <v>769635714</v>
      </c>
      <c r="B832" t="s">
        <v>537</v>
      </c>
      <c r="C832" t="s">
        <v>669</v>
      </c>
      <c r="E832" s="22">
        <v>0.64</v>
      </c>
      <c r="F832" t="s">
        <v>648</v>
      </c>
      <c r="G832" t="s">
        <v>649</v>
      </c>
      <c r="H832" t="s">
        <v>650</v>
      </c>
      <c r="I832" t="s">
        <v>651</v>
      </c>
      <c r="J832" t="s">
        <v>652</v>
      </c>
      <c r="K832" t="s">
        <v>48</v>
      </c>
      <c r="L832">
        <v>2016</v>
      </c>
      <c r="M832" t="s">
        <v>56</v>
      </c>
      <c r="N832" t="s">
        <v>55</v>
      </c>
      <c r="P832" s="6" t="s">
        <v>1504</v>
      </c>
    </row>
    <row r="833" spans="1:16" x14ac:dyDescent="0.2">
      <c r="A833">
        <v>373048949</v>
      </c>
      <c r="B833" t="s">
        <v>537</v>
      </c>
      <c r="C833" t="s">
        <v>669</v>
      </c>
      <c r="E833" s="22">
        <v>0.3</v>
      </c>
      <c r="F833" t="s">
        <v>648</v>
      </c>
      <c r="G833" t="s">
        <v>649</v>
      </c>
      <c r="H833" t="s">
        <v>650</v>
      </c>
      <c r="I833" t="s">
        <v>651</v>
      </c>
      <c r="J833" t="s">
        <v>652</v>
      </c>
      <c r="K833" t="s">
        <v>48</v>
      </c>
      <c r="L833">
        <v>2016</v>
      </c>
      <c r="M833" t="s">
        <v>56</v>
      </c>
      <c r="N833" t="s">
        <v>55</v>
      </c>
      <c r="P833" s="6" t="s">
        <v>1505</v>
      </c>
    </row>
    <row r="834" spans="1:16" x14ac:dyDescent="0.2">
      <c r="A834">
        <v>357061292</v>
      </c>
      <c r="B834" t="s">
        <v>537</v>
      </c>
      <c r="C834" t="s">
        <v>669</v>
      </c>
      <c r="E834" s="22">
        <v>0.5</v>
      </c>
      <c r="F834" t="s">
        <v>648</v>
      </c>
      <c r="G834" t="s">
        <v>649</v>
      </c>
      <c r="H834" t="s">
        <v>650</v>
      </c>
      <c r="I834" t="s">
        <v>651</v>
      </c>
      <c r="J834" t="s">
        <v>652</v>
      </c>
      <c r="K834" t="s">
        <v>48</v>
      </c>
      <c r="L834">
        <v>2016</v>
      </c>
      <c r="M834" t="s">
        <v>56</v>
      </c>
      <c r="N834" t="s">
        <v>55</v>
      </c>
      <c r="P834" s="6" t="s">
        <v>1506</v>
      </c>
    </row>
    <row r="835" spans="1:16" x14ac:dyDescent="0.2">
      <c r="A835">
        <v>837310284</v>
      </c>
      <c r="B835" t="s">
        <v>537</v>
      </c>
      <c r="C835" t="s">
        <v>669</v>
      </c>
      <c r="E835" s="22">
        <v>0.36</v>
      </c>
      <c r="F835" t="s">
        <v>648</v>
      </c>
      <c r="G835" t="s">
        <v>649</v>
      </c>
      <c r="H835" t="s">
        <v>650</v>
      </c>
      <c r="I835" t="s">
        <v>651</v>
      </c>
      <c r="J835" t="s">
        <v>652</v>
      </c>
      <c r="K835" t="s">
        <v>48</v>
      </c>
      <c r="L835">
        <v>2016</v>
      </c>
      <c r="M835" t="s">
        <v>56</v>
      </c>
      <c r="N835" t="s">
        <v>55</v>
      </c>
      <c r="P835" s="6" t="s">
        <v>1507</v>
      </c>
    </row>
    <row r="836" spans="1:16" x14ac:dyDescent="0.2">
      <c r="A836">
        <v>815854164</v>
      </c>
      <c r="B836" t="s">
        <v>537</v>
      </c>
      <c r="C836" t="s">
        <v>669</v>
      </c>
      <c r="E836" s="22">
        <v>0.62</v>
      </c>
      <c r="F836" t="s">
        <v>648</v>
      </c>
      <c r="G836" t="s">
        <v>649</v>
      </c>
      <c r="H836" t="s">
        <v>650</v>
      </c>
      <c r="I836" t="s">
        <v>651</v>
      </c>
      <c r="J836" t="s">
        <v>652</v>
      </c>
      <c r="K836" t="s">
        <v>48</v>
      </c>
      <c r="L836">
        <v>2016</v>
      </c>
      <c r="M836" t="s">
        <v>56</v>
      </c>
      <c r="N836" t="s">
        <v>55</v>
      </c>
      <c r="P836" s="6" t="s">
        <v>1508</v>
      </c>
    </row>
    <row r="837" spans="1:16" x14ac:dyDescent="0.2">
      <c r="A837">
        <v>315378369</v>
      </c>
      <c r="B837" t="s">
        <v>537</v>
      </c>
      <c r="C837" t="s">
        <v>669</v>
      </c>
      <c r="E837" s="22">
        <v>0.36</v>
      </c>
      <c r="F837" t="s">
        <v>648</v>
      </c>
      <c r="G837" t="s">
        <v>649</v>
      </c>
      <c r="H837" t="s">
        <v>650</v>
      </c>
      <c r="I837" t="s">
        <v>651</v>
      </c>
      <c r="J837" t="s">
        <v>652</v>
      </c>
      <c r="K837" t="s">
        <v>48</v>
      </c>
      <c r="L837">
        <v>2016</v>
      </c>
      <c r="M837" t="s">
        <v>56</v>
      </c>
      <c r="N837" t="s">
        <v>55</v>
      </c>
      <c r="P837" s="6" t="s">
        <v>1509</v>
      </c>
    </row>
    <row r="838" spans="1:16" x14ac:dyDescent="0.2">
      <c r="A838">
        <v>564410540</v>
      </c>
      <c r="B838" t="s">
        <v>537</v>
      </c>
      <c r="C838" t="s">
        <v>669</v>
      </c>
      <c r="E838" s="22">
        <v>0.72</v>
      </c>
      <c r="F838" t="s">
        <v>648</v>
      </c>
      <c r="G838" t="s">
        <v>649</v>
      </c>
      <c r="H838" t="s">
        <v>650</v>
      </c>
      <c r="I838" t="s">
        <v>651</v>
      </c>
      <c r="J838" t="s">
        <v>652</v>
      </c>
      <c r="K838" t="s">
        <v>48</v>
      </c>
      <c r="L838">
        <v>2016</v>
      </c>
      <c r="M838" t="s">
        <v>56</v>
      </c>
      <c r="N838" t="s">
        <v>55</v>
      </c>
      <c r="P838" s="6" t="s">
        <v>1510</v>
      </c>
    </row>
    <row r="839" spans="1:16" x14ac:dyDescent="0.2">
      <c r="A839">
        <v>126539887</v>
      </c>
      <c r="B839" t="s">
        <v>537</v>
      </c>
      <c r="C839" t="s">
        <v>669</v>
      </c>
      <c r="E839" s="22">
        <v>0.62</v>
      </c>
      <c r="F839" t="s">
        <v>648</v>
      </c>
      <c r="G839" t="s">
        <v>649</v>
      </c>
      <c r="H839" t="s">
        <v>650</v>
      </c>
      <c r="I839" t="s">
        <v>651</v>
      </c>
      <c r="J839" t="s">
        <v>652</v>
      </c>
      <c r="K839" t="s">
        <v>48</v>
      </c>
      <c r="L839">
        <v>2016</v>
      </c>
      <c r="M839" t="s">
        <v>56</v>
      </c>
      <c r="N839" t="s">
        <v>55</v>
      </c>
      <c r="P839" s="6" t="s">
        <v>1511</v>
      </c>
    </row>
    <row r="840" spans="1:16" x14ac:dyDescent="0.2">
      <c r="A840">
        <v>563937624</v>
      </c>
      <c r="B840" t="s">
        <v>537</v>
      </c>
      <c r="C840" t="s">
        <v>669</v>
      </c>
      <c r="E840" s="22">
        <v>0.2</v>
      </c>
      <c r="F840" t="s">
        <v>648</v>
      </c>
      <c r="G840" t="s">
        <v>649</v>
      </c>
      <c r="H840" t="s">
        <v>650</v>
      </c>
      <c r="I840" t="s">
        <v>651</v>
      </c>
      <c r="J840" t="s">
        <v>652</v>
      </c>
      <c r="K840" t="s">
        <v>48</v>
      </c>
      <c r="L840">
        <v>2016</v>
      </c>
      <c r="M840" t="s">
        <v>56</v>
      </c>
      <c r="N840" t="s">
        <v>55</v>
      </c>
      <c r="P840" s="6" t="s">
        <v>1512</v>
      </c>
    </row>
    <row r="841" spans="1:16" x14ac:dyDescent="0.2">
      <c r="A841">
        <v>684291511</v>
      </c>
      <c r="B841" t="s">
        <v>537</v>
      </c>
      <c r="C841" t="s">
        <v>669</v>
      </c>
      <c r="E841" s="22">
        <v>0.52</v>
      </c>
      <c r="F841" t="s">
        <v>648</v>
      </c>
      <c r="G841" t="s">
        <v>649</v>
      </c>
      <c r="H841" t="s">
        <v>650</v>
      </c>
      <c r="I841" t="s">
        <v>651</v>
      </c>
      <c r="J841" t="s">
        <v>652</v>
      </c>
      <c r="K841" t="s">
        <v>48</v>
      </c>
      <c r="L841">
        <v>2016</v>
      </c>
      <c r="M841" t="s">
        <v>56</v>
      </c>
      <c r="N841" t="s">
        <v>55</v>
      </c>
      <c r="P841" s="6" t="s">
        <v>1513</v>
      </c>
    </row>
    <row r="842" spans="1:16" x14ac:dyDescent="0.2">
      <c r="A842">
        <v>598829620</v>
      </c>
      <c r="B842" t="s">
        <v>537</v>
      </c>
      <c r="C842" t="s">
        <v>670</v>
      </c>
      <c r="E842" s="22">
        <v>0.4</v>
      </c>
      <c r="F842" t="s">
        <v>648</v>
      </c>
      <c r="G842" t="s">
        <v>649</v>
      </c>
      <c r="H842" t="s">
        <v>650</v>
      </c>
      <c r="I842" t="s">
        <v>651</v>
      </c>
      <c r="J842" t="s">
        <v>652</v>
      </c>
      <c r="K842" t="s">
        <v>48</v>
      </c>
      <c r="L842">
        <v>2016</v>
      </c>
      <c r="M842" t="s">
        <v>56</v>
      </c>
      <c r="N842" t="s">
        <v>55</v>
      </c>
      <c r="P842" s="6" t="s">
        <v>1514</v>
      </c>
    </row>
    <row r="843" spans="1:16" x14ac:dyDescent="0.2">
      <c r="A843">
        <v>684014860</v>
      </c>
      <c r="B843" t="s">
        <v>537</v>
      </c>
      <c r="C843" t="s">
        <v>670</v>
      </c>
      <c r="E843" s="22">
        <v>0.56000000000000005</v>
      </c>
      <c r="F843" t="s">
        <v>648</v>
      </c>
      <c r="G843" t="s">
        <v>649</v>
      </c>
      <c r="H843" t="s">
        <v>650</v>
      </c>
      <c r="I843" t="s">
        <v>651</v>
      </c>
      <c r="J843" t="s">
        <v>652</v>
      </c>
      <c r="K843" t="s">
        <v>48</v>
      </c>
      <c r="L843">
        <v>2016</v>
      </c>
      <c r="M843" t="s">
        <v>56</v>
      </c>
      <c r="N843" t="s">
        <v>55</v>
      </c>
      <c r="P843" s="6" t="s">
        <v>1515</v>
      </c>
    </row>
    <row r="844" spans="1:16" x14ac:dyDescent="0.2">
      <c r="A844">
        <v>843228181</v>
      </c>
      <c r="B844" t="s">
        <v>537</v>
      </c>
      <c r="C844" t="s">
        <v>670</v>
      </c>
      <c r="E844" s="22">
        <v>0.42000000000000004</v>
      </c>
      <c r="F844" t="s">
        <v>648</v>
      </c>
      <c r="G844" t="s">
        <v>649</v>
      </c>
      <c r="H844" t="s">
        <v>650</v>
      </c>
      <c r="I844" t="s">
        <v>651</v>
      </c>
      <c r="J844" t="s">
        <v>652</v>
      </c>
      <c r="K844" t="s">
        <v>48</v>
      </c>
      <c r="L844">
        <v>2016</v>
      </c>
      <c r="M844" t="s">
        <v>56</v>
      </c>
      <c r="N844" t="s">
        <v>55</v>
      </c>
      <c r="P844" s="6" t="s">
        <v>1516</v>
      </c>
    </row>
    <row r="845" spans="1:16" x14ac:dyDescent="0.2">
      <c r="A845">
        <v>820549378</v>
      </c>
      <c r="B845" t="s">
        <v>537</v>
      </c>
      <c r="C845" t="s">
        <v>670</v>
      </c>
      <c r="E845" s="22">
        <v>0.26</v>
      </c>
      <c r="F845" t="s">
        <v>648</v>
      </c>
      <c r="G845" t="s">
        <v>649</v>
      </c>
      <c r="H845" t="s">
        <v>650</v>
      </c>
      <c r="I845" t="s">
        <v>651</v>
      </c>
      <c r="J845" t="s">
        <v>652</v>
      </c>
      <c r="K845" t="s">
        <v>48</v>
      </c>
      <c r="L845">
        <v>2016</v>
      </c>
      <c r="M845" t="s">
        <v>56</v>
      </c>
      <c r="N845" t="s">
        <v>55</v>
      </c>
      <c r="P845" s="6" t="s">
        <v>1517</v>
      </c>
    </row>
    <row r="846" spans="1:16" x14ac:dyDescent="0.2">
      <c r="A846">
        <v>533572169</v>
      </c>
      <c r="B846" t="s">
        <v>537</v>
      </c>
      <c r="C846" t="s">
        <v>670</v>
      </c>
      <c r="E846" s="22">
        <v>0.04</v>
      </c>
      <c r="F846" t="s">
        <v>648</v>
      </c>
      <c r="G846" t="s">
        <v>649</v>
      </c>
      <c r="H846" t="s">
        <v>650</v>
      </c>
      <c r="I846" t="s">
        <v>651</v>
      </c>
      <c r="J846" t="s">
        <v>652</v>
      </c>
      <c r="K846" t="s">
        <v>48</v>
      </c>
      <c r="L846">
        <v>2016</v>
      </c>
      <c r="M846" t="s">
        <v>56</v>
      </c>
      <c r="N846" t="s">
        <v>55</v>
      </c>
      <c r="P846" s="6" t="s">
        <v>1518</v>
      </c>
    </row>
    <row r="847" spans="1:16" x14ac:dyDescent="0.2">
      <c r="A847">
        <v>975325712</v>
      </c>
      <c r="B847" t="s">
        <v>537</v>
      </c>
      <c r="C847" t="s">
        <v>670</v>
      </c>
      <c r="E847" s="22">
        <v>0.36</v>
      </c>
      <c r="F847" t="s">
        <v>648</v>
      </c>
      <c r="G847" t="s">
        <v>649</v>
      </c>
      <c r="H847" t="s">
        <v>650</v>
      </c>
      <c r="I847" t="s">
        <v>651</v>
      </c>
      <c r="J847" t="s">
        <v>652</v>
      </c>
      <c r="K847" t="s">
        <v>48</v>
      </c>
      <c r="L847">
        <v>2016</v>
      </c>
      <c r="M847" t="s">
        <v>56</v>
      </c>
      <c r="N847" t="s">
        <v>55</v>
      </c>
      <c r="P847" s="6" t="s">
        <v>1519</v>
      </c>
    </row>
    <row r="848" spans="1:16" x14ac:dyDescent="0.2">
      <c r="A848">
        <v>310082419</v>
      </c>
      <c r="B848" t="s">
        <v>537</v>
      </c>
      <c r="C848" t="s">
        <v>670</v>
      </c>
      <c r="E848" s="22">
        <v>0.22000000000000003</v>
      </c>
      <c r="F848" t="s">
        <v>648</v>
      </c>
      <c r="G848" t="s">
        <v>649</v>
      </c>
      <c r="H848" t="s">
        <v>650</v>
      </c>
      <c r="I848" t="s">
        <v>651</v>
      </c>
      <c r="J848" t="s">
        <v>652</v>
      </c>
      <c r="K848" t="s">
        <v>48</v>
      </c>
      <c r="L848">
        <v>2016</v>
      </c>
      <c r="M848" t="s">
        <v>56</v>
      </c>
      <c r="N848" t="s">
        <v>55</v>
      </c>
      <c r="P848" s="6" t="s">
        <v>1520</v>
      </c>
    </row>
    <row r="849" spans="1:16" x14ac:dyDescent="0.2">
      <c r="A849">
        <v>242132470</v>
      </c>
      <c r="B849" t="s">
        <v>537</v>
      </c>
      <c r="C849" t="s">
        <v>670</v>
      </c>
      <c r="E849" s="22">
        <v>0.56000000000000005</v>
      </c>
      <c r="F849" t="s">
        <v>648</v>
      </c>
      <c r="G849" t="s">
        <v>649</v>
      </c>
      <c r="H849" t="s">
        <v>650</v>
      </c>
      <c r="I849" t="s">
        <v>651</v>
      </c>
      <c r="J849" t="s">
        <v>652</v>
      </c>
      <c r="K849" t="s">
        <v>48</v>
      </c>
      <c r="L849">
        <v>2016</v>
      </c>
      <c r="M849" t="s">
        <v>56</v>
      </c>
      <c r="N849" t="s">
        <v>55</v>
      </c>
      <c r="P849" s="6" t="s">
        <v>1521</v>
      </c>
    </row>
    <row r="850" spans="1:16" x14ac:dyDescent="0.2">
      <c r="A850">
        <v>208248363</v>
      </c>
      <c r="B850" t="s">
        <v>537</v>
      </c>
      <c r="C850" t="s">
        <v>670</v>
      </c>
      <c r="E850" s="22">
        <v>0.4</v>
      </c>
      <c r="F850" t="s">
        <v>648</v>
      </c>
      <c r="G850" t="s">
        <v>649</v>
      </c>
      <c r="H850" t="s">
        <v>650</v>
      </c>
      <c r="I850" t="s">
        <v>651</v>
      </c>
      <c r="J850" t="s">
        <v>652</v>
      </c>
      <c r="K850" t="s">
        <v>48</v>
      </c>
      <c r="L850">
        <v>2016</v>
      </c>
      <c r="M850" t="s">
        <v>56</v>
      </c>
      <c r="N850" t="s">
        <v>55</v>
      </c>
      <c r="P850" s="6" t="s">
        <v>1522</v>
      </c>
    </row>
    <row r="851" spans="1:16" x14ac:dyDescent="0.2">
      <c r="A851">
        <v>277055951</v>
      </c>
      <c r="B851" t="s">
        <v>537</v>
      </c>
      <c r="C851" t="s">
        <v>670</v>
      </c>
      <c r="E851" s="22">
        <v>0</v>
      </c>
      <c r="F851" t="s">
        <v>648</v>
      </c>
      <c r="G851" t="s">
        <v>649</v>
      </c>
      <c r="H851" t="s">
        <v>650</v>
      </c>
      <c r="I851" t="s">
        <v>651</v>
      </c>
      <c r="J851" t="s">
        <v>652</v>
      </c>
      <c r="K851" t="s">
        <v>48</v>
      </c>
      <c r="L851">
        <v>2016</v>
      </c>
      <c r="M851" t="s">
        <v>56</v>
      </c>
      <c r="N851" t="s">
        <v>55</v>
      </c>
      <c r="P851" s="6" t="s">
        <v>1523</v>
      </c>
    </row>
    <row r="852" spans="1:16" x14ac:dyDescent="0.2">
      <c r="A852">
        <v>902907559</v>
      </c>
      <c r="B852" t="s">
        <v>537</v>
      </c>
      <c r="C852" t="s">
        <v>670</v>
      </c>
      <c r="E852" s="22">
        <v>0.12000000000000002</v>
      </c>
      <c r="F852" t="s">
        <v>648</v>
      </c>
      <c r="G852" t="s">
        <v>649</v>
      </c>
      <c r="H852" t="s">
        <v>650</v>
      </c>
      <c r="I852" t="s">
        <v>651</v>
      </c>
      <c r="J852" t="s">
        <v>652</v>
      </c>
      <c r="K852" t="s">
        <v>48</v>
      </c>
      <c r="L852">
        <v>2016</v>
      </c>
      <c r="M852" t="s">
        <v>56</v>
      </c>
      <c r="N852" t="s">
        <v>55</v>
      </c>
      <c r="P852" s="6" t="s">
        <v>1524</v>
      </c>
    </row>
    <row r="853" spans="1:16" x14ac:dyDescent="0.2">
      <c r="A853">
        <v>528297980</v>
      </c>
      <c r="B853" t="s">
        <v>537</v>
      </c>
      <c r="C853" t="s">
        <v>670</v>
      </c>
      <c r="E853" s="22">
        <v>0.62</v>
      </c>
      <c r="F853" t="s">
        <v>648</v>
      </c>
      <c r="G853" t="s">
        <v>649</v>
      </c>
      <c r="H853" t="s">
        <v>650</v>
      </c>
      <c r="I853" t="s">
        <v>651</v>
      </c>
      <c r="J853" t="s">
        <v>652</v>
      </c>
      <c r="K853" t="s">
        <v>48</v>
      </c>
      <c r="L853">
        <v>2016</v>
      </c>
      <c r="M853" t="s">
        <v>56</v>
      </c>
      <c r="N853" t="s">
        <v>55</v>
      </c>
      <c r="P853" s="6" t="s">
        <v>1525</v>
      </c>
    </row>
    <row r="854" spans="1:16" x14ac:dyDescent="0.2">
      <c r="A854">
        <v>444882790</v>
      </c>
      <c r="B854" t="s">
        <v>537</v>
      </c>
      <c r="C854" t="s">
        <v>670</v>
      </c>
      <c r="E854" s="22">
        <v>0.14000000000000001</v>
      </c>
      <c r="F854" t="s">
        <v>648</v>
      </c>
      <c r="G854" t="s">
        <v>649</v>
      </c>
      <c r="H854" t="s">
        <v>650</v>
      </c>
      <c r="I854" t="s">
        <v>651</v>
      </c>
      <c r="J854" t="s">
        <v>652</v>
      </c>
      <c r="K854" t="s">
        <v>48</v>
      </c>
      <c r="L854">
        <v>2016</v>
      </c>
      <c r="M854" t="s">
        <v>56</v>
      </c>
      <c r="N854" t="s">
        <v>55</v>
      </c>
      <c r="P854" s="6" t="s">
        <v>1526</v>
      </c>
    </row>
    <row r="855" spans="1:16" x14ac:dyDescent="0.2">
      <c r="A855">
        <v>112085131</v>
      </c>
      <c r="B855" t="s">
        <v>537</v>
      </c>
      <c r="C855" t="s">
        <v>670</v>
      </c>
      <c r="E855" s="22">
        <v>0.18</v>
      </c>
      <c r="F855" t="s">
        <v>648</v>
      </c>
      <c r="G855" t="s">
        <v>649</v>
      </c>
      <c r="H855" t="s">
        <v>650</v>
      </c>
      <c r="I855" t="s">
        <v>651</v>
      </c>
      <c r="J855" t="s">
        <v>652</v>
      </c>
      <c r="K855" t="s">
        <v>48</v>
      </c>
      <c r="L855">
        <v>2016</v>
      </c>
      <c r="M855" t="s">
        <v>56</v>
      </c>
      <c r="N855" t="s">
        <v>55</v>
      </c>
      <c r="P855" s="6" t="s">
        <v>1527</v>
      </c>
    </row>
    <row r="856" spans="1:16" x14ac:dyDescent="0.2">
      <c r="A856">
        <v>588642518</v>
      </c>
      <c r="B856" t="s">
        <v>537</v>
      </c>
      <c r="C856" t="s">
        <v>670</v>
      </c>
      <c r="E856" s="22">
        <v>0.68</v>
      </c>
      <c r="F856" t="s">
        <v>648</v>
      </c>
      <c r="G856" t="s">
        <v>649</v>
      </c>
      <c r="H856" t="s">
        <v>650</v>
      </c>
      <c r="I856" t="s">
        <v>651</v>
      </c>
      <c r="J856" t="s">
        <v>652</v>
      </c>
      <c r="K856" t="s">
        <v>48</v>
      </c>
      <c r="L856">
        <v>2016</v>
      </c>
      <c r="M856" t="s">
        <v>56</v>
      </c>
      <c r="N856" t="s">
        <v>55</v>
      </c>
      <c r="P856" s="6" t="s">
        <v>1528</v>
      </c>
    </row>
    <row r="857" spans="1:16" x14ac:dyDescent="0.2">
      <c r="A857">
        <v>414520736</v>
      </c>
      <c r="B857" t="s">
        <v>537</v>
      </c>
      <c r="C857" t="s">
        <v>670</v>
      </c>
      <c r="E857" s="22">
        <v>0.14000000000000001</v>
      </c>
      <c r="F857" t="s">
        <v>648</v>
      </c>
      <c r="G857" t="s">
        <v>649</v>
      </c>
      <c r="H857" t="s">
        <v>650</v>
      </c>
      <c r="I857" t="s">
        <v>651</v>
      </c>
      <c r="J857" t="s">
        <v>652</v>
      </c>
      <c r="K857" t="s">
        <v>48</v>
      </c>
      <c r="L857">
        <v>2016</v>
      </c>
      <c r="M857" t="s">
        <v>56</v>
      </c>
      <c r="N857" t="s">
        <v>55</v>
      </c>
      <c r="P857" s="6" t="s">
        <v>1529</v>
      </c>
    </row>
    <row r="858" spans="1:16" x14ac:dyDescent="0.2">
      <c r="A858">
        <v>356558346</v>
      </c>
      <c r="B858" t="s">
        <v>537</v>
      </c>
      <c r="C858" t="s">
        <v>670</v>
      </c>
      <c r="E858" s="22">
        <v>0.04</v>
      </c>
      <c r="F858" t="s">
        <v>648</v>
      </c>
      <c r="G858" t="s">
        <v>649</v>
      </c>
      <c r="H858" t="s">
        <v>650</v>
      </c>
      <c r="I858" t="s">
        <v>651</v>
      </c>
      <c r="J858" t="s">
        <v>652</v>
      </c>
      <c r="K858" t="s">
        <v>48</v>
      </c>
      <c r="L858">
        <v>2016</v>
      </c>
      <c r="M858" t="s">
        <v>56</v>
      </c>
      <c r="N858" t="s">
        <v>55</v>
      </c>
      <c r="P858" s="6" t="s">
        <v>1530</v>
      </c>
    </row>
    <row r="859" spans="1:16" x14ac:dyDescent="0.2">
      <c r="A859">
        <v>970698993</v>
      </c>
      <c r="B859" t="s">
        <v>537</v>
      </c>
      <c r="C859" t="s">
        <v>670</v>
      </c>
      <c r="E859" s="22">
        <v>0.08</v>
      </c>
      <c r="F859" t="s">
        <v>648</v>
      </c>
      <c r="G859" t="s">
        <v>649</v>
      </c>
      <c r="H859" t="s">
        <v>650</v>
      </c>
      <c r="I859" t="s">
        <v>651</v>
      </c>
      <c r="J859" t="s">
        <v>652</v>
      </c>
      <c r="K859" t="s">
        <v>48</v>
      </c>
      <c r="L859">
        <v>2016</v>
      </c>
      <c r="M859" t="s">
        <v>56</v>
      </c>
      <c r="N859" t="s">
        <v>55</v>
      </c>
      <c r="P859" s="6" t="s">
        <v>1531</v>
      </c>
    </row>
    <row r="860" spans="1:16" x14ac:dyDescent="0.2">
      <c r="A860">
        <v>633537205</v>
      </c>
      <c r="B860" t="s">
        <v>537</v>
      </c>
      <c r="C860" t="s">
        <v>670</v>
      </c>
      <c r="E860" s="22">
        <v>0.1</v>
      </c>
      <c r="F860" t="s">
        <v>648</v>
      </c>
      <c r="G860" t="s">
        <v>649</v>
      </c>
      <c r="H860" t="s">
        <v>650</v>
      </c>
      <c r="I860" t="s">
        <v>651</v>
      </c>
      <c r="J860" t="s">
        <v>652</v>
      </c>
      <c r="K860" t="s">
        <v>48</v>
      </c>
      <c r="L860">
        <v>2016</v>
      </c>
      <c r="M860" t="s">
        <v>56</v>
      </c>
      <c r="N860" t="s">
        <v>55</v>
      </c>
      <c r="P860" s="6" t="s">
        <v>1532</v>
      </c>
    </row>
    <row r="861" spans="1:16" x14ac:dyDescent="0.2">
      <c r="A861">
        <v>534292868</v>
      </c>
      <c r="B861" t="s">
        <v>537</v>
      </c>
      <c r="C861" t="s">
        <v>670</v>
      </c>
      <c r="E861" s="22">
        <v>0.08</v>
      </c>
      <c r="F861" t="s">
        <v>648</v>
      </c>
      <c r="G861" t="s">
        <v>649</v>
      </c>
      <c r="H861" t="s">
        <v>650</v>
      </c>
      <c r="I861" t="s">
        <v>651</v>
      </c>
      <c r="J861" t="s">
        <v>652</v>
      </c>
      <c r="K861" t="s">
        <v>48</v>
      </c>
      <c r="L861">
        <v>2016</v>
      </c>
      <c r="M861" t="s">
        <v>56</v>
      </c>
      <c r="N861" t="s">
        <v>55</v>
      </c>
      <c r="P861" s="6" t="s">
        <v>1533</v>
      </c>
    </row>
    <row r="862" spans="1:16" x14ac:dyDescent="0.2">
      <c r="A862">
        <v>816787809</v>
      </c>
      <c r="B862" t="s">
        <v>537</v>
      </c>
      <c r="C862" t="s">
        <v>670</v>
      </c>
      <c r="E862" s="22">
        <v>0.64</v>
      </c>
      <c r="F862" t="s">
        <v>648</v>
      </c>
      <c r="G862" t="s">
        <v>649</v>
      </c>
      <c r="H862" t="s">
        <v>650</v>
      </c>
      <c r="I862" t="s">
        <v>651</v>
      </c>
      <c r="J862" t="s">
        <v>652</v>
      </c>
      <c r="K862" t="s">
        <v>48</v>
      </c>
      <c r="L862">
        <v>2016</v>
      </c>
      <c r="M862" t="s">
        <v>56</v>
      </c>
      <c r="N862" t="s">
        <v>55</v>
      </c>
      <c r="P862" s="6" t="s">
        <v>1534</v>
      </c>
    </row>
    <row r="863" spans="1:16" x14ac:dyDescent="0.2">
      <c r="A863">
        <v>220052551</v>
      </c>
      <c r="B863" t="s">
        <v>537</v>
      </c>
      <c r="C863" t="s">
        <v>670</v>
      </c>
      <c r="E863" s="22">
        <v>0.14000000000000001</v>
      </c>
      <c r="F863" t="s">
        <v>648</v>
      </c>
      <c r="G863" t="s">
        <v>649</v>
      </c>
      <c r="H863" t="s">
        <v>650</v>
      </c>
      <c r="I863" t="s">
        <v>651</v>
      </c>
      <c r="J863" t="s">
        <v>652</v>
      </c>
      <c r="K863" t="s">
        <v>48</v>
      </c>
      <c r="L863">
        <v>2016</v>
      </c>
      <c r="M863" t="s">
        <v>56</v>
      </c>
      <c r="N863" t="s">
        <v>55</v>
      </c>
      <c r="P863" s="6" t="s">
        <v>1535</v>
      </c>
    </row>
    <row r="864" spans="1:16" x14ac:dyDescent="0.2">
      <c r="A864">
        <v>858571733</v>
      </c>
      <c r="B864" t="s">
        <v>537</v>
      </c>
      <c r="C864" t="s">
        <v>670</v>
      </c>
      <c r="E864" s="22">
        <v>0.16</v>
      </c>
      <c r="F864" t="s">
        <v>648</v>
      </c>
      <c r="G864" t="s">
        <v>649</v>
      </c>
      <c r="H864" t="s">
        <v>650</v>
      </c>
      <c r="I864" t="s">
        <v>651</v>
      </c>
      <c r="J864" t="s">
        <v>652</v>
      </c>
      <c r="K864" t="s">
        <v>48</v>
      </c>
      <c r="L864">
        <v>2016</v>
      </c>
      <c r="M864" t="s">
        <v>56</v>
      </c>
      <c r="N864" t="s">
        <v>55</v>
      </c>
      <c r="P864" s="6" t="s">
        <v>1536</v>
      </c>
    </row>
    <row r="865" spans="1:16" x14ac:dyDescent="0.2">
      <c r="A865">
        <v>363436152</v>
      </c>
      <c r="B865" t="s">
        <v>537</v>
      </c>
      <c r="C865" t="s">
        <v>670</v>
      </c>
      <c r="E865" s="22">
        <v>0.46000000000000008</v>
      </c>
      <c r="F865" t="s">
        <v>648</v>
      </c>
      <c r="G865" t="s">
        <v>649</v>
      </c>
      <c r="H865" t="s">
        <v>650</v>
      </c>
      <c r="I865" t="s">
        <v>651</v>
      </c>
      <c r="J865" t="s">
        <v>652</v>
      </c>
      <c r="K865" t="s">
        <v>48</v>
      </c>
      <c r="L865">
        <v>2016</v>
      </c>
      <c r="M865" t="s">
        <v>56</v>
      </c>
      <c r="N865" t="s">
        <v>55</v>
      </c>
      <c r="P865" s="6" t="s">
        <v>1537</v>
      </c>
    </row>
    <row r="866" spans="1:16" x14ac:dyDescent="0.2">
      <c r="A866">
        <v>393495083</v>
      </c>
      <c r="B866" t="s">
        <v>537</v>
      </c>
      <c r="C866" t="s">
        <v>670</v>
      </c>
      <c r="E866" s="22">
        <v>0.18</v>
      </c>
      <c r="F866" t="s">
        <v>648</v>
      </c>
      <c r="G866" t="s">
        <v>649</v>
      </c>
      <c r="H866" t="s">
        <v>650</v>
      </c>
      <c r="I866" t="s">
        <v>651</v>
      </c>
      <c r="J866" t="s">
        <v>652</v>
      </c>
      <c r="K866" t="s">
        <v>48</v>
      </c>
      <c r="L866">
        <v>2016</v>
      </c>
      <c r="M866" t="s">
        <v>56</v>
      </c>
      <c r="N866" t="s">
        <v>55</v>
      </c>
      <c r="P866" s="6" t="s">
        <v>1538</v>
      </c>
    </row>
    <row r="867" spans="1:16" x14ac:dyDescent="0.2">
      <c r="A867">
        <v>769635714</v>
      </c>
      <c r="B867" t="s">
        <v>537</v>
      </c>
      <c r="C867" t="s">
        <v>670</v>
      </c>
      <c r="E867" s="22">
        <v>0.64</v>
      </c>
      <c r="F867" t="s">
        <v>648</v>
      </c>
      <c r="G867" t="s">
        <v>649</v>
      </c>
      <c r="H867" t="s">
        <v>650</v>
      </c>
      <c r="I867" t="s">
        <v>651</v>
      </c>
      <c r="J867" t="s">
        <v>652</v>
      </c>
      <c r="K867" t="s">
        <v>48</v>
      </c>
      <c r="L867">
        <v>2016</v>
      </c>
      <c r="M867" t="s">
        <v>56</v>
      </c>
      <c r="N867" t="s">
        <v>55</v>
      </c>
      <c r="P867" s="6" t="s">
        <v>1539</v>
      </c>
    </row>
    <row r="868" spans="1:16" x14ac:dyDescent="0.2">
      <c r="A868">
        <v>373048949</v>
      </c>
      <c r="B868" t="s">
        <v>537</v>
      </c>
      <c r="C868" t="s">
        <v>670</v>
      </c>
      <c r="E868" s="22">
        <v>0.3</v>
      </c>
      <c r="F868" t="s">
        <v>648</v>
      </c>
      <c r="G868" t="s">
        <v>649</v>
      </c>
      <c r="H868" t="s">
        <v>650</v>
      </c>
      <c r="I868" t="s">
        <v>651</v>
      </c>
      <c r="J868" t="s">
        <v>652</v>
      </c>
      <c r="K868" t="s">
        <v>48</v>
      </c>
      <c r="L868">
        <v>2016</v>
      </c>
      <c r="M868" t="s">
        <v>56</v>
      </c>
      <c r="N868" t="s">
        <v>55</v>
      </c>
      <c r="P868" s="6" t="s">
        <v>1540</v>
      </c>
    </row>
    <row r="869" spans="1:16" x14ac:dyDescent="0.2">
      <c r="A869">
        <v>357061292</v>
      </c>
      <c r="B869" t="s">
        <v>537</v>
      </c>
      <c r="C869" t="s">
        <v>670</v>
      </c>
      <c r="E869" s="22">
        <v>0.5</v>
      </c>
      <c r="F869" t="s">
        <v>648</v>
      </c>
      <c r="G869" t="s">
        <v>649</v>
      </c>
      <c r="H869" t="s">
        <v>650</v>
      </c>
      <c r="I869" t="s">
        <v>651</v>
      </c>
      <c r="J869" t="s">
        <v>652</v>
      </c>
      <c r="K869" t="s">
        <v>48</v>
      </c>
      <c r="L869">
        <v>2016</v>
      </c>
      <c r="M869" t="s">
        <v>56</v>
      </c>
      <c r="N869" t="s">
        <v>55</v>
      </c>
      <c r="P869" s="6" t="s">
        <v>1541</v>
      </c>
    </row>
    <row r="870" spans="1:16" x14ac:dyDescent="0.2">
      <c r="A870">
        <v>837310284</v>
      </c>
      <c r="B870" t="s">
        <v>537</v>
      </c>
      <c r="C870" t="s">
        <v>670</v>
      </c>
      <c r="E870" s="22">
        <v>0.36</v>
      </c>
      <c r="F870" t="s">
        <v>648</v>
      </c>
      <c r="G870" t="s">
        <v>649</v>
      </c>
      <c r="H870" t="s">
        <v>650</v>
      </c>
      <c r="I870" t="s">
        <v>651</v>
      </c>
      <c r="J870" t="s">
        <v>652</v>
      </c>
      <c r="K870" t="s">
        <v>48</v>
      </c>
      <c r="L870">
        <v>2016</v>
      </c>
      <c r="M870" t="s">
        <v>56</v>
      </c>
      <c r="N870" t="s">
        <v>55</v>
      </c>
      <c r="P870" s="6" t="s">
        <v>1542</v>
      </c>
    </row>
    <row r="871" spans="1:16" x14ac:dyDescent="0.2">
      <c r="A871">
        <v>815854164</v>
      </c>
      <c r="B871" t="s">
        <v>537</v>
      </c>
      <c r="C871" t="s">
        <v>670</v>
      </c>
      <c r="E871" s="22">
        <v>0.62</v>
      </c>
      <c r="F871" t="s">
        <v>648</v>
      </c>
      <c r="G871" t="s">
        <v>649</v>
      </c>
      <c r="H871" t="s">
        <v>650</v>
      </c>
      <c r="I871" t="s">
        <v>651</v>
      </c>
      <c r="J871" t="s">
        <v>652</v>
      </c>
      <c r="K871" t="s">
        <v>48</v>
      </c>
      <c r="L871">
        <v>2016</v>
      </c>
      <c r="M871" t="s">
        <v>56</v>
      </c>
      <c r="N871" t="s">
        <v>55</v>
      </c>
      <c r="P871" s="6" t="s">
        <v>1543</v>
      </c>
    </row>
    <row r="872" spans="1:16" x14ac:dyDescent="0.2">
      <c r="A872">
        <v>315378369</v>
      </c>
      <c r="B872" t="s">
        <v>537</v>
      </c>
      <c r="C872" t="s">
        <v>670</v>
      </c>
      <c r="E872" s="22">
        <v>0.36</v>
      </c>
      <c r="F872" t="s">
        <v>648</v>
      </c>
      <c r="G872" t="s">
        <v>649</v>
      </c>
      <c r="H872" t="s">
        <v>650</v>
      </c>
      <c r="I872" t="s">
        <v>651</v>
      </c>
      <c r="J872" t="s">
        <v>652</v>
      </c>
      <c r="K872" t="s">
        <v>48</v>
      </c>
      <c r="L872">
        <v>2016</v>
      </c>
      <c r="M872" t="s">
        <v>56</v>
      </c>
      <c r="N872" t="s">
        <v>55</v>
      </c>
      <c r="P872" s="6" t="s">
        <v>1544</v>
      </c>
    </row>
    <row r="873" spans="1:16" x14ac:dyDescent="0.2">
      <c r="A873">
        <v>564410540</v>
      </c>
      <c r="B873" t="s">
        <v>537</v>
      </c>
      <c r="C873" t="s">
        <v>670</v>
      </c>
      <c r="E873" s="22">
        <v>0.72</v>
      </c>
      <c r="F873" t="s">
        <v>648</v>
      </c>
      <c r="G873" t="s">
        <v>649</v>
      </c>
      <c r="H873" t="s">
        <v>650</v>
      </c>
      <c r="I873" t="s">
        <v>651</v>
      </c>
      <c r="J873" t="s">
        <v>652</v>
      </c>
      <c r="K873" t="s">
        <v>48</v>
      </c>
      <c r="L873">
        <v>2016</v>
      </c>
      <c r="M873" t="s">
        <v>56</v>
      </c>
      <c r="N873" t="s">
        <v>55</v>
      </c>
      <c r="P873" s="6" t="s">
        <v>1545</v>
      </c>
    </row>
    <row r="874" spans="1:16" x14ac:dyDescent="0.2">
      <c r="A874">
        <v>126539887</v>
      </c>
      <c r="B874" t="s">
        <v>537</v>
      </c>
      <c r="C874" t="s">
        <v>670</v>
      </c>
      <c r="E874" s="22">
        <v>0.62</v>
      </c>
      <c r="F874" t="s">
        <v>648</v>
      </c>
      <c r="G874" t="s">
        <v>649</v>
      </c>
      <c r="H874" t="s">
        <v>650</v>
      </c>
      <c r="I874" t="s">
        <v>651</v>
      </c>
      <c r="J874" t="s">
        <v>652</v>
      </c>
      <c r="K874" t="s">
        <v>48</v>
      </c>
      <c r="L874">
        <v>2016</v>
      </c>
      <c r="M874" t="s">
        <v>56</v>
      </c>
      <c r="N874" t="s">
        <v>55</v>
      </c>
      <c r="P874" s="6" t="s">
        <v>1546</v>
      </c>
    </row>
    <row r="875" spans="1:16" x14ac:dyDescent="0.2">
      <c r="A875">
        <v>563937624</v>
      </c>
      <c r="B875" t="s">
        <v>537</v>
      </c>
      <c r="C875" t="s">
        <v>670</v>
      </c>
      <c r="E875" s="22">
        <v>0.2</v>
      </c>
      <c r="F875" t="s">
        <v>648</v>
      </c>
      <c r="G875" t="s">
        <v>649</v>
      </c>
      <c r="H875" t="s">
        <v>650</v>
      </c>
      <c r="I875" t="s">
        <v>651</v>
      </c>
      <c r="J875" t="s">
        <v>652</v>
      </c>
      <c r="K875" t="s">
        <v>48</v>
      </c>
      <c r="L875">
        <v>2016</v>
      </c>
      <c r="M875" t="s">
        <v>56</v>
      </c>
      <c r="N875" t="s">
        <v>55</v>
      </c>
      <c r="P875" s="6" t="s">
        <v>1547</v>
      </c>
    </row>
    <row r="876" spans="1:16" x14ac:dyDescent="0.2">
      <c r="A876">
        <v>684291511</v>
      </c>
      <c r="B876" t="s">
        <v>537</v>
      </c>
      <c r="C876" t="s">
        <v>670</v>
      </c>
      <c r="E876" s="22">
        <v>0.52</v>
      </c>
      <c r="F876" t="s">
        <v>648</v>
      </c>
      <c r="G876" t="s">
        <v>649</v>
      </c>
      <c r="H876" t="s">
        <v>650</v>
      </c>
      <c r="I876" t="s">
        <v>651</v>
      </c>
      <c r="J876" t="s">
        <v>652</v>
      </c>
      <c r="K876" t="s">
        <v>48</v>
      </c>
      <c r="L876">
        <v>2016</v>
      </c>
      <c r="M876" t="s">
        <v>56</v>
      </c>
      <c r="N876" t="s">
        <v>55</v>
      </c>
      <c r="P876" s="6" t="s">
        <v>1548</v>
      </c>
    </row>
    <row r="877" spans="1:16" x14ac:dyDescent="0.2">
      <c r="A877">
        <v>598829620</v>
      </c>
      <c r="B877" t="s">
        <v>543</v>
      </c>
      <c r="C877" t="s">
        <v>671</v>
      </c>
      <c r="E877" s="22">
        <v>0.23333333333333334</v>
      </c>
      <c r="F877" t="s">
        <v>648</v>
      </c>
      <c r="G877" t="s">
        <v>649</v>
      </c>
      <c r="H877" t="s">
        <v>650</v>
      </c>
      <c r="I877" t="s">
        <v>651</v>
      </c>
      <c r="J877" t="s">
        <v>652</v>
      </c>
      <c r="K877" t="s">
        <v>48</v>
      </c>
      <c r="L877">
        <v>2016</v>
      </c>
      <c r="M877" t="s">
        <v>56</v>
      </c>
      <c r="N877" t="s">
        <v>55</v>
      </c>
      <c r="P877" s="6" t="s">
        <v>1549</v>
      </c>
    </row>
    <row r="878" spans="1:16" x14ac:dyDescent="0.2">
      <c r="A878">
        <v>684014860</v>
      </c>
      <c r="B878" t="s">
        <v>543</v>
      </c>
      <c r="C878" t="s">
        <v>671</v>
      </c>
      <c r="E878" s="22">
        <v>0.56000000000000005</v>
      </c>
      <c r="F878" t="s">
        <v>648</v>
      </c>
      <c r="G878" t="s">
        <v>649</v>
      </c>
      <c r="H878" t="s">
        <v>650</v>
      </c>
      <c r="I878" t="s">
        <v>651</v>
      </c>
      <c r="J878" t="s">
        <v>652</v>
      </c>
      <c r="K878" t="s">
        <v>48</v>
      </c>
      <c r="L878">
        <v>2016</v>
      </c>
      <c r="M878" t="s">
        <v>56</v>
      </c>
      <c r="N878" t="s">
        <v>55</v>
      </c>
      <c r="P878" s="6" t="s">
        <v>1550</v>
      </c>
    </row>
    <row r="879" spans="1:16" x14ac:dyDescent="0.2">
      <c r="A879">
        <v>843228181</v>
      </c>
      <c r="B879" t="s">
        <v>543</v>
      </c>
      <c r="C879" t="s">
        <v>671</v>
      </c>
      <c r="E879" s="22">
        <v>0.54666666666666675</v>
      </c>
      <c r="F879" t="s">
        <v>648</v>
      </c>
      <c r="G879" t="s">
        <v>649</v>
      </c>
      <c r="H879" t="s">
        <v>650</v>
      </c>
      <c r="I879" t="s">
        <v>651</v>
      </c>
      <c r="J879" t="s">
        <v>652</v>
      </c>
      <c r="K879" t="s">
        <v>48</v>
      </c>
      <c r="L879">
        <v>2016</v>
      </c>
      <c r="M879" t="s">
        <v>56</v>
      </c>
      <c r="N879" t="s">
        <v>55</v>
      </c>
      <c r="P879" s="6" t="s">
        <v>1551</v>
      </c>
    </row>
    <row r="880" spans="1:16" x14ac:dyDescent="0.2">
      <c r="A880">
        <v>820549378</v>
      </c>
      <c r="B880" t="s">
        <v>543</v>
      </c>
      <c r="C880" t="s">
        <v>671</v>
      </c>
      <c r="E880" s="22">
        <v>0.3</v>
      </c>
      <c r="F880" t="s">
        <v>648</v>
      </c>
      <c r="G880" t="s">
        <v>649</v>
      </c>
      <c r="H880" t="s">
        <v>650</v>
      </c>
      <c r="I880" t="s">
        <v>651</v>
      </c>
      <c r="J880" t="s">
        <v>652</v>
      </c>
      <c r="K880" t="s">
        <v>48</v>
      </c>
      <c r="L880">
        <v>2016</v>
      </c>
      <c r="M880" t="s">
        <v>56</v>
      </c>
      <c r="N880" t="s">
        <v>55</v>
      </c>
      <c r="P880" s="6" t="s">
        <v>1552</v>
      </c>
    </row>
    <row r="881" spans="1:16" x14ac:dyDescent="0.2">
      <c r="A881">
        <v>533572169</v>
      </c>
      <c r="B881" t="s">
        <v>543</v>
      </c>
      <c r="C881" t="s">
        <v>671</v>
      </c>
      <c r="E881" s="22">
        <v>0.21333333333333335</v>
      </c>
      <c r="F881" t="s">
        <v>648</v>
      </c>
      <c r="G881" t="s">
        <v>649</v>
      </c>
      <c r="H881" t="s">
        <v>650</v>
      </c>
      <c r="I881" t="s">
        <v>651</v>
      </c>
      <c r="J881" t="s">
        <v>652</v>
      </c>
      <c r="K881" t="s">
        <v>48</v>
      </c>
      <c r="L881">
        <v>2016</v>
      </c>
      <c r="M881" t="s">
        <v>56</v>
      </c>
      <c r="N881" t="s">
        <v>55</v>
      </c>
      <c r="P881" s="6" t="s">
        <v>1553</v>
      </c>
    </row>
    <row r="882" spans="1:16" x14ac:dyDescent="0.2">
      <c r="A882">
        <v>975325712</v>
      </c>
      <c r="B882" t="s">
        <v>543</v>
      </c>
      <c r="C882" t="s">
        <v>671</v>
      </c>
      <c r="E882" s="22">
        <v>0.38666666666666666</v>
      </c>
      <c r="F882" t="s">
        <v>648</v>
      </c>
      <c r="G882" t="s">
        <v>649</v>
      </c>
      <c r="H882" t="s">
        <v>650</v>
      </c>
      <c r="I882" t="s">
        <v>651</v>
      </c>
      <c r="J882" t="s">
        <v>652</v>
      </c>
      <c r="K882" t="s">
        <v>48</v>
      </c>
      <c r="L882">
        <v>2016</v>
      </c>
      <c r="M882" t="s">
        <v>56</v>
      </c>
      <c r="N882" t="s">
        <v>55</v>
      </c>
      <c r="P882" s="6" t="s">
        <v>1554</v>
      </c>
    </row>
    <row r="883" spans="1:16" x14ac:dyDescent="0.2">
      <c r="A883">
        <v>310082419</v>
      </c>
      <c r="B883" t="s">
        <v>543</v>
      </c>
      <c r="C883" t="s">
        <v>671</v>
      </c>
      <c r="E883" s="22">
        <v>0.1</v>
      </c>
      <c r="F883" t="s">
        <v>648</v>
      </c>
      <c r="G883" t="s">
        <v>649</v>
      </c>
      <c r="H883" t="s">
        <v>650</v>
      </c>
      <c r="I883" t="s">
        <v>651</v>
      </c>
      <c r="J883" t="s">
        <v>652</v>
      </c>
      <c r="K883" t="s">
        <v>48</v>
      </c>
      <c r="L883">
        <v>2016</v>
      </c>
      <c r="M883" t="s">
        <v>56</v>
      </c>
      <c r="N883" t="s">
        <v>55</v>
      </c>
      <c r="P883" s="6" t="s">
        <v>1555</v>
      </c>
    </row>
    <row r="884" spans="1:16" x14ac:dyDescent="0.2">
      <c r="A884">
        <v>242132470</v>
      </c>
      <c r="B884" t="s">
        <v>543</v>
      </c>
      <c r="C884" t="s">
        <v>671</v>
      </c>
      <c r="E884" s="22">
        <v>0.26</v>
      </c>
      <c r="F884" t="s">
        <v>648</v>
      </c>
      <c r="G884" t="s">
        <v>649</v>
      </c>
      <c r="H884" t="s">
        <v>650</v>
      </c>
      <c r="I884" t="s">
        <v>651</v>
      </c>
      <c r="J884" t="s">
        <v>652</v>
      </c>
      <c r="K884" t="s">
        <v>48</v>
      </c>
      <c r="L884">
        <v>2016</v>
      </c>
      <c r="M884" t="s">
        <v>56</v>
      </c>
      <c r="N884" t="s">
        <v>55</v>
      </c>
      <c r="P884" s="6" t="s">
        <v>1556</v>
      </c>
    </row>
    <row r="885" spans="1:16" x14ac:dyDescent="0.2">
      <c r="A885">
        <v>208248363</v>
      </c>
      <c r="B885" t="s">
        <v>543</v>
      </c>
      <c r="C885" t="s">
        <v>671</v>
      </c>
      <c r="E885" s="22">
        <v>0.47333333333333338</v>
      </c>
      <c r="F885" t="s">
        <v>648</v>
      </c>
      <c r="G885" t="s">
        <v>649</v>
      </c>
      <c r="H885" t="s">
        <v>650</v>
      </c>
      <c r="I885" t="s">
        <v>651</v>
      </c>
      <c r="J885" t="s">
        <v>652</v>
      </c>
      <c r="K885" t="s">
        <v>48</v>
      </c>
      <c r="L885">
        <v>2016</v>
      </c>
      <c r="M885" t="s">
        <v>56</v>
      </c>
      <c r="N885" t="s">
        <v>55</v>
      </c>
      <c r="P885" s="6" t="s">
        <v>1557</v>
      </c>
    </row>
    <row r="886" spans="1:16" x14ac:dyDescent="0.2">
      <c r="A886">
        <v>277055951</v>
      </c>
      <c r="B886" t="s">
        <v>543</v>
      </c>
      <c r="C886" t="s">
        <v>671</v>
      </c>
      <c r="E886" s="22">
        <v>0.17333333333333334</v>
      </c>
      <c r="F886" t="s">
        <v>648</v>
      </c>
      <c r="G886" t="s">
        <v>649</v>
      </c>
      <c r="H886" t="s">
        <v>650</v>
      </c>
      <c r="I886" t="s">
        <v>651</v>
      </c>
      <c r="J886" t="s">
        <v>652</v>
      </c>
      <c r="K886" t="s">
        <v>48</v>
      </c>
      <c r="L886">
        <v>2016</v>
      </c>
      <c r="M886" t="s">
        <v>56</v>
      </c>
      <c r="N886" t="s">
        <v>55</v>
      </c>
      <c r="P886" s="6" t="s">
        <v>1558</v>
      </c>
    </row>
    <row r="887" spans="1:16" x14ac:dyDescent="0.2">
      <c r="A887">
        <v>902907559</v>
      </c>
      <c r="B887" t="s">
        <v>543</v>
      </c>
      <c r="C887" t="s">
        <v>671</v>
      </c>
      <c r="E887" s="22">
        <v>0.61333333333333329</v>
      </c>
      <c r="F887" t="s">
        <v>648</v>
      </c>
      <c r="G887" t="s">
        <v>649</v>
      </c>
      <c r="H887" t="s">
        <v>650</v>
      </c>
      <c r="I887" t="s">
        <v>651</v>
      </c>
      <c r="J887" t="s">
        <v>652</v>
      </c>
      <c r="K887" t="s">
        <v>48</v>
      </c>
      <c r="L887">
        <v>2016</v>
      </c>
      <c r="M887" t="s">
        <v>56</v>
      </c>
      <c r="N887" t="s">
        <v>55</v>
      </c>
      <c r="P887" s="6" t="s">
        <v>1559</v>
      </c>
    </row>
    <row r="888" spans="1:16" x14ac:dyDescent="0.2">
      <c r="A888">
        <v>528297980</v>
      </c>
      <c r="B888" t="s">
        <v>543</v>
      </c>
      <c r="C888" t="s">
        <v>671</v>
      </c>
      <c r="E888" s="22">
        <v>0.59333333333333338</v>
      </c>
      <c r="F888" t="s">
        <v>648</v>
      </c>
      <c r="G888" t="s">
        <v>649</v>
      </c>
      <c r="H888" t="s">
        <v>650</v>
      </c>
      <c r="I888" t="s">
        <v>651</v>
      </c>
      <c r="J888" t="s">
        <v>652</v>
      </c>
      <c r="K888" t="s">
        <v>48</v>
      </c>
      <c r="L888">
        <v>2016</v>
      </c>
      <c r="M888" t="s">
        <v>56</v>
      </c>
      <c r="N888" t="s">
        <v>55</v>
      </c>
      <c r="P888" s="6" t="s">
        <v>1560</v>
      </c>
    </row>
    <row r="889" spans="1:16" x14ac:dyDescent="0.2">
      <c r="A889">
        <v>444882790</v>
      </c>
      <c r="B889" t="s">
        <v>543</v>
      </c>
      <c r="C889" t="s">
        <v>671</v>
      </c>
      <c r="E889" s="22">
        <v>8.0000000000000016E-2</v>
      </c>
      <c r="F889" t="s">
        <v>648</v>
      </c>
      <c r="G889" t="s">
        <v>649</v>
      </c>
      <c r="H889" t="s">
        <v>650</v>
      </c>
      <c r="I889" t="s">
        <v>651</v>
      </c>
      <c r="J889" t="s">
        <v>652</v>
      </c>
      <c r="K889" t="s">
        <v>48</v>
      </c>
      <c r="L889">
        <v>2016</v>
      </c>
      <c r="M889" t="s">
        <v>56</v>
      </c>
      <c r="N889" t="s">
        <v>55</v>
      </c>
      <c r="P889" s="6" t="s">
        <v>1561</v>
      </c>
    </row>
    <row r="890" spans="1:16" x14ac:dyDescent="0.2">
      <c r="A890">
        <v>112085131</v>
      </c>
      <c r="B890" t="s">
        <v>543</v>
      </c>
      <c r="C890" t="s">
        <v>671</v>
      </c>
      <c r="E890" s="22">
        <v>0.14666666666666667</v>
      </c>
      <c r="F890" t="s">
        <v>648</v>
      </c>
      <c r="G890" t="s">
        <v>649</v>
      </c>
      <c r="H890" t="s">
        <v>650</v>
      </c>
      <c r="I890" t="s">
        <v>651</v>
      </c>
      <c r="J890" t="s">
        <v>652</v>
      </c>
      <c r="K890" t="s">
        <v>48</v>
      </c>
      <c r="L890">
        <v>2016</v>
      </c>
      <c r="M890" t="s">
        <v>56</v>
      </c>
      <c r="N890" t="s">
        <v>55</v>
      </c>
      <c r="P890" s="6" t="s">
        <v>1562</v>
      </c>
    </row>
    <row r="891" spans="1:16" x14ac:dyDescent="0.2">
      <c r="A891">
        <v>588642518</v>
      </c>
      <c r="B891" t="s">
        <v>543</v>
      </c>
      <c r="C891" t="s">
        <v>671</v>
      </c>
      <c r="E891" s="22">
        <v>0.85333333333333339</v>
      </c>
      <c r="F891" t="s">
        <v>648</v>
      </c>
      <c r="G891" t="s">
        <v>649</v>
      </c>
      <c r="H891" t="s">
        <v>650</v>
      </c>
      <c r="I891" t="s">
        <v>651</v>
      </c>
      <c r="J891" t="s">
        <v>652</v>
      </c>
      <c r="K891" t="s">
        <v>48</v>
      </c>
      <c r="L891">
        <v>2016</v>
      </c>
      <c r="M891" t="s">
        <v>56</v>
      </c>
      <c r="N891" t="s">
        <v>55</v>
      </c>
      <c r="P891" s="6" t="s">
        <v>1563</v>
      </c>
    </row>
    <row r="892" spans="1:16" x14ac:dyDescent="0.2">
      <c r="A892">
        <v>414520736</v>
      </c>
      <c r="B892" t="s">
        <v>543</v>
      </c>
      <c r="C892" t="s">
        <v>671</v>
      </c>
      <c r="E892" s="22">
        <v>0.58666666666666656</v>
      </c>
      <c r="F892" t="s">
        <v>648</v>
      </c>
      <c r="G892" t="s">
        <v>649</v>
      </c>
      <c r="H892" t="s">
        <v>650</v>
      </c>
      <c r="I892" t="s">
        <v>651</v>
      </c>
      <c r="J892" t="s">
        <v>652</v>
      </c>
      <c r="K892" t="s">
        <v>48</v>
      </c>
      <c r="L892">
        <v>2016</v>
      </c>
      <c r="M892" t="s">
        <v>56</v>
      </c>
      <c r="N892" t="s">
        <v>55</v>
      </c>
      <c r="P892" s="6" t="s">
        <v>1564</v>
      </c>
    </row>
    <row r="893" spans="1:16" x14ac:dyDescent="0.2">
      <c r="A893">
        <v>356558346</v>
      </c>
      <c r="B893" t="s">
        <v>543</v>
      </c>
      <c r="C893" t="s">
        <v>671</v>
      </c>
      <c r="E893" s="22">
        <v>0.3</v>
      </c>
      <c r="F893" t="s">
        <v>648</v>
      </c>
      <c r="G893" t="s">
        <v>649</v>
      </c>
      <c r="H893" t="s">
        <v>650</v>
      </c>
      <c r="I893" t="s">
        <v>651</v>
      </c>
      <c r="J893" t="s">
        <v>652</v>
      </c>
      <c r="K893" t="s">
        <v>48</v>
      </c>
      <c r="L893">
        <v>2016</v>
      </c>
      <c r="M893" t="s">
        <v>56</v>
      </c>
      <c r="N893" t="s">
        <v>55</v>
      </c>
      <c r="P893" s="6" t="s">
        <v>1565</v>
      </c>
    </row>
    <row r="894" spans="1:16" x14ac:dyDescent="0.2">
      <c r="A894">
        <v>970698993</v>
      </c>
      <c r="B894" t="s">
        <v>543</v>
      </c>
      <c r="C894" t="s">
        <v>671</v>
      </c>
      <c r="E894" s="22">
        <v>0.66</v>
      </c>
      <c r="F894" t="s">
        <v>648</v>
      </c>
      <c r="G894" t="s">
        <v>649</v>
      </c>
      <c r="H894" t="s">
        <v>650</v>
      </c>
      <c r="I894" t="s">
        <v>651</v>
      </c>
      <c r="J894" t="s">
        <v>652</v>
      </c>
      <c r="K894" t="s">
        <v>48</v>
      </c>
      <c r="L894">
        <v>2016</v>
      </c>
      <c r="M894" t="s">
        <v>56</v>
      </c>
      <c r="N894" t="s">
        <v>55</v>
      </c>
      <c r="P894" s="6" t="s">
        <v>1566</v>
      </c>
    </row>
    <row r="895" spans="1:16" x14ac:dyDescent="0.2">
      <c r="A895">
        <v>633537205</v>
      </c>
      <c r="B895" t="s">
        <v>543</v>
      </c>
      <c r="C895" t="s">
        <v>671</v>
      </c>
      <c r="E895" s="22">
        <v>0.27333333333333332</v>
      </c>
      <c r="F895" t="s">
        <v>648</v>
      </c>
      <c r="G895" t="s">
        <v>649</v>
      </c>
      <c r="H895" t="s">
        <v>650</v>
      </c>
      <c r="I895" t="s">
        <v>651</v>
      </c>
      <c r="J895" t="s">
        <v>652</v>
      </c>
      <c r="K895" t="s">
        <v>48</v>
      </c>
      <c r="L895">
        <v>2016</v>
      </c>
      <c r="M895" t="s">
        <v>56</v>
      </c>
      <c r="N895" t="s">
        <v>55</v>
      </c>
      <c r="P895" s="6" t="s">
        <v>1567</v>
      </c>
    </row>
    <row r="896" spans="1:16" x14ac:dyDescent="0.2">
      <c r="A896">
        <v>534292868</v>
      </c>
      <c r="B896" t="s">
        <v>543</v>
      </c>
      <c r="C896" t="s">
        <v>671</v>
      </c>
      <c r="E896" s="22">
        <v>0.62666666666666671</v>
      </c>
      <c r="F896" t="s">
        <v>648</v>
      </c>
      <c r="G896" t="s">
        <v>649</v>
      </c>
      <c r="H896" t="s">
        <v>650</v>
      </c>
      <c r="I896" t="s">
        <v>651</v>
      </c>
      <c r="J896" t="s">
        <v>652</v>
      </c>
      <c r="K896" t="s">
        <v>48</v>
      </c>
      <c r="L896">
        <v>2016</v>
      </c>
      <c r="M896" t="s">
        <v>56</v>
      </c>
      <c r="N896" t="s">
        <v>55</v>
      </c>
      <c r="P896" s="6" t="s">
        <v>1568</v>
      </c>
    </row>
    <row r="897" spans="1:16" x14ac:dyDescent="0.2">
      <c r="A897">
        <v>816787809</v>
      </c>
      <c r="B897" t="s">
        <v>543</v>
      </c>
      <c r="C897" t="s">
        <v>671</v>
      </c>
      <c r="E897" s="22">
        <v>0.52666666666666673</v>
      </c>
      <c r="F897" t="s">
        <v>648</v>
      </c>
      <c r="G897" t="s">
        <v>649</v>
      </c>
      <c r="H897" t="s">
        <v>650</v>
      </c>
      <c r="I897" t="s">
        <v>651</v>
      </c>
      <c r="J897" t="s">
        <v>652</v>
      </c>
      <c r="K897" t="s">
        <v>48</v>
      </c>
      <c r="L897">
        <v>2016</v>
      </c>
      <c r="M897" t="s">
        <v>56</v>
      </c>
      <c r="N897" t="s">
        <v>55</v>
      </c>
      <c r="P897" s="6" t="s">
        <v>1569</v>
      </c>
    </row>
    <row r="898" spans="1:16" x14ac:dyDescent="0.2">
      <c r="A898">
        <v>220052551</v>
      </c>
      <c r="B898" t="s">
        <v>543</v>
      </c>
      <c r="C898" t="s">
        <v>671</v>
      </c>
      <c r="E898" s="22">
        <v>0.53999999999999992</v>
      </c>
      <c r="F898" t="s">
        <v>648</v>
      </c>
      <c r="G898" t="s">
        <v>649</v>
      </c>
      <c r="H898" t="s">
        <v>650</v>
      </c>
      <c r="I898" t="s">
        <v>651</v>
      </c>
      <c r="J898" t="s">
        <v>652</v>
      </c>
      <c r="K898" t="s">
        <v>48</v>
      </c>
      <c r="L898">
        <v>2016</v>
      </c>
      <c r="M898" t="s">
        <v>56</v>
      </c>
      <c r="N898" t="s">
        <v>55</v>
      </c>
      <c r="P898" s="6" t="s">
        <v>1570</v>
      </c>
    </row>
    <row r="899" spans="1:16" x14ac:dyDescent="0.2">
      <c r="A899">
        <v>858571733</v>
      </c>
      <c r="B899" t="s">
        <v>543</v>
      </c>
      <c r="C899" t="s">
        <v>671</v>
      </c>
      <c r="E899" s="22">
        <v>0.18000000000000002</v>
      </c>
      <c r="F899" t="s">
        <v>648</v>
      </c>
      <c r="G899" t="s">
        <v>649</v>
      </c>
      <c r="H899" t="s">
        <v>650</v>
      </c>
      <c r="I899" t="s">
        <v>651</v>
      </c>
      <c r="J899" t="s">
        <v>652</v>
      </c>
      <c r="K899" t="s">
        <v>48</v>
      </c>
      <c r="L899">
        <v>2016</v>
      </c>
      <c r="M899" t="s">
        <v>56</v>
      </c>
      <c r="N899" t="s">
        <v>55</v>
      </c>
      <c r="P899" s="6" t="s">
        <v>1571</v>
      </c>
    </row>
    <row r="900" spans="1:16" x14ac:dyDescent="0.2">
      <c r="A900">
        <v>363436152</v>
      </c>
      <c r="B900" t="s">
        <v>543</v>
      </c>
      <c r="C900" t="s">
        <v>671</v>
      </c>
      <c r="E900" s="22">
        <v>0.29333333333333333</v>
      </c>
      <c r="F900" t="s">
        <v>648</v>
      </c>
      <c r="G900" t="s">
        <v>649</v>
      </c>
      <c r="H900" t="s">
        <v>650</v>
      </c>
      <c r="I900" t="s">
        <v>651</v>
      </c>
      <c r="J900" t="s">
        <v>652</v>
      </c>
      <c r="K900" t="s">
        <v>48</v>
      </c>
      <c r="L900">
        <v>2016</v>
      </c>
      <c r="M900" t="s">
        <v>56</v>
      </c>
      <c r="N900" t="s">
        <v>55</v>
      </c>
      <c r="P900" s="6" t="s">
        <v>1572</v>
      </c>
    </row>
    <row r="901" spans="1:16" x14ac:dyDescent="0.2">
      <c r="A901">
        <v>393495083</v>
      </c>
      <c r="B901" t="s">
        <v>543</v>
      </c>
      <c r="C901" t="s">
        <v>671</v>
      </c>
      <c r="E901" s="22">
        <v>0.66666666666666663</v>
      </c>
      <c r="F901" t="s">
        <v>648</v>
      </c>
      <c r="G901" t="s">
        <v>649</v>
      </c>
      <c r="H901" t="s">
        <v>650</v>
      </c>
      <c r="I901" t="s">
        <v>651</v>
      </c>
      <c r="J901" t="s">
        <v>652</v>
      </c>
      <c r="K901" t="s">
        <v>48</v>
      </c>
      <c r="L901">
        <v>2016</v>
      </c>
      <c r="M901" t="s">
        <v>56</v>
      </c>
      <c r="N901" t="s">
        <v>55</v>
      </c>
      <c r="P901" s="6" t="s">
        <v>1573</v>
      </c>
    </row>
    <row r="902" spans="1:16" x14ac:dyDescent="0.2">
      <c r="A902">
        <v>769635714</v>
      </c>
      <c r="B902" t="s">
        <v>543</v>
      </c>
      <c r="C902" t="s">
        <v>671</v>
      </c>
      <c r="E902" s="22">
        <v>0.8</v>
      </c>
      <c r="F902" t="s">
        <v>648</v>
      </c>
      <c r="G902" t="s">
        <v>649</v>
      </c>
      <c r="H902" t="s">
        <v>650</v>
      </c>
      <c r="I902" t="s">
        <v>651</v>
      </c>
      <c r="J902" t="s">
        <v>652</v>
      </c>
      <c r="K902" t="s">
        <v>48</v>
      </c>
      <c r="L902">
        <v>2016</v>
      </c>
      <c r="M902" t="s">
        <v>56</v>
      </c>
      <c r="N902" t="s">
        <v>55</v>
      </c>
      <c r="P902" s="6" t="s">
        <v>1574</v>
      </c>
    </row>
    <row r="903" spans="1:16" x14ac:dyDescent="0.2">
      <c r="A903">
        <v>373048949</v>
      </c>
      <c r="B903" t="s">
        <v>543</v>
      </c>
      <c r="C903" t="s">
        <v>671</v>
      </c>
      <c r="E903" s="22">
        <v>0.6333333333333333</v>
      </c>
      <c r="F903" t="s">
        <v>648</v>
      </c>
      <c r="G903" t="s">
        <v>649</v>
      </c>
      <c r="H903" t="s">
        <v>650</v>
      </c>
      <c r="I903" t="s">
        <v>651</v>
      </c>
      <c r="J903" t="s">
        <v>652</v>
      </c>
      <c r="K903" t="s">
        <v>48</v>
      </c>
      <c r="L903">
        <v>2016</v>
      </c>
      <c r="M903" t="s">
        <v>56</v>
      </c>
      <c r="N903" t="s">
        <v>55</v>
      </c>
      <c r="P903" s="6" t="s">
        <v>1575</v>
      </c>
    </row>
    <row r="904" spans="1:16" x14ac:dyDescent="0.2">
      <c r="A904">
        <v>357061292</v>
      </c>
      <c r="B904" t="s">
        <v>543</v>
      </c>
      <c r="C904" t="s">
        <v>671</v>
      </c>
      <c r="E904" s="22">
        <v>0.23333333333333334</v>
      </c>
      <c r="F904" t="s">
        <v>648</v>
      </c>
      <c r="G904" t="s">
        <v>649</v>
      </c>
      <c r="H904" t="s">
        <v>650</v>
      </c>
      <c r="I904" t="s">
        <v>651</v>
      </c>
      <c r="J904" t="s">
        <v>652</v>
      </c>
      <c r="K904" t="s">
        <v>48</v>
      </c>
      <c r="L904">
        <v>2016</v>
      </c>
      <c r="M904" t="s">
        <v>56</v>
      </c>
      <c r="N904" t="s">
        <v>55</v>
      </c>
      <c r="P904" s="6" t="s">
        <v>1576</v>
      </c>
    </row>
    <row r="905" spans="1:16" x14ac:dyDescent="0.2">
      <c r="A905">
        <v>837310284</v>
      </c>
      <c r="B905" t="s">
        <v>543</v>
      </c>
      <c r="C905" t="s">
        <v>671</v>
      </c>
      <c r="E905" s="22">
        <v>0.42</v>
      </c>
      <c r="F905" t="s">
        <v>648</v>
      </c>
      <c r="G905" t="s">
        <v>649</v>
      </c>
      <c r="H905" t="s">
        <v>650</v>
      </c>
      <c r="I905" t="s">
        <v>651</v>
      </c>
      <c r="J905" t="s">
        <v>652</v>
      </c>
      <c r="K905" t="s">
        <v>48</v>
      </c>
      <c r="L905">
        <v>2016</v>
      </c>
      <c r="M905" t="s">
        <v>56</v>
      </c>
      <c r="N905" t="s">
        <v>55</v>
      </c>
      <c r="P905" s="6" t="s">
        <v>1577</v>
      </c>
    </row>
    <row r="906" spans="1:16" x14ac:dyDescent="0.2">
      <c r="A906">
        <v>815854164</v>
      </c>
      <c r="B906" t="s">
        <v>543</v>
      </c>
      <c r="C906" t="s">
        <v>671</v>
      </c>
      <c r="E906" s="22">
        <v>0.8</v>
      </c>
      <c r="F906" t="s">
        <v>648</v>
      </c>
      <c r="G906" t="s">
        <v>649</v>
      </c>
      <c r="H906" t="s">
        <v>650</v>
      </c>
      <c r="I906" t="s">
        <v>651</v>
      </c>
      <c r="J906" t="s">
        <v>652</v>
      </c>
      <c r="K906" t="s">
        <v>48</v>
      </c>
      <c r="L906">
        <v>2016</v>
      </c>
      <c r="M906" t="s">
        <v>56</v>
      </c>
      <c r="N906" t="s">
        <v>55</v>
      </c>
      <c r="P906" s="6" t="s">
        <v>1578</v>
      </c>
    </row>
    <row r="907" spans="1:16" x14ac:dyDescent="0.2">
      <c r="A907">
        <v>315378369</v>
      </c>
      <c r="B907" t="s">
        <v>543</v>
      </c>
      <c r="C907" t="s">
        <v>671</v>
      </c>
      <c r="E907" s="22">
        <v>0.2</v>
      </c>
      <c r="F907" t="s">
        <v>648</v>
      </c>
      <c r="G907" t="s">
        <v>649</v>
      </c>
      <c r="H907" t="s">
        <v>650</v>
      </c>
      <c r="I907" t="s">
        <v>651</v>
      </c>
      <c r="J907" t="s">
        <v>652</v>
      </c>
      <c r="K907" t="s">
        <v>48</v>
      </c>
      <c r="L907">
        <v>2016</v>
      </c>
      <c r="M907" t="s">
        <v>56</v>
      </c>
      <c r="N907" t="s">
        <v>55</v>
      </c>
      <c r="P907" s="6" t="s">
        <v>1579</v>
      </c>
    </row>
    <row r="908" spans="1:16" x14ac:dyDescent="0.2">
      <c r="A908">
        <v>564410540</v>
      </c>
      <c r="B908" t="s">
        <v>543</v>
      </c>
      <c r="C908" t="s">
        <v>671</v>
      </c>
      <c r="E908" s="22">
        <v>0.38</v>
      </c>
      <c r="F908" t="s">
        <v>648</v>
      </c>
      <c r="G908" t="s">
        <v>649</v>
      </c>
      <c r="H908" t="s">
        <v>650</v>
      </c>
      <c r="I908" t="s">
        <v>651</v>
      </c>
      <c r="J908" t="s">
        <v>652</v>
      </c>
      <c r="K908" t="s">
        <v>48</v>
      </c>
      <c r="L908">
        <v>2016</v>
      </c>
      <c r="M908" t="s">
        <v>56</v>
      </c>
      <c r="N908" t="s">
        <v>55</v>
      </c>
      <c r="P908" s="6" t="s">
        <v>1580</v>
      </c>
    </row>
    <row r="909" spans="1:16" x14ac:dyDescent="0.2">
      <c r="A909">
        <v>126539887</v>
      </c>
      <c r="B909" t="s">
        <v>543</v>
      </c>
      <c r="C909" t="s">
        <v>671</v>
      </c>
      <c r="E909" s="22">
        <v>0.25333333333333335</v>
      </c>
      <c r="F909" t="s">
        <v>648</v>
      </c>
      <c r="G909" t="s">
        <v>649</v>
      </c>
      <c r="H909" t="s">
        <v>650</v>
      </c>
      <c r="I909" t="s">
        <v>651</v>
      </c>
      <c r="J909" t="s">
        <v>652</v>
      </c>
      <c r="K909" t="s">
        <v>48</v>
      </c>
      <c r="L909">
        <v>2016</v>
      </c>
      <c r="M909" t="s">
        <v>56</v>
      </c>
      <c r="N909" t="s">
        <v>55</v>
      </c>
      <c r="P909" s="6" t="s">
        <v>1581</v>
      </c>
    </row>
    <row r="910" spans="1:16" x14ac:dyDescent="0.2">
      <c r="A910">
        <v>563937624</v>
      </c>
      <c r="B910" t="s">
        <v>543</v>
      </c>
      <c r="C910" t="s">
        <v>671</v>
      </c>
      <c r="E910" s="22">
        <v>0.1</v>
      </c>
      <c r="F910" t="s">
        <v>648</v>
      </c>
      <c r="G910" t="s">
        <v>649</v>
      </c>
      <c r="H910" t="s">
        <v>650</v>
      </c>
      <c r="I910" t="s">
        <v>651</v>
      </c>
      <c r="J910" t="s">
        <v>652</v>
      </c>
      <c r="K910" t="s">
        <v>48</v>
      </c>
      <c r="L910">
        <v>2016</v>
      </c>
      <c r="M910" t="s">
        <v>56</v>
      </c>
      <c r="N910" t="s">
        <v>55</v>
      </c>
      <c r="P910" s="6" t="s">
        <v>1582</v>
      </c>
    </row>
    <row r="911" spans="1:16" x14ac:dyDescent="0.2">
      <c r="A911">
        <v>684291511</v>
      </c>
      <c r="B911" t="s">
        <v>543</v>
      </c>
      <c r="C911" t="s">
        <v>671</v>
      </c>
      <c r="E911" s="22">
        <v>0.42000000000000004</v>
      </c>
      <c r="F911" t="s">
        <v>648</v>
      </c>
      <c r="G911" t="s">
        <v>649</v>
      </c>
      <c r="H911" t="s">
        <v>650</v>
      </c>
      <c r="I911" t="s">
        <v>651</v>
      </c>
      <c r="J911" t="s">
        <v>652</v>
      </c>
      <c r="K911" t="s">
        <v>48</v>
      </c>
      <c r="L911">
        <v>2016</v>
      </c>
      <c r="M911" t="s">
        <v>56</v>
      </c>
      <c r="N911" t="s">
        <v>55</v>
      </c>
      <c r="P911" s="6" t="s">
        <v>1583</v>
      </c>
    </row>
    <row r="912" spans="1:16" x14ac:dyDescent="0.2">
      <c r="A912">
        <v>598829620</v>
      </c>
      <c r="B912" t="s">
        <v>543</v>
      </c>
      <c r="C912" t="s">
        <v>80</v>
      </c>
      <c r="E912" s="22">
        <v>0.25</v>
      </c>
      <c r="F912" t="s">
        <v>648</v>
      </c>
      <c r="G912" t="s">
        <v>649</v>
      </c>
      <c r="H912" t="s">
        <v>650</v>
      </c>
      <c r="I912" t="s">
        <v>651</v>
      </c>
      <c r="J912" t="s">
        <v>652</v>
      </c>
      <c r="K912" t="s">
        <v>48</v>
      </c>
      <c r="L912">
        <v>2016</v>
      </c>
      <c r="M912" t="s">
        <v>56</v>
      </c>
      <c r="N912" t="s">
        <v>55</v>
      </c>
      <c r="P912" s="6" t="s">
        <v>1584</v>
      </c>
    </row>
    <row r="913" spans="1:16" x14ac:dyDescent="0.2">
      <c r="A913">
        <v>684014860</v>
      </c>
      <c r="B913" t="s">
        <v>543</v>
      </c>
      <c r="C913" t="s">
        <v>80</v>
      </c>
      <c r="E913" s="22">
        <v>0.44250000000000006</v>
      </c>
      <c r="F913" t="s">
        <v>648</v>
      </c>
      <c r="G913" t="s">
        <v>649</v>
      </c>
      <c r="H913" t="s">
        <v>650</v>
      </c>
      <c r="I913" t="s">
        <v>651</v>
      </c>
      <c r="J913" t="s">
        <v>652</v>
      </c>
      <c r="K913" t="s">
        <v>48</v>
      </c>
      <c r="L913">
        <v>2016</v>
      </c>
      <c r="M913" t="s">
        <v>56</v>
      </c>
      <c r="N913" t="s">
        <v>55</v>
      </c>
      <c r="P913" s="6" t="s">
        <v>1585</v>
      </c>
    </row>
    <row r="914" spans="1:16" x14ac:dyDescent="0.2">
      <c r="A914">
        <v>843228181</v>
      </c>
      <c r="B914" t="s">
        <v>543</v>
      </c>
      <c r="C914" t="s">
        <v>80</v>
      </c>
      <c r="E914" s="22">
        <v>0.50500000000000012</v>
      </c>
      <c r="F914" t="s">
        <v>648</v>
      </c>
      <c r="G914" t="s">
        <v>649</v>
      </c>
      <c r="H914" t="s">
        <v>650</v>
      </c>
      <c r="I914" t="s">
        <v>651</v>
      </c>
      <c r="J914" t="s">
        <v>652</v>
      </c>
      <c r="K914" t="s">
        <v>48</v>
      </c>
      <c r="L914">
        <v>2016</v>
      </c>
      <c r="M914" t="s">
        <v>56</v>
      </c>
      <c r="N914" t="s">
        <v>55</v>
      </c>
      <c r="P914" s="6" t="s">
        <v>1586</v>
      </c>
    </row>
    <row r="915" spans="1:16" x14ac:dyDescent="0.2">
      <c r="A915">
        <v>820549378</v>
      </c>
      <c r="B915" t="s">
        <v>543</v>
      </c>
      <c r="C915" t="s">
        <v>80</v>
      </c>
      <c r="E915" s="22">
        <v>0.4375</v>
      </c>
      <c r="F915" t="s">
        <v>648</v>
      </c>
      <c r="G915" t="s">
        <v>649</v>
      </c>
      <c r="H915" t="s">
        <v>650</v>
      </c>
      <c r="I915" t="s">
        <v>651</v>
      </c>
      <c r="J915" t="s">
        <v>652</v>
      </c>
      <c r="K915" t="s">
        <v>48</v>
      </c>
      <c r="L915">
        <v>2016</v>
      </c>
      <c r="M915" t="s">
        <v>56</v>
      </c>
      <c r="N915" t="s">
        <v>55</v>
      </c>
      <c r="P915" s="6" t="s">
        <v>1587</v>
      </c>
    </row>
    <row r="916" spans="1:16" x14ac:dyDescent="0.2">
      <c r="A916">
        <v>533572169</v>
      </c>
      <c r="B916" t="s">
        <v>543</v>
      </c>
      <c r="C916" t="s">
        <v>80</v>
      </c>
      <c r="E916" s="22">
        <v>0.44500000000000001</v>
      </c>
      <c r="F916" t="s">
        <v>648</v>
      </c>
      <c r="G916" t="s">
        <v>649</v>
      </c>
      <c r="H916" t="s">
        <v>650</v>
      </c>
      <c r="I916" t="s">
        <v>651</v>
      </c>
      <c r="J916" t="s">
        <v>652</v>
      </c>
      <c r="K916" t="s">
        <v>48</v>
      </c>
      <c r="L916">
        <v>2016</v>
      </c>
      <c r="M916" t="s">
        <v>56</v>
      </c>
      <c r="N916" t="s">
        <v>55</v>
      </c>
      <c r="P916" s="6" t="s">
        <v>1588</v>
      </c>
    </row>
    <row r="917" spans="1:16" x14ac:dyDescent="0.2">
      <c r="A917">
        <v>975325712</v>
      </c>
      <c r="B917" t="s">
        <v>543</v>
      </c>
      <c r="C917" t="s">
        <v>80</v>
      </c>
      <c r="E917" s="22">
        <v>0.45750000000000002</v>
      </c>
      <c r="F917" t="s">
        <v>648</v>
      </c>
      <c r="G917" t="s">
        <v>649</v>
      </c>
      <c r="H917" t="s">
        <v>650</v>
      </c>
      <c r="I917" t="s">
        <v>651</v>
      </c>
      <c r="J917" t="s">
        <v>652</v>
      </c>
      <c r="K917" t="s">
        <v>48</v>
      </c>
      <c r="L917">
        <v>2016</v>
      </c>
      <c r="M917" t="s">
        <v>56</v>
      </c>
      <c r="N917" t="s">
        <v>55</v>
      </c>
      <c r="P917" s="6" t="s">
        <v>1589</v>
      </c>
    </row>
    <row r="918" spans="1:16" x14ac:dyDescent="0.2">
      <c r="A918">
        <v>310082419</v>
      </c>
      <c r="B918" t="s">
        <v>543</v>
      </c>
      <c r="C918" t="s">
        <v>80</v>
      </c>
      <c r="E918" s="22">
        <v>0.23750000000000004</v>
      </c>
      <c r="F918" t="s">
        <v>648</v>
      </c>
      <c r="G918" t="s">
        <v>649</v>
      </c>
      <c r="H918" t="s">
        <v>650</v>
      </c>
      <c r="I918" t="s">
        <v>651</v>
      </c>
      <c r="J918" t="s">
        <v>652</v>
      </c>
      <c r="K918" t="s">
        <v>48</v>
      </c>
      <c r="L918">
        <v>2016</v>
      </c>
      <c r="M918" t="s">
        <v>56</v>
      </c>
      <c r="N918" t="s">
        <v>55</v>
      </c>
      <c r="P918" s="6" t="s">
        <v>1590</v>
      </c>
    </row>
    <row r="919" spans="1:16" x14ac:dyDescent="0.2">
      <c r="A919">
        <v>242132470</v>
      </c>
      <c r="B919" t="s">
        <v>543</v>
      </c>
      <c r="C919" t="s">
        <v>80</v>
      </c>
      <c r="E919" s="22">
        <v>0.22000000000000003</v>
      </c>
      <c r="F919" t="s">
        <v>648</v>
      </c>
      <c r="G919" t="s">
        <v>649</v>
      </c>
      <c r="H919" t="s">
        <v>650</v>
      </c>
      <c r="I919" t="s">
        <v>651</v>
      </c>
      <c r="J919" t="s">
        <v>652</v>
      </c>
      <c r="K919" t="s">
        <v>48</v>
      </c>
      <c r="L919">
        <v>2016</v>
      </c>
      <c r="M919" t="s">
        <v>56</v>
      </c>
      <c r="N919" t="s">
        <v>55</v>
      </c>
      <c r="P919" s="6" t="s">
        <v>1591</v>
      </c>
    </row>
    <row r="920" spans="1:16" x14ac:dyDescent="0.2">
      <c r="A920">
        <v>208248363</v>
      </c>
      <c r="B920" t="s">
        <v>543</v>
      </c>
      <c r="C920" t="s">
        <v>80</v>
      </c>
      <c r="E920" s="22">
        <v>0.52750000000000008</v>
      </c>
      <c r="F920" t="s">
        <v>648</v>
      </c>
      <c r="G920" t="s">
        <v>649</v>
      </c>
      <c r="H920" t="s">
        <v>650</v>
      </c>
      <c r="I920" t="s">
        <v>651</v>
      </c>
      <c r="J920" t="s">
        <v>652</v>
      </c>
      <c r="K920" t="s">
        <v>48</v>
      </c>
      <c r="L920">
        <v>2016</v>
      </c>
      <c r="M920" t="s">
        <v>56</v>
      </c>
      <c r="N920" t="s">
        <v>55</v>
      </c>
      <c r="P920" s="6" t="s">
        <v>1592</v>
      </c>
    </row>
    <row r="921" spans="1:16" x14ac:dyDescent="0.2">
      <c r="A921">
        <v>277055951</v>
      </c>
      <c r="B921" t="s">
        <v>543</v>
      </c>
      <c r="C921" t="s">
        <v>80</v>
      </c>
      <c r="E921" s="22">
        <v>0.43500000000000005</v>
      </c>
      <c r="F921" t="s">
        <v>648</v>
      </c>
      <c r="G921" t="s">
        <v>649</v>
      </c>
      <c r="H921" t="s">
        <v>650</v>
      </c>
      <c r="I921" t="s">
        <v>651</v>
      </c>
      <c r="J921" t="s">
        <v>652</v>
      </c>
      <c r="K921" t="s">
        <v>48</v>
      </c>
      <c r="L921">
        <v>2016</v>
      </c>
      <c r="M921" t="s">
        <v>56</v>
      </c>
      <c r="N921" t="s">
        <v>55</v>
      </c>
      <c r="P921" s="6" t="s">
        <v>1593</v>
      </c>
    </row>
    <row r="922" spans="1:16" x14ac:dyDescent="0.2">
      <c r="A922">
        <v>902907559</v>
      </c>
      <c r="B922" t="s">
        <v>543</v>
      </c>
      <c r="C922" t="s">
        <v>80</v>
      </c>
      <c r="E922" s="22">
        <v>0.72</v>
      </c>
      <c r="F922" t="s">
        <v>648</v>
      </c>
      <c r="G922" t="s">
        <v>649</v>
      </c>
      <c r="H922" t="s">
        <v>650</v>
      </c>
      <c r="I922" t="s">
        <v>651</v>
      </c>
      <c r="J922" t="s">
        <v>652</v>
      </c>
      <c r="K922" t="s">
        <v>48</v>
      </c>
      <c r="L922">
        <v>2016</v>
      </c>
      <c r="M922" t="s">
        <v>56</v>
      </c>
      <c r="N922" t="s">
        <v>55</v>
      </c>
      <c r="P922" s="6" t="s">
        <v>1594</v>
      </c>
    </row>
    <row r="923" spans="1:16" x14ac:dyDescent="0.2">
      <c r="A923">
        <v>528297980</v>
      </c>
      <c r="B923" t="s">
        <v>543</v>
      </c>
      <c r="C923" t="s">
        <v>80</v>
      </c>
      <c r="E923" s="22">
        <v>0.63000000000000012</v>
      </c>
      <c r="F923" t="s">
        <v>648</v>
      </c>
      <c r="G923" t="s">
        <v>649</v>
      </c>
      <c r="H923" t="s">
        <v>650</v>
      </c>
      <c r="I923" t="s">
        <v>651</v>
      </c>
      <c r="J923" t="s">
        <v>652</v>
      </c>
      <c r="K923" t="s">
        <v>48</v>
      </c>
      <c r="L923">
        <v>2016</v>
      </c>
      <c r="M923" t="s">
        <v>56</v>
      </c>
      <c r="N923" t="s">
        <v>55</v>
      </c>
      <c r="P923" s="6" t="s">
        <v>1595</v>
      </c>
    </row>
    <row r="924" spans="1:16" x14ac:dyDescent="0.2">
      <c r="A924">
        <v>444882790</v>
      </c>
      <c r="B924" t="s">
        <v>543</v>
      </c>
      <c r="C924" t="s">
        <v>80</v>
      </c>
      <c r="E924" s="22">
        <v>0.09</v>
      </c>
      <c r="F924" t="s">
        <v>648</v>
      </c>
      <c r="G924" t="s">
        <v>649</v>
      </c>
      <c r="H924" t="s">
        <v>650</v>
      </c>
      <c r="I924" t="s">
        <v>651</v>
      </c>
      <c r="J924" t="s">
        <v>652</v>
      </c>
      <c r="K924" t="s">
        <v>48</v>
      </c>
      <c r="L924">
        <v>2016</v>
      </c>
      <c r="M924" t="s">
        <v>56</v>
      </c>
      <c r="N924" t="s">
        <v>55</v>
      </c>
      <c r="P924" s="6" t="s">
        <v>1596</v>
      </c>
    </row>
    <row r="925" spans="1:16" x14ac:dyDescent="0.2">
      <c r="A925">
        <v>112085131</v>
      </c>
      <c r="B925" t="s">
        <v>543</v>
      </c>
      <c r="C925" t="s">
        <v>80</v>
      </c>
      <c r="E925" s="22">
        <v>0.27</v>
      </c>
      <c r="F925" t="s">
        <v>648</v>
      </c>
      <c r="G925" t="s">
        <v>649</v>
      </c>
      <c r="H925" t="s">
        <v>650</v>
      </c>
      <c r="I925" t="s">
        <v>651</v>
      </c>
      <c r="J925" t="s">
        <v>652</v>
      </c>
      <c r="K925" t="s">
        <v>48</v>
      </c>
      <c r="L925">
        <v>2016</v>
      </c>
      <c r="M925" t="s">
        <v>56</v>
      </c>
      <c r="N925" t="s">
        <v>55</v>
      </c>
      <c r="P925" s="6" t="s">
        <v>1597</v>
      </c>
    </row>
    <row r="926" spans="1:16" x14ac:dyDescent="0.2">
      <c r="A926">
        <v>588642518</v>
      </c>
      <c r="B926" t="s">
        <v>543</v>
      </c>
      <c r="C926" t="s">
        <v>80</v>
      </c>
      <c r="E926" s="22">
        <v>0.77250000000000008</v>
      </c>
      <c r="F926" t="s">
        <v>648</v>
      </c>
      <c r="G926" t="s">
        <v>649</v>
      </c>
      <c r="H926" t="s">
        <v>650</v>
      </c>
      <c r="I926" t="s">
        <v>651</v>
      </c>
      <c r="J926" t="s">
        <v>652</v>
      </c>
      <c r="K926" t="s">
        <v>48</v>
      </c>
      <c r="L926">
        <v>2016</v>
      </c>
      <c r="M926" t="s">
        <v>56</v>
      </c>
      <c r="N926" t="s">
        <v>55</v>
      </c>
      <c r="P926" s="6" t="s">
        <v>1598</v>
      </c>
    </row>
    <row r="927" spans="1:16" x14ac:dyDescent="0.2">
      <c r="A927">
        <v>414520736</v>
      </c>
      <c r="B927" t="s">
        <v>543</v>
      </c>
      <c r="C927" t="s">
        <v>80</v>
      </c>
      <c r="E927" s="22">
        <v>0.76749999999999996</v>
      </c>
      <c r="F927" t="s">
        <v>648</v>
      </c>
      <c r="G927" t="s">
        <v>649</v>
      </c>
      <c r="H927" t="s">
        <v>650</v>
      </c>
      <c r="I927" t="s">
        <v>651</v>
      </c>
      <c r="J927" t="s">
        <v>652</v>
      </c>
      <c r="K927" t="s">
        <v>48</v>
      </c>
      <c r="L927">
        <v>2016</v>
      </c>
      <c r="M927" t="s">
        <v>56</v>
      </c>
      <c r="N927" t="s">
        <v>55</v>
      </c>
      <c r="P927" s="6" t="s">
        <v>1599</v>
      </c>
    </row>
    <row r="928" spans="1:16" x14ac:dyDescent="0.2">
      <c r="A928">
        <v>356558346</v>
      </c>
      <c r="B928" t="s">
        <v>543</v>
      </c>
      <c r="C928" t="s">
        <v>80</v>
      </c>
      <c r="E928" s="22">
        <v>0.4375</v>
      </c>
      <c r="F928" t="s">
        <v>648</v>
      </c>
      <c r="G928" t="s">
        <v>649</v>
      </c>
      <c r="H928" t="s">
        <v>650</v>
      </c>
      <c r="I928" t="s">
        <v>651</v>
      </c>
      <c r="J928" t="s">
        <v>652</v>
      </c>
      <c r="K928" t="s">
        <v>48</v>
      </c>
      <c r="L928">
        <v>2016</v>
      </c>
      <c r="M928" t="s">
        <v>56</v>
      </c>
      <c r="N928" t="s">
        <v>55</v>
      </c>
      <c r="P928" s="6" t="s">
        <v>1600</v>
      </c>
    </row>
    <row r="929" spans="1:16" x14ac:dyDescent="0.2">
      <c r="A929">
        <v>970698993</v>
      </c>
      <c r="B929" t="s">
        <v>543</v>
      </c>
      <c r="C929" t="s">
        <v>80</v>
      </c>
      <c r="E929" s="22">
        <v>0.75</v>
      </c>
      <c r="F929" t="s">
        <v>648</v>
      </c>
      <c r="G929" t="s">
        <v>649</v>
      </c>
      <c r="H929" t="s">
        <v>650</v>
      </c>
      <c r="I929" t="s">
        <v>651</v>
      </c>
      <c r="J929" t="s">
        <v>652</v>
      </c>
      <c r="K929" t="s">
        <v>48</v>
      </c>
      <c r="L929">
        <v>2016</v>
      </c>
      <c r="M929" t="s">
        <v>56</v>
      </c>
      <c r="N929" t="s">
        <v>55</v>
      </c>
      <c r="P929" s="6" t="s">
        <v>1601</v>
      </c>
    </row>
    <row r="930" spans="1:16" x14ac:dyDescent="0.2">
      <c r="A930">
        <v>633537205</v>
      </c>
      <c r="B930" t="s">
        <v>543</v>
      </c>
      <c r="C930" t="s">
        <v>80</v>
      </c>
      <c r="E930" s="22">
        <v>0.45750000000000002</v>
      </c>
      <c r="F930" t="s">
        <v>648</v>
      </c>
      <c r="G930" t="s">
        <v>649</v>
      </c>
      <c r="H930" t="s">
        <v>650</v>
      </c>
      <c r="I930" t="s">
        <v>651</v>
      </c>
      <c r="J930" t="s">
        <v>652</v>
      </c>
      <c r="K930" t="s">
        <v>48</v>
      </c>
      <c r="L930">
        <v>2016</v>
      </c>
      <c r="M930" t="s">
        <v>56</v>
      </c>
      <c r="N930" t="s">
        <v>55</v>
      </c>
      <c r="P930" s="6" t="s">
        <v>1602</v>
      </c>
    </row>
    <row r="931" spans="1:16" x14ac:dyDescent="0.2">
      <c r="A931">
        <v>534292868</v>
      </c>
      <c r="B931" t="s">
        <v>543</v>
      </c>
      <c r="C931" t="s">
        <v>80</v>
      </c>
      <c r="E931" s="22">
        <v>0.70499999999999996</v>
      </c>
      <c r="F931" t="s">
        <v>648</v>
      </c>
      <c r="G931" t="s">
        <v>649</v>
      </c>
      <c r="H931" t="s">
        <v>650</v>
      </c>
      <c r="I931" t="s">
        <v>651</v>
      </c>
      <c r="J931" t="s">
        <v>652</v>
      </c>
      <c r="K931" t="s">
        <v>48</v>
      </c>
      <c r="L931">
        <v>2016</v>
      </c>
      <c r="M931" t="s">
        <v>56</v>
      </c>
      <c r="N931" t="s">
        <v>55</v>
      </c>
      <c r="P931" s="6" t="s">
        <v>1603</v>
      </c>
    </row>
    <row r="932" spans="1:16" x14ac:dyDescent="0.2">
      <c r="A932">
        <v>816787809</v>
      </c>
      <c r="B932" t="s">
        <v>543</v>
      </c>
      <c r="C932" t="s">
        <v>80</v>
      </c>
      <c r="E932" s="22">
        <v>0.44749999999999995</v>
      </c>
      <c r="F932" t="s">
        <v>648</v>
      </c>
      <c r="G932" t="s">
        <v>649</v>
      </c>
      <c r="H932" t="s">
        <v>650</v>
      </c>
      <c r="I932" t="s">
        <v>651</v>
      </c>
      <c r="J932" t="s">
        <v>652</v>
      </c>
      <c r="K932" t="s">
        <v>48</v>
      </c>
      <c r="L932">
        <v>2016</v>
      </c>
      <c r="M932" t="s">
        <v>56</v>
      </c>
      <c r="N932" t="s">
        <v>55</v>
      </c>
      <c r="P932" s="6" t="s">
        <v>1604</v>
      </c>
    </row>
    <row r="933" spans="1:16" x14ac:dyDescent="0.2">
      <c r="A933">
        <v>220052551</v>
      </c>
      <c r="B933" t="s">
        <v>543</v>
      </c>
      <c r="C933" t="s">
        <v>80</v>
      </c>
      <c r="E933" s="22">
        <v>0.78</v>
      </c>
      <c r="F933" t="s">
        <v>648</v>
      </c>
      <c r="G933" t="s">
        <v>649</v>
      </c>
      <c r="H933" t="s">
        <v>650</v>
      </c>
      <c r="I933" t="s">
        <v>651</v>
      </c>
      <c r="J933" t="s">
        <v>652</v>
      </c>
      <c r="K933" t="s">
        <v>48</v>
      </c>
      <c r="L933">
        <v>2016</v>
      </c>
      <c r="M933" t="s">
        <v>56</v>
      </c>
      <c r="N933" t="s">
        <v>55</v>
      </c>
      <c r="P933" s="6" t="s">
        <v>1605</v>
      </c>
    </row>
    <row r="934" spans="1:16" x14ac:dyDescent="0.2">
      <c r="A934">
        <v>858571733</v>
      </c>
      <c r="B934" t="s">
        <v>543</v>
      </c>
      <c r="C934" t="s">
        <v>80</v>
      </c>
      <c r="E934" s="22">
        <v>0.21750000000000003</v>
      </c>
      <c r="F934" t="s">
        <v>648</v>
      </c>
      <c r="G934" t="s">
        <v>649</v>
      </c>
      <c r="H934" t="s">
        <v>650</v>
      </c>
      <c r="I934" t="s">
        <v>651</v>
      </c>
      <c r="J934" t="s">
        <v>652</v>
      </c>
      <c r="K934" t="s">
        <v>48</v>
      </c>
      <c r="L934">
        <v>2016</v>
      </c>
      <c r="M934" t="s">
        <v>56</v>
      </c>
      <c r="N934" t="s">
        <v>55</v>
      </c>
      <c r="P934" s="6" t="s">
        <v>1606</v>
      </c>
    </row>
    <row r="935" spans="1:16" x14ac:dyDescent="0.2">
      <c r="A935">
        <v>363436152</v>
      </c>
      <c r="B935" t="s">
        <v>543</v>
      </c>
      <c r="C935" t="s">
        <v>80</v>
      </c>
      <c r="E935" s="22">
        <v>0.32</v>
      </c>
      <c r="F935" t="s">
        <v>648</v>
      </c>
      <c r="G935" t="s">
        <v>649</v>
      </c>
      <c r="H935" t="s">
        <v>650</v>
      </c>
      <c r="I935" t="s">
        <v>651</v>
      </c>
      <c r="J935" t="s">
        <v>652</v>
      </c>
      <c r="K935" t="s">
        <v>48</v>
      </c>
      <c r="L935">
        <v>2016</v>
      </c>
      <c r="M935" t="s">
        <v>56</v>
      </c>
      <c r="N935" t="s">
        <v>55</v>
      </c>
      <c r="P935" s="6" t="s">
        <v>1607</v>
      </c>
    </row>
    <row r="936" spans="1:16" x14ac:dyDescent="0.2">
      <c r="A936">
        <v>393495083</v>
      </c>
      <c r="B936" t="s">
        <v>543</v>
      </c>
      <c r="C936" t="s">
        <v>80</v>
      </c>
      <c r="E936" s="22">
        <v>0.76749999999999996</v>
      </c>
      <c r="F936" t="s">
        <v>648</v>
      </c>
      <c r="G936" t="s">
        <v>649</v>
      </c>
      <c r="H936" t="s">
        <v>650</v>
      </c>
      <c r="I936" t="s">
        <v>651</v>
      </c>
      <c r="J936" t="s">
        <v>652</v>
      </c>
      <c r="K936" t="s">
        <v>48</v>
      </c>
      <c r="L936">
        <v>2016</v>
      </c>
      <c r="M936" t="s">
        <v>56</v>
      </c>
      <c r="N936" t="s">
        <v>55</v>
      </c>
      <c r="P936" s="6" t="s">
        <v>1608</v>
      </c>
    </row>
    <row r="937" spans="1:16" x14ac:dyDescent="0.2">
      <c r="A937">
        <v>769635714</v>
      </c>
      <c r="B937" t="s">
        <v>543</v>
      </c>
      <c r="C937" t="s">
        <v>80</v>
      </c>
      <c r="E937" s="22">
        <v>0.70750000000000013</v>
      </c>
      <c r="F937" t="s">
        <v>648</v>
      </c>
      <c r="G937" t="s">
        <v>649</v>
      </c>
      <c r="H937" t="s">
        <v>650</v>
      </c>
      <c r="I937" t="s">
        <v>651</v>
      </c>
      <c r="J937" t="s">
        <v>652</v>
      </c>
      <c r="K937" t="s">
        <v>48</v>
      </c>
      <c r="L937">
        <v>2016</v>
      </c>
      <c r="M937" t="s">
        <v>56</v>
      </c>
      <c r="N937" t="s">
        <v>55</v>
      </c>
      <c r="P937" s="6" t="s">
        <v>1609</v>
      </c>
    </row>
    <row r="938" spans="1:16" x14ac:dyDescent="0.2">
      <c r="A938">
        <v>373048949</v>
      </c>
      <c r="B938" t="s">
        <v>543</v>
      </c>
      <c r="C938" t="s">
        <v>80</v>
      </c>
      <c r="E938" s="22">
        <v>0.65749999999999997</v>
      </c>
      <c r="F938" t="s">
        <v>648</v>
      </c>
      <c r="G938" t="s">
        <v>649</v>
      </c>
      <c r="H938" t="s">
        <v>650</v>
      </c>
      <c r="I938" t="s">
        <v>651</v>
      </c>
      <c r="J938" t="s">
        <v>652</v>
      </c>
      <c r="K938" t="s">
        <v>48</v>
      </c>
      <c r="L938">
        <v>2016</v>
      </c>
      <c r="M938" t="s">
        <v>56</v>
      </c>
      <c r="N938" t="s">
        <v>55</v>
      </c>
      <c r="P938" s="6" t="s">
        <v>1610</v>
      </c>
    </row>
    <row r="939" spans="1:16" x14ac:dyDescent="0.2">
      <c r="A939">
        <v>357061292</v>
      </c>
      <c r="B939" t="s">
        <v>543</v>
      </c>
      <c r="C939" t="s">
        <v>80</v>
      </c>
      <c r="E939" s="22">
        <v>0.28999999999999998</v>
      </c>
      <c r="F939" t="s">
        <v>648</v>
      </c>
      <c r="G939" t="s">
        <v>649</v>
      </c>
      <c r="H939" t="s">
        <v>650</v>
      </c>
      <c r="I939" t="s">
        <v>651</v>
      </c>
      <c r="J939" t="s">
        <v>652</v>
      </c>
      <c r="K939" t="s">
        <v>48</v>
      </c>
      <c r="L939">
        <v>2016</v>
      </c>
      <c r="M939" t="s">
        <v>56</v>
      </c>
      <c r="N939" t="s">
        <v>55</v>
      </c>
      <c r="P939" s="6" t="s">
        <v>1611</v>
      </c>
    </row>
    <row r="940" spans="1:16" x14ac:dyDescent="0.2">
      <c r="A940">
        <v>837310284</v>
      </c>
      <c r="B940" t="s">
        <v>543</v>
      </c>
      <c r="C940" t="s">
        <v>80</v>
      </c>
      <c r="E940" s="22">
        <v>0.45250000000000001</v>
      </c>
      <c r="F940" t="s">
        <v>648</v>
      </c>
      <c r="G940" t="s">
        <v>649</v>
      </c>
      <c r="H940" t="s">
        <v>650</v>
      </c>
      <c r="I940" t="s">
        <v>651</v>
      </c>
      <c r="J940" t="s">
        <v>652</v>
      </c>
      <c r="K940" t="s">
        <v>48</v>
      </c>
      <c r="L940">
        <v>2016</v>
      </c>
      <c r="M940" t="s">
        <v>56</v>
      </c>
      <c r="N940" t="s">
        <v>55</v>
      </c>
      <c r="P940" s="6" t="s">
        <v>1612</v>
      </c>
    </row>
    <row r="941" spans="1:16" x14ac:dyDescent="0.2">
      <c r="A941">
        <v>815854164</v>
      </c>
      <c r="B941" t="s">
        <v>543</v>
      </c>
      <c r="C941" t="s">
        <v>80</v>
      </c>
      <c r="E941" s="22">
        <v>0.67249999999999999</v>
      </c>
      <c r="F941" t="s">
        <v>648</v>
      </c>
      <c r="G941" t="s">
        <v>649</v>
      </c>
      <c r="H941" t="s">
        <v>650</v>
      </c>
      <c r="I941" t="s">
        <v>651</v>
      </c>
      <c r="J941" t="s">
        <v>652</v>
      </c>
      <c r="K941" t="s">
        <v>48</v>
      </c>
      <c r="L941">
        <v>2016</v>
      </c>
      <c r="M941" t="s">
        <v>56</v>
      </c>
      <c r="N941" t="s">
        <v>55</v>
      </c>
      <c r="P941" s="6" t="s">
        <v>1613</v>
      </c>
    </row>
    <row r="942" spans="1:16" x14ac:dyDescent="0.2">
      <c r="A942">
        <v>315378369</v>
      </c>
      <c r="B942" t="s">
        <v>543</v>
      </c>
      <c r="C942" t="s">
        <v>80</v>
      </c>
      <c r="E942" s="22">
        <v>0.16750000000000004</v>
      </c>
      <c r="F942" t="s">
        <v>648</v>
      </c>
      <c r="G942" t="s">
        <v>649</v>
      </c>
      <c r="H942" t="s">
        <v>650</v>
      </c>
      <c r="I942" t="s">
        <v>651</v>
      </c>
      <c r="J942" t="s">
        <v>652</v>
      </c>
      <c r="K942" t="s">
        <v>48</v>
      </c>
      <c r="L942">
        <v>2016</v>
      </c>
      <c r="M942" t="s">
        <v>56</v>
      </c>
      <c r="N942" t="s">
        <v>55</v>
      </c>
      <c r="P942" s="6" t="s">
        <v>1614</v>
      </c>
    </row>
    <row r="943" spans="1:16" x14ac:dyDescent="0.2">
      <c r="A943">
        <v>564410540</v>
      </c>
      <c r="B943" t="s">
        <v>543</v>
      </c>
      <c r="C943" t="s">
        <v>80</v>
      </c>
      <c r="E943" s="22">
        <v>0.3175</v>
      </c>
      <c r="F943" t="s">
        <v>648</v>
      </c>
      <c r="G943" t="s">
        <v>649</v>
      </c>
      <c r="H943" t="s">
        <v>650</v>
      </c>
      <c r="I943" t="s">
        <v>651</v>
      </c>
      <c r="J943" t="s">
        <v>652</v>
      </c>
      <c r="K943" t="s">
        <v>48</v>
      </c>
      <c r="L943">
        <v>2016</v>
      </c>
      <c r="M943" t="s">
        <v>56</v>
      </c>
      <c r="N943" t="s">
        <v>55</v>
      </c>
      <c r="P943" s="6" t="s">
        <v>1615</v>
      </c>
    </row>
    <row r="944" spans="1:16" x14ac:dyDescent="0.2">
      <c r="A944">
        <v>126539887</v>
      </c>
      <c r="B944" t="s">
        <v>543</v>
      </c>
      <c r="C944" t="s">
        <v>80</v>
      </c>
      <c r="E944" s="22">
        <v>0.26250000000000001</v>
      </c>
      <c r="F944" t="s">
        <v>648</v>
      </c>
      <c r="G944" t="s">
        <v>649</v>
      </c>
      <c r="H944" t="s">
        <v>650</v>
      </c>
      <c r="I944" t="s">
        <v>651</v>
      </c>
      <c r="J944" t="s">
        <v>652</v>
      </c>
      <c r="K944" t="s">
        <v>48</v>
      </c>
      <c r="L944">
        <v>2016</v>
      </c>
      <c r="M944" t="s">
        <v>56</v>
      </c>
      <c r="N944" t="s">
        <v>55</v>
      </c>
      <c r="P944" s="6" t="s">
        <v>1616</v>
      </c>
    </row>
    <row r="945" spans="1:16" x14ac:dyDescent="0.2">
      <c r="A945">
        <v>563937624</v>
      </c>
      <c r="B945" t="s">
        <v>543</v>
      </c>
      <c r="C945" t="s">
        <v>80</v>
      </c>
      <c r="E945" s="22">
        <v>0.28000000000000003</v>
      </c>
      <c r="F945" t="s">
        <v>648</v>
      </c>
      <c r="G945" t="s">
        <v>649</v>
      </c>
      <c r="H945" t="s">
        <v>650</v>
      </c>
      <c r="I945" t="s">
        <v>651</v>
      </c>
      <c r="J945" t="s">
        <v>652</v>
      </c>
      <c r="K945" t="s">
        <v>48</v>
      </c>
      <c r="L945">
        <v>2016</v>
      </c>
      <c r="M945" t="s">
        <v>56</v>
      </c>
      <c r="N945" t="s">
        <v>55</v>
      </c>
      <c r="P945" s="6" t="s">
        <v>1617</v>
      </c>
    </row>
    <row r="946" spans="1:16" x14ac:dyDescent="0.2">
      <c r="A946">
        <v>684291511</v>
      </c>
      <c r="B946" t="s">
        <v>543</v>
      </c>
      <c r="C946" t="s">
        <v>80</v>
      </c>
      <c r="E946" s="22">
        <v>0.4825000000000001</v>
      </c>
      <c r="F946" t="s">
        <v>648</v>
      </c>
      <c r="G946" t="s">
        <v>649</v>
      </c>
      <c r="H946" t="s">
        <v>650</v>
      </c>
      <c r="I946" t="s">
        <v>651</v>
      </c>
      <c r="J946" t="s">
        <v>652</v>
      </c>
      <c r="K946" t="s">
        <v>48</v>
      </c>
      <c r="L946">
        <v>2016</v>
      </c>
      <c r="M946" t="s">
        <v>56</v>
      </c>
      <c r="N946" t="s">
        <v>55</v>
      </c>
      <c r="P946" s="6" t="s">
        <v>1618</v>
      </c>
    </row>
    <row r="947" spans="1:16" x14ac:dyDescent="0.2">
      <c r="A947">
        <v>598829620</v>
      </c>
      <c r="B947" t="s">
        <v>543</v>
      </c>
      <c r="C947" t="s">
        <v>81</v>
      </c>
      <c r="E947" s="22">
        <v>0.31857142857142856</v>
      </c>
      <c r="F947" t="s">
        <v>648</v>
      </c>
      <c r="G947" t="s">
        <v>649</v>
      </c>
      <c r="H947" t="s">
        <v>650</v>
      </c>
      <c r="I947" t="s">
        <v>651</v>
      </c>
      <c r="J947" t="s">
        <v>652</v>
      </c>
      <c r="K947" t="s">
        <v>48</v>
      </c>
      <c r="L947">
        <v>2016</v>
      </c>
      <c r="M947" t="s">
        <v>56</v>
      </c>
      <c r="N947" t="s">
        <v>55</v>
      </c>
      <c r="P947" s="6" t="s">
        <v>1619</v>
      </c>
    </row>
    <row r="948" spans="1:16" x14ac:dyDescent="0.2">
      <c r="A948">
        <v>684014860</v>
      </c>
      <c r="B948" t="s">
        <v>543</v>
      </c>
      <c r="C948" t="s">
        <v>81</v>
      </c>
      <c r="E948" s="22">
        <v>0.61285714285714299</v>
      </c>
      <c r="F948" t="s">
        <v>648</v>
      </c>
      <c r="G948" t="s">
        <v>649</v>
      </c>
      <c r="H948" t="s">
        <v>650</v>
      </c>
      <c r="I948" t="s">
        <v>651</v>
      </c>
      <c r="J948" t="s">
        <v>652</v>
      </c>
      <c r="K948" t="s">
        <v>48</v>
      </c>
      <c r="L948">
        <v>2016</v>
      </c>
      <c r="M948" t="s">
        <v>56</v>
      </c>
      <c r="N948" t="s">
        <v>55</v>
      </c>
      <c r="P948" s="6" t="s">
        <v>1620</v>
      </c>
    </row>
    <row r="949" spans="1:16" x14ac:dyDescent="0.2">
      <c r="A949">
        <v>843228181</v>
      </c>
      <c r="B949" t="s">
        <v>543</v>
      </c>
      <c r="C949" t="s">
        <v>81</v>
      </c>
      <c r="E949" s="22">
        <v>0.50571428571428567</v>
      </c>
      <c r="F949" t="s">
        <v>648</v>
      </c>
      <c r="G949" t="s">
        <v>649</v>
      </c>
      <c r="H949" t="s">
        <v>650</v>
      </c>
      <c r="I949" t="s">
        <v>651</v>
      </c>
      <c r="J949" t="s">
        <v>652</v>
      </c>
      <c r="K949" t="s">
        <v>48</v>
      </c>
      <c r="L949">
        <v>2016</v>
      </c>
      <c r="M949" t="s">
        <v>56</v>
      </c>
      <c r="N949" t="s">
        <v>55</v>
      </c>
      <c r="P949" s="6" t="s">
        <v>1621</v>
      </c>
    </row>
    <row r="950" spans="1:16" x14ac:dyDescent="0.2">
      <c r="A950">
        <v>820549378</v>
      </c>
      <c r="B950" t="s">
        <v>543</v>
      </c>
      <c r="C950" t="s">
        <v>81</v>
      </c>
      <c r="E950" s="22">
        <v>0.34857142857142859</v>
      </c>
      <c r="F950" t="s">
        <v>648</v>
      </c>
      <c r="G950" t="s">
        <v>649</v>
      </c>
      <c r="H950" t="s">
        <v>650</v>
      </c>
      <c r="I950" t="s">
        <v>651</v>
      </c>
      <c r="J950" t="s">
        <v>652</v>
      </c>
      <c r="K950" t="s">
        <v>48</v>
      </c>
      <c r="L950">
        <v>2016</v>
      </c>
      <c r="M950" t="s">
        <v>56</v>
      </c>
      <c r="N950" t="s">
        <v>55</v>
      </c>
      <c r="P950" s="6" t="s">
        <v>1622</v>
      </c>
    </row>
    <row r="951" spans="1:16" x14ac:dyDescent="0.2">
      <c r="A951">
        <v>533572169</v>
      </c>
      <c r="B951" t="s">
        <v>543</v>
      </c>
      <c r="C951" t="s">
        <v>81</v>
      </c>
      <c r="E951" s="22">
        <v>0.24000000000000002</v>
      </c>
      <c r="F951" t="s">
        <v>648</v>
      </c>
      <c r="G951" t="s">
        <v>649</v>
      </c>
      <c r="H951" t="s">
        <v>650</v>
      </c>
      <c r="I951" t="s">
        <v>651</v>
      </c>
      <c r="J951" t="s">
        <v>652</v>
      </c>
      <c r="K951" t="s">
        <v>48</v>
      </c>
      <c r="L951">
        <v>2016</v>
      </c>
      <c r="M951" t="s">
        <v>56</v>
      </c>
      <c r="N951" t="s">
        <v>55</v>
      </c>
      <c r="P951" s="6" t="s">
        <v>1623</v>
      </c>
    </row>
    <row r="952" spans="1:16" x14ac:dyDescent="0.2">
      <c r="A952">
        <v>975325712</v>
      </c>
      <c r="B952" t="s">
        <v>543</v>
      </c>
      <c r="C952" t="s">
        <v>81</v>
      </c>
      <c r="E952" s="22">
        <v>0.3914285714285714</v>
      </c>
      <c r="F952" t="s">
        <v>648</v>
      </c>
      <c r="G952" t="s">
        <v>649</v>
      </c>
      <c r="H952" t="s">
        <v>650</v>
      </c>
      <c r="I952" t="s">
        <v>651</v>
      </c>
      <c r="J952" t="s">
        <v>652</v>
      </c>
      <c r="K952" t="s">
        <v>48</v>
      </c>
      <c r="L952">
        <v>2016</v>
      </c>
      <c r="M952" t="s">
        <v>56</v>
      </c>
      <c r="N952" t="s">
        <v>55</v>
      </c>
      <c r="P952" s="6" t="s">
        <v>1624</v>
      </c>
    </row>
    <row r="953" spans="1:16" x14ac:dyDescent="0.2">
      <c r="A953">
        <v>310082419</v>
      </c>
      <c r="B953" t="s">
        <v>543</v>
      </c>
      <c r="C953" t="s">
        <v>81</v>
      </c>
      <c r="E953" s="22">
        <v>0.14571428571428571</v>
      </c>
      <c r="F953" t="s">
        <v>648</v>
      </c>
      <c r="G953" t="s">
        <v>649</v>
      </c>
      <c r="H953" t="s">
        <v>650</v>
      </c>
      <c r="I953" t="s">
        <v>651</v>
      </c>
      <c r="J953" t="s">
        <v>652</v>
      </c>
      <c r="K953" t="s">
        <v>48</v>
      </c>
      <c r="L953">
        <v>2016</v>
      </c>
      <c r="M953" t="s">
        <v>56</v>
      </c>
      <c r="N953" t="s">
        <v>55</v>
      </c>
      <c r="P953" s="6" t="s">
        <v>1625</v>
      </c>
    </row>
    <row r="954" spans="1:16" x14ac:dyDescent="0.2">
      <c r="A954">
        <v>242132470</v>
      </c>
      <c r="B954" t="s">
        <v>543</v>
      </c>
      <c r="C954" t="s">
        <v>81</v>
      </c>
      <c r="E954" s="22">
        <v>0.30857142857142861</v>
      </c>
      <c r="F954" t="s">
        <v>648</v>
      </c>
      <c r="G954" t="s">
        <v>649</v>
      </c>
      <c r="H954" t="s">
        <v>650</v>
      </c>
      <c r="I954" t="s">
        <v>651</v>
      </c>
      <c r="J954" t="s">
        <v>652</v>
      </c>
      <c r="K954" t="s">
        <v>48</v>
      </c>
      <c r="L954">
        <v>2016</v>
      </c>
      <c r="M954" t="s">
        <v>56</v>
      </c>
      <c r="N954" t="s">
        <v>55</v>
      </c>
      <c r="P954" s="6" t="s">
        <v>1626</v>
      </c>
    </row>
    <row r="955" spans="1:16" x14ac:dyDescent="0.2">
      <c r="A955">
        <v>208248363</v>
      </c>
      <c r="B955" t="s">
        <v>543</v>
      </c>
      <c r="C955" t="s">
        <v>81</v>
      </c>
      <c r="E955" s="22">
        <v>0.44142857142857145</v>
      </c>
      <c r="F955" t="s">
        <v>648</v>
      </c>
      <c r="G955" t="s">
        <v>649</v>
      </c>
      <c r="H955" t="s">
        <v>650</v>
      </c>
      <c r="I955" t="s">
        <v>651</v>
      </c>
      <c r="J955" t="s">
        <v>652</v>
      </c>
      <c r="K955" t="s">
        <v>48</v>
      </c>
      <c r="L955">
        <v>2016</v>
      </c>
      <c r="M955" t="s">
        <v>56</v>
      </c>
      <c r="N955" t="s">
        <v>55</v>
      </c>
      <c r="P955" s="6" t="s">
        <v>1627</v>
      </c>
    </row>
    <row r="956" spans="1:16" x14ac:dyDescent="0.2">
      <c r="A956">
        <v>277055951</v>
      </c>
      <c r="B956" t="s">
        <v>543</v>
      </c>
      <c r="C956" t="s">
        <v>81</v>
      </c>
      <c r="E956" s="22">
        <v>0.18857142857142856</v>
      </c>
      <c r="F956" t="s">
        <v>648</v>
      </c>
      <c r="G956" t="s">
        <v>649</v>
      </c>
      <c r="H956" t="s">
        <v>650</v>
      </c>
      <c r="I956" t="s">
        <v>651</v>
      </c>
      <c r="J956" t="s">
        <v>652</v>
      </c>
      <c r="K956" t="s">
        <v>48</v>
      </c>
      <c r="L956">
        <v>2016</v>
      </c>
      <c r="M956" t="s">
        <v>56</v>
      </c>
      <c r="N956" t="s">
        <v>55</v>
      </c>
      <c r="P956" s="6" t="s">
        <v>1628</v>
      </c>
    </row>
    <row r="957" spans="1:16" x14ac:dyDescent="0.2">
      <c r="A957">
        <v>902907559</v>
      </c>
      <c r="B957" t="s">
        <v>543</v>
      </c>
      <c r="C957" t="s">
        <v>81</v>
      </c>
      <c r="E957" s="22">
        <v>0.66142857142857137</v>
      </c>
      <c r="F957" t="s">
        <v>648</v>
      </c>
      <c r="G957" t="s">
        <v>649</v>
      </c>
      <c r="H957" t="s">
        <v>650</v>
      </c>
      <c r="I957" t="s">
        <v>651</v>
      </c>
      <c r="J957" t="s">
        <v>652</v>
      </c>
      <c r="K957" t="s">
        <v>48</v>
      </c>
      <c r="L957">
        <v>2016</v>
      </c>
      <c r="M957" t="s">
        <v>56</v>
      </c>
      <c r="N957" t="s">
        <v>55</v>
      </c>
      <c r="P957" s="6" t="s">
        <v>1629</v>
      </c>
    </row>
    <row r="958" spans="1:16" x14ac:dyDescent="0.2">
      <c r="A958">
        <v>528297980</v>
      </c>
      <c r="B958" t="s">
        <v>543</v>
      </c>
      <c r="C958" t="s">
        <v>81</v>
      </c>
      <c r="E958" s="22">
        <v>0.61428571428571432</v>
      </c>
      <c r="F958" t="s">
        <v>648</v>
      </c>
      <c r="G958" t="s">
        <v>649</v>
      </c>
      <c r="H958" t="s">
        <v>650</v>
      </c>
      <c r="I958" t="s">
        <v>651</v>
      </c>
      <c r="J958" t="s">
        <v>652</v>
      </c>
      <c r="K958" t="s">
        <v>48</v>
      </c>
      <c r="L958">
        <v>2016</v>
      </c>
      <c r="M958" t="s">
        <v>56</v>
      </c>
      <c r="N958" t="s">
        <v>55</v>
      </c>
      <c r="P958" s="6" t="s">
        <v>1630</v>
      </c>
    </row>
    <row r="959" spans="1:16" x14ac:dyDescent="0.2">
      <c r="A959">
        <v>444882790</v>
      </c>
      <c r="B959" t="s">
        <v>543</v>
      </c>
      <c r="C959" t="s">
        <v>81</v>
      </c>
      <c r="E959" s="22">
        <v>0.16428571428571428</v>
      </c>
      <c r="F959" t="s">
        <v>648</v>
      </c>
      <c r="G959" t="s">
        <v>649</v>
      </c>
      <c r="H959" t="s">
        <v>650</v>
      </c>
      <c r="I959" t="s">
        <v>651</v>
      </c>
      <c r="J959" t="s">
        <v>652</v>
      </c>
      <c r="K959" t="s">
        <v>48</v>
      </c>
      <c r="L959">
        <v>2016</v>
      </c>
      <c r="M959" t="s">
        <v>56</v>
      </c>
      <c r="N959" t="s">
        <v>55</v>
      </c>
      <c r="P959" s="6" t="s">
        <v>1631</v>
      </c>
    </row>
    <row r="960" spans="1:16" x14ac:dyDescent="0.2">
      <c r="A960">
        <v>112085131</v>
      </c>
      <c r="B960" t="s">
        <v>543</v>
      </c>
      <c r="C960" t="s">
        <v>81</v>
      </c>
      <c r="E960" s="22">
        <v>0.21142857142857141</v>
      </c>
      <c r="F960" t="s">
        <v>648</v>
      </c>
      <c r="G960" t="s">
        <v>649</v>
      </c>
      <c r="H960" t="s">
        <v>650</v>
      </c>
      <c r="I960" t="s">
        <v>651</v>
      </c>
      <c r="J960" t="s">
        <v>652</v>
      </c>
      <c r="K960" t="s">
        <v>48</v>
      </c>
      <c r="L960">
        <v>2016</v>
      </c>
      <c r="M960" t="s">
        <v>56</v>
      </c>
      <c r="N960" t="s">
        <v>55</v>
      </c>
      <c r="P960" s="6" t="s">
        <v>1632</v>
      </c>
    </row>
    <row r="961" spans="1:16" x14ac:dyDescent="0.2">
      <c r="A961">
        <v>588642518</v>
      </c>
      <c r="B961" t="s">
        <v>543</v>
      </c>
      <c r="C961" t="s">
        <v>81</v>
      </c>
      <c r="E961" s="22">
        <v>0.8342857142857143</v>
      </c>
      <c r="F961" t="s">
        <v>648</v>
      </c>
      <c r="G961" t="s">
        <v>649</v>
      </c>
      <c r="H961" t="s">
        <v>650</v>
      </c>
      <c r="I961" t="s">
        <v>651</v>
      </c>
      <c r="J961" t="s">
        <v>652</v>
      </c>
      <c r="K961" t="s">
        <v>48</v>
      </c>
      <c r="L961">
        <v>2016</v>
      </c>
      <c r="M961" t="s">
        <v>56</v>
      </c>
      <c r="N961" t="s">
        <v>55</v>
      </c>
      <c r="P961" s="6" t="s">
        <v>1633</v>
      </c>
    </row>
    <row r="962" spans="1:16" x14ac:dyDescent="0.2">
      <c r="A962">
        <v>414520736</v>
      </c>
      <c r="B962" t="s">
        <v>543</v>
      </c>
      <c r="C962" t="s">
        <v>81</v>
      </c>
      <c r="E962" s="22">
        <v>0.51857142857142857</v>
      </c>
      <c r="F962" t="s">
        <v>648</v>
      </c>
      <c r="G962" t="s">
        <v>649</v>
      </c>
      <c r="H962" t="s">
        <v>650</v>
      </c>
      <c r="I962" t="s">
        <v>651</v>
      </c>
      <c r="J962" t="s">
        <v>652</v>
      </c>
      <c r="K962" t="s">
        <v>48</v>
      </c>
      <c r="L962">
        <v>2016</v>
      </c>
      <c r="M962" t="s">
        <v>56</v>
      </c>
      <c r="N962" t="s">
        <v>55</v>
      </c>
      <c r="P962" s="6" t="s">
        <v>1634</v>
      </c>
    </row>
    <row r="963" spans="1:16" x14ac:dyDescent="0.2">
      <c r="A963">
        <v>356558346</v>
      </c>
      <c r="B963" t="s">
        <v>543</v>
      </c>
      <c r="C963" t="s">
        <v>81</v>
      </c>
      <c r="E963" s="22">
        <v>0.32857142857142857</v>
      </c>
      <c r="F963" t="s">
        <v>648</v>
      </c>
      <c r="G963" t="s">
        <v>649</v>
      </c>
      <c r="H963" t="s">
        <v>650</v>
      </c>
      <c r="I963" t="s">
        <v>651</v>
      </c>
      <c r="J963" t="s">
        <v>652</v>
      </c>
      <c r="K963" t="s">
        <v>48</v>
      </c>
      <c r="L963">
        <v>2016</v>
      </c>
      <c r="M963" t="s">
        <v>56</v>
      </c>
      <c r="N963" t="s">
        <v>55</v>
      </c>
      <c r="P963" s="6" t="s">
        <v>1635</v>
      </c>
    </row>
    <row r="964" spans="1:16" x14ac:dyDescent="0.2">
      <c r="A964">
        <v>970698993</v>
      </c>
      <c r="B964" t="s">
        <v>543</v>
      </c>
      <c r="C964" t="s">
        <v>81</v>
      </c>
      <c r="E964" s="22">
        <v>0.67714285714285716</v>
      </c>
      <c r="F964" t="s">
        <v>648</v>
      </c>
      <c r="G964" t="s">
        <v>649</v>
      </c>
      <c r="H964" t="s">
        <v>650</v>
      </c>
      <c r="I964" t="s">
        <v>651</v>
      </c>
      <c r="J964" t="s">
        <v>652</v>
      </c>
      <c r="K964" t="s">
        <v>48</v>
      </c>
      <c r="L964">
        <v>2016</v>
      </c>
      <c r="M964" t="s">
        <v>56</v>
      </c>
      <c r="N964" t="s">
        <v>55</v>
      </c>
      <c r="P964" s="6" t="s">
        <v>1636</v>
      </c>
    </row>
    <row r="965" spans="1:16" x14ac:dyDescent="0.2">
      <c r="A965">
        <v>633537205</v>
      </c>
      <c r="B965" t="s">
        <v>543</v>
      </c>
      <c r="C965" t="s">
        <v>81</v>
      </c>
      <c r="E965" s="22">
        <v>0.29571428571428571</v>
      </c>
      <c r="F965" t="s">
        <v>648</v>
      </c>
      <c r="G965" t="s">
        <v>649</v>
      </c>
      <c r="H965" t="s">
        <v>650</v>
      </c>
      <c r="I965" t="s">
        <v>651</v>
      </c>
      <c r="J965" t="s">
        <v>652</v>
      </c>
      <c r="K965" t="s">
        <v>48</v>
      </c>
      <c r="L965">
        <v>2016</v>
      </c>
      <c r="M965" t="s">
        <v>56</v>
      </c>
      <c r="N965" t="s">
        <v>55</v>
      </c>
      <c r="P965" s="6" t="s">
        <v>1637</v>
      </c>
    </row>
    <row r="966" spans="1:16" x14ac:dyDescent="0.2">
      <c r="A966">
        <v>534292868</v>
      </c>
      <c r="B966" t="s">
        <v>543</v>
      </c>
      <c r="C966" t="s">
        <v>81</v>
      </c>
      <c r="E966" s="22">
        <v>0.66285714285714281</v>
      </c>
      <c r="F966" t="s">
        <v>648</v>
      </c>
      <c r="G966" t="s">
        <v>649</v>
      </c>
      <c r="H966" t="s">
        <v>650</v>
      </c>
      <c r="I966" t="s">
        <v>651</v>
      </c>
      <c r="J966" t="s">
        <v>652</v>
      </c>
      <c r="K966" t="s">
        <v>48</v>
      </c>
      <c r="L966">
        <v>2016</v>
      </c>
      <c r="M966" t="s">
        <v>56</v>
      </c>
      <c r="N966" t="s">
        <v>55</v>
      </c>
      <c r="P966" s="6" t="s">
        <v>1638</v>
      </c>
    </row>
    <row r="967" spans="1:16" x14ac:dyDescent="0.2">
      <c r="A967">
        <v>816787809</v>
      </c>
      <c r="B967" t="s">
        <v>543</v>
      </c>
      <c r="C967" t="s">
        <v>81</v>
      </c>
      <c r="E967" s="22">
        <v>0.49142857142857149</v>
      </c>
      <c r="F967" t="s">
        <v>648</v>
      </c>
      <c r="G967" t="s">
        <v>649</v>
      </c>
      <c r="H967" t="s">
        <v>650</v>
      </c>
      <c r="I967" t="s">
        <v>651</v>
      </c>
      <c r="J967" t="s">
        <v>652</v>
      </c>
      <c r="K967" t="s">
        <v>48</v>
      </c>
      <c r="L967">
        <v>2016</v>
      </c>
      <c r="M967" t="s">
        <v>56</v>
      </c>
      <c r="N967" t="s">
        <v>55</v>
      </c>
      <c r="P967" s="6" t="s">
        <v>1639</v>
      </c>
    </row>
    <row r="968" spans="1:16" x14ac:dyDescent="0.2">
      <c r="A968">
        <v>220052551</v>
      </c>
      <c r="B968" t="s">
        <v>543</v>
      </c>
      <c r="C968" t="s">
        <v>81</v>
      </c>
      <c r="E968" s="22">
        <v>0.47142857142857142</v>
      </c>
      <c r="F968" t="s">
        <v>648</v>
      </c>
      <c r="G968" t="s">
        <v>649</v>
      </c>
      <c r="H968" t="s">
        <v>650</v>
      </c>
      <c r="I968" t="s">
        <v>651</v>
      </c>
      <c r="J968" t="s">
        <v>652</v>
      </c>
      <c r="K968" t="s">
        <v>48</v>
      </c>
      <c r="L968">
        <v>2016</v>
      </c>
      <c r="M968" t="s">
        <v>56</v>
      </c>
      <c r="N968" t="s">
        <v>55</v>
      </c>
      <c r="P968" s="6" t="s">
        <v>1640</v>
      </c>
    </row>
    <row r="969" spans="1:16" x14ac:dyDescent="0.2">
      <c r="A969">
        <v>858571733</v>
      </c>
      <c r="B969" t="s">
        <v>543</v>
      </c>
      <c r="C969" t="s">
        <v>81</v>
      </c>
      <c r="E969" s="22">
        <v>0.26571428571428574</v>
      </c>
      <c r="F969" t="s">
        <v>648</v>
      </c>
      <c r="G969" t="s">
        <v>649</v>
      </c>
      <c r="H969" t="s">
        <v>650</v>
      </c>
      <c r="I969" t="s">
        <v>651</v>
      </c>
      <c r="J969" t="s">
        <v>652</v>
      </c>
      <c r="K969" t="s">
        <v>48</v>
      </c>
      <c r="L969">
        <v>2016</v>
      </c>
      <c r="M969" t="s">
        <v>56</v>
      </c>
      <c r="N969" t="s">
        <v>55</v>
      </c>
      <c r="P969" s="6" t="s">
        <v>1641</v>
      </c>
    </row>
    <row r="970" spans="1:16" x14ac:dyDescent="0.2">
      <c r="A970">
        <v>363436152</v>
      </c>
      <c r="B970" t="s">
        <v>543</v>
      </c>
      <c r="C970" t="s">
        <v>81</v>
      </c>
      <c r="E970" s="22">
        <v>0.2742857142857143</v>
      </c>
      <c r="F970" t="s">
        <v>648</v>
      </c>
      <c r="G970" t="s">
        <v>649</v>
      </c>
      <c r="H970" t="s">
        <v>650</v>
      </c>
      <c r="I970" t="s">
        <v>651</v>
      </c>
      <c r="J970" t="s">
        <v>652</v>
      </c>
      <c r="K970" t="s">
        <v>48</v>
      </c>
      <c r="L970">
        <v>2016</v>
      </c>
      <c r="M970" t="s">
        <v>56</v>
      </c>
      <c r="N970" t="s">
        <v>55</v>
      </c>
      <c r="P970" s="6" t="s">
        <v>1642</v>
      </c>
    </row>
    <row r="971" spans="1:16" x14ac:dyDescent="0.2">
      <c r="A971">
        <v>393495083</v>
      </c>
      <c r="B971" t="s">
        <v>543</v>
      </c>
      <c r="C971" t="s">
        <v>81</v>
      </c>
      <c r="E971" s="22">
        <v>0.66999999999999993</v>
      </c>
      <c r="F971" t="s">
        <v>648</v>
      </c>
      <c r="G971" t="s">
        <v>649</v>
      </c>
      <c r="H971" t="s">
        <v>650</v>
      </c>
      <c r="I971" t="s">
        <v>651</v>
      </c>
      <c r="J971" t="s">
        <v>652</v>
      </c>
      <c r="K971" t="s">
        <v>48</v>
      </c>
      <c r="L971">
        <v>2016</v>
      </c>
      <c r="M971" t="s">
        <v>56</v>
      </c>
      <c r="N971" t="s">
        <v>55</v>
      </c>
      <c r="P971" s="6" t="s">
        <v>1643</v>
      </c>
    </row>
    <row r="972" spans="1:16" x14ac:dyDescent="0.2">
      <c r="A972">
        <v>769635714</v>
      </c>
      <c r="B972" t="s">
        <v>543</v>
      </c>
      <c r="C972" t="s">
        <v>81</v>
      </c>
      <c r="E972" s="22">
        <v>0.79285714285714282</v>
      </c>
      <c r="F972" t="s">
        <v>648</v>
      </c>
      <c r="G972" t="s">
        <v>649</v>
      </c>
      <c r="H972" t="s">
        <v>650</v>
      </c>
      <c r="I972" t="s">
        <v>651</v>
      </c>
      <c r="J972" t="s">
        <v>652</v>
      </c>
      <c r="K972" t="s">
        <v>48</v>
      </c>
      <c r="L972">
        <v>2016</v>
      </c>
      <c r="M972" t="s">
        <v>56</v>
      </c>
      <c r="N972" t="s">
        <v>55</v>
      </c>
      <c r="P972" s="6" t="s">
        <v>1644</v>
      </c>
    </row>
    <row r="973" spans="1:16" x14ac:dyDescent="0.2">
      <c r="A973">
        <v>373048949</v>
      </c>
      <c r="B973" t="s">
        <v>543</v>
      </c>
      <c r="C973" t="s">
        <v>81</v>
      </c>
      <c r="E973" s="22">
        <v>0.61142857142857143</v>
      </c>
      <c r="F973" t="s">
        <v>648</v>
      </c>
      <c r="G973" t="s">
        <v>649</v>
      </c>
      <c r="H973" t="s">
        <v>650</v>
      </c>
      <c r="I973" t="s">
        <v>651</v>
      </c>
      <c r="J973" t="s">
        <v>652</v>
      </c>
      <c r="K973" t="s">
        <v>48</v>
      </c>
      <c r="L973">
        <v>2016</v>
      </c>
      <c r="M973" t="s">
        <v>56</v>
      </c>
      <c r="N973" t="s">
        <v>55</v>
      </c>
      <c r="P973" s="6" t="s">
        <v>1645</v>
      </c>
    </row>
    <row r="974" spans="1:16" x14ac:dyDescent="0.2">
      <c r="A974">
        <v>357061292</v>
      </c>
      <c r="B974" t="s">
        <v>543</v>
      </c>
      <c r="C974" t="s">
        <v>81</v>
      </c>
      <c r="E974" s="22">
        <v>0.21</v>
      </c>
      <c r="F974" t="s">
        <v>648</v>
      </c>
      <c r="G974" t="s">
        <v>649</v>
      </c>
      <c r="H974" t="s">
        <v>650</v>
      </c>
      <c r="I974" t="s">
        <v>651</v>
      </c>
      <c r="J974" t="s">
        <v>652</v>
      </c>
      <c r="K974" t="s">
        <v>48</v>
      </c>
      <c r="L974">
        <v>2016</v>
      </c>
      <c r="M974" t="s">
        <v>56</v>
      </c>
      <c r="N974" t="s">
        <v>55</v>
      </c>
      <c r="P974" s="6" t="s">
        <v>1646</v>
      </c>
    </row>
    <row r="975" spans="1:16" x14ac:dyDescent="0.2">
      <c r="A975">
        <v>837310284</v>
      </c>
      <c r="B975" t="s">
        <v>543</v>
      </c>
      <c r="C975" t="s">
        <v>81</v>
      </c>
      <c r="E975" s="22">
        <v>0.36</v>
      </c>
      <c r="F975" t="s">
        <v>648</v>
      </c>
      <c r="G975" t="s">
        <v>649</v>
      </c>
      <c r="H975" t="s">
        <v>650</v>
      </c>
      <c r="I975" t="s">
        <v>651</v>
      </c>
      <c r="J975" t="s">
        <v>652</v>
      </c>
      <c r="K975" t="s">
        <v>48</v>
      </c>
      <c r="L975">
        <v>2016</v>
      </c>
      <c r="M975" t="s">
        <v>56</v>
      </c>
      <c r="N975" t="s">
        <v>55</v>
      </c>
      <c r="P975" s="6" t="s">
        <v>1647</v>
      </c>
    </row>
    <row r="976" spans="1:16" x14ac:dyDescent="0.2">
      <c r="A976">
        <v>815854164</v>
      </c>
      <c r="B976" t="s">
        <v>543</v>
      </c>
      <c r="C976" t="s">
        <v>81</v>
      </c>
      <c r="E976" s="22">
        <v>0.82571428571428573</v>
      </c>
      <c r="F976" t="s">
        <v>648</v>
      </c>
      <c r="G976" t="s">
        <v>649</v>
      </c>
      <c r="H976" t="s">
        <v>650</v>
      </c>
      <c r="I976" t="s">
        <v>651</v>
      </c>
      <c r="J976" t="s">
        <v>652</v>
      </c>
      <c r="K976" t="s">
        <v>48</v>
      </c>
      <c r="L976">
        <v>2016</v>
      </c>
      <c r="M976" t="s">
        <v>56</v>
      </c>
      <c r="N976" t="s">
        <v>55</v>
      </c>
      <c r="P976" s="6" t="s">
        <v>1648</v>
      </c>
    </row>
    <row r="977" spans="1:16" x14ac:dyDescent="0.2">
      <c r="A977">
        <v>315378369</v>
      </c>
      <c r="B977" t="s">
        <v>543</v>
      </c>
      <c r="C977" t="s">
        <v>81</v>
      </c>
      <c r="E977" s="22">
        <v>0.23714285714285716</v>
      </c>
      <c r="F977" t="s">
        <v>648</v>
      </c>
      <c r="G977" t="s">
        <v>649</v>
      </c>
      <c r="H977" t="s">
        <v>650</v>
      </c>
      <c r="I977" t="s">
        <v>651</v>
      </c>
      <c r="J977" t="s">
        <v>652</v>
      </c>
      <c r="K977" t="s">
        <v>48</v>
      </c>
      <c r="L977">
        <v>2016</v>
      </c>
      <c r="M977" t="s">
        <v>56</v>
      </c>
      <c r="N977" t="s">
        <v>55</v>
      </c>
      <c r="P977" s="6" t="s">
        <v>1649</v>
      </c>
    </row>
    <row r="978" spans="1:16" x14ac:dyDescent="0.2">
      <c r="A978">
        <v>564410540</v>
      </c>
      <c r="B978" t="s">
        <v>543</v>
      </c>
      <c r="C978" t="s">
        <v>81</v>
      </c>
      <c r="E978" s="22">
        <v>0.38</v>
      </c>
      <c r="F978" t="s">
        <v>648</v>
      </c>
      <c r="G978" t="s">
        <v>649</v>
      </c>
      <c r="H978" t="s">
        <v>650</v>
      </c>
      <c r="I978" t="s">
        <v>651</v>
      </c>
      <c r="J978" t="s">
        <v>652</v>
      </c>
      <c r="K978" t="s">
        <v>48</v>
      </c>
      <c r="L978">
        <v>2016</v>
      </c>
      <c r="M978" t="s">
        <v>56</v>
      </c>
      <c r="N978" t="s">
        <v>55</v>
      </c>
      <c r="P978" s="6" t="s">
        <v>1650</v>
      </c>
    </row>
    <row r="979" spans="1:16" x14ac:dyDescent="0.2">
      <c r="A979">
        <v>126539887</v>
      </c>
      <c r="B979" t="s">
        <v>543</v>
      </c>
      <c r="C979" t="s">
        <v>81</v>
      </c>
      <c r="E979" s="22">
        <v>0.35428571428571437</v>
      </c>
      <c r="F979" t="s">
        <v>648</v>
      </c>
      <c r="G979" t="s">
        <v>649</v>
      </c>
      <c r="H979" t="s">
        <v>650</v>
      </c>
      <c r="I979" t="s">
        <v>651</v>
      </c>
      <c r="J979" t="s">
        <v>652</v>
      </c>
      <c r="K979" t="s">
        <v>48</v>
      </c>
      <c r="L979">
        <v>2016</v>
      </c>
      <c r="M979" t="s">
        <v>56</v>
      </c>
      <c r="N979" t="s">
        <v>55</v>
      </c>
      <c r="P979" s="6" t="s">
        <v>1651</v>
      </c>
    </row>
    <row r="980" spans="1:16" x14ac:dyDescent="0.2">
      <c r="A980">
        <v>563937624</v>
      </c>
      <c r="B980" t="s">
        <v>543</v>
      </c>
      <c r="C980" t="s">
        <v>81</v>
      </c>
      <c r="E980" s="22">
        <v>0.22714285714285715</v>
      </c>
      <c r="F980" t="s">
        <v>648</v>
      </c>
      <c r="G980" t="s">
        <v>649</v>
      </c>
      <c r="H980" t="s">
        <v>650</v>
      </c>
      <c r="I980" t="s">
        <v>651</v>
      </c>
      <c r="J980" t="s">
        <v>652</v>
      </c>
      <c r="K980" t="s">
        <v>48</v>
      </c>
      <c r="L980">
        <v>2016</v>
      </c>
      <c r="M980" t="s">
        <v>56</v>
      </c>
      <c r="N980" t="s">
        <v>55</v>
      </c>
      <c r="P980" s="6" t="s">
        <v>1652</v>
      </c>
    </row>
    <row r="981" spans="1:16" x14ac:dyDescent="0.2">
      <c r="A981">
        <v>684291511</v>
      </c>
      <c r="B981" t="s">
        <v>543</v>
      </c>
      <c r="C981" t="s">
        <v>81</v>
      </c>
      <c r="E981" s="22">
        <v>0.3914285714285714</v>
      </c>
      <c r="F981" t="s">
        <v>648</v>
      </c>
      <c r="G981" t="s">
        <v>649</v>
      </c>
      <c r="H981" t="s">
        <v>650</v>
      </c>
      <c r="I981" t="s">
        <v>651</v>
      </c>
      <c r="J981" t="s">
        <v>652</v>
      </c>
      <c r="K981" t="s">
        <v>48</v>
      </c>
      <c r="L981">
        <v>2016</v>
      </c>
      <c r="M981" t="s">
        <v>56</v>
      </c>
      <c r="N981" t="s">
        <v>55</v>
      </c>
      <c r="P981" s="6" t="s">
        <v>1653</v>
      </c>
    </row>
    <row r="982" spans="1:16" x14ac:dyDescent="0.2">
      <c r="A982">
        <v>598829620</v>
      </c>
      <c r="B982" t="s">
        <v>547</v>
      </c>
      <c r="C982" t="s">
        <v>672</v>
      </c>
      <c r="E982" s="22">
        <v>0.4</v>
      </c>
      <c r="F982" t="s">
        <v>648</v>
      </c>
      <c r="G982" t="s">
        <v>649</v>
      </c>
      <c r="H982" t="s">
        <v>650</v>
      </c>
      <c r="I982" t="s">
        <v>651</v>
      </c>
      <c r="J982" t="s">
        <v>652</v>
      </c>
      <c r="K982" t="s">
        <v>48</v>
      </c>
      <c r="L982">
        <v>2016</v>
      </c>
      <c r="M982" t="s">
        <v>56</v>
      </c>
      <c r="N982" t="s">
        <v>55</v>
      </c>
      <c r="P982" s="6" t="s">
        <v>1654</v>
      </c>
    </row>
    <row r="983" spans="1:16" x14ac:dyDescent="0.2">
      <c r="A983">
        <v>684014860</v>
      </c>
      <c r="B983" t="s">
        <v>547</v>
      </c>
      <c r="C983" t="s">
        <v>672</v>
      </c>
      <c r="E983" s="22">
        <v>0.56000000000000005</v>
      </c>
      <c r="F983" t="s">
        <v>648</v>
      </c>
      <c r="G983" t="s">
        <v>649</v>
      </c>
      <c r="H983" t="s">
        <v>650</v>
      </c>
      <c r="I983" t="s">
        <v>651</v>
      </c>
      <c r="J983" t="s">
        <v>652</v>
      </c>
      <c r="K983" t="s">
        <v>48</v>
      </c>
      <c r="L983">
        <v>2016</v>
      </c>
      <c r="M983" t="s">
        <v>56</v>
      </c>
      <c r="N983" t="s">
        <v>55</v>
      </c>
      <c r="P983" s="6" t="s">
        <v>1655</v>
      </c>
    </row>
    <row r="984" spans="1:16" x14ac:dyDescent="0.2">
      <c r="A984">
        <v>843228181</v>
      </c>
      <c r="B984" t="s">
        <v>547</v>
      </c>
      <c r="C984" t="s">
        <v>672</v>
      </c>
      <c r="E984" s="22">
        <v>0.42000000000000004</v>
      </c>
      <c r="F984" t="s">
        <v>648</v>
      </c>
      <c r="G984" t="s">
        <v>649</v>
      </c>
      <c r="H984" t="s">
        <v>650</v>
      </c>
      <c r="I984" t="s">
        <v>651</v>
      </c>
      <c r="J984" t="s">
        <v>652</v>
      </c>
      <c r="K984" t="s">
        <v>48</v>
      </c>
      <c r="L984">
        <v>2016</v>
      </c>
      <c r="M984" t="s">
        <v>56</v>
      </c>
      <c r="N984" t="s">
        <v>55</v>
      </c>
      <c r="P984" s="6" t="s">
        <v>1656</v>
      </c>
    </row>
    <row r="985" spans="1:16" x14ac:dyDescent="0.2">
      <c r="A985">
        <v>820549378</v>
      </c>
      <c r="B985" t="s">
        <v>547</v>
      </c>
      <c r="C985" t="s">
        <v>672</v>
      </c>
      <c r="E985" s="22">
        <v>0.26</v>
      </c>
      <c r="F985" t="s">
        <v>648</v>
      </c>
      <c r="G985" t="s">
        <v>649</v>
      </c>
      <c r="H985" t="s">
        <v>650</v>
      </c>
      <c r="I985" t="s">
        <v>651</v>
      </c>
      <c r="J985" t="s">
        <v>652</v>
      </c>
      <c r="K985" t="s">
        <v>48</v>
      </c>
      <c r="L985">
        <v>2016</v>
      </c>
      <c r="M985" t="s">
        <v>56</v>
      </c>
      <c r="N985" t="s">
        <v>55</v>
      </c>
      <c r="P985" s="6" t="s">
        <v>1657</v>
      </c>
    </row>
    <row r="986" spans="1:16" x14ac:dyDescent="0.2">
      <c r="A986">
        <v>533572169</v>
      </c>
      <c r="B986" t="s">
        <v>547</v>
      </c>
      <c r="C986" t="s">
        <v>672</v>
      </c>
      <c r="E986" s="22">
        <v>0.04</v>
      </c>
      <c r="F986" t="s">
        <v>648</v>
      </c>
      <c r="G986" t="s">
        <v>649</v>
      </c>
      <c r="H986" t="s">
        <v>650</v>
      </c>
      <c r="I986" t="s">
        <v>651</v>
      </c>
      <c r="J986" t="s">
        <v>652</v>
      </c>
      <c r="K986" t="s">
        <v>48</v>
      </c>
      <c r="L986">
        <v>2016</v>
      </c>
      <c r="M986" t="s">
        <v>56</v>
      </c>
      <c r="N986" t="s">
        <v>55</v>
      </c>
      <c r="P986" s="6" t="s">
        <v>1658</v>
      </c>
    </row>
    <row r="987" spans="1:16" x14ac:dyDescent="0.2">
      <c r="A987">
        <v>975325712</v>
      </c>
      <c r="B987" t="s">
        <v>547</v>
      </c>
      <c r="C987" t="s">
        <v>672</v>
      </c>
      <c r="E987" s="22">
        <v>0.36</v>
      </c>
      <c r="F987" t="s">
        <v>648</v>
      </c>
      <c r="G987" t="s">
        <v>649</v>
      </c>
      <c r="H987" t="s">
        <v>650</v>
      </c>
      <c r="I987" t="s">
        <v>651</v>
      </c>
      <c r="J987" t="s">
        <v>652</v>
      </c>
      <c r="K987" t="s">
        <v>48</v>
      </c>
      <c r="L987">
        <v>2016</v>
      </c>
      <c r="M987" t="s">
        <v>56</v>
      </c>
      <c r="N987" t="s">
        <v>55</v>
      </c>
      <c r="P987" s="6" t="s">
        <v>1659</v>
      </c>
    </row>
    <row r="988" spans="1:16" x14ac:dyDescent="0.2">
      <c r="A988">
        <v>310082419</v>
      </c>
      <c r="B988" t="s">
        <v>547</v>
      </c>
      <c r="C988" t="s">
        <v>672</v>
      </c>
      <c r="E988" s="22">
        <v>0.22000000000000003</v>
      </c>
      <c r="F988" t="s">
        <v>648</v>
      </c>
      <c r="G988" t="s">
        <v>649</v>
      </c>
      <c r="H988" t="s">
        <v>650</v>
      </c>
      <c r="I988" t="s">
        <v>651</v>
      </c>
      <c r="J988" t="s">
        <v>652</v>
      </c>
      <c r="K988" t="s">
        <v>48</v>
      </c>
      <c r="L988">
        <v>2016</v>
      </c>
      <c r="M988" t="s">
        <v>56</v>
      </c>
      <c r="N988" t="s">
        <v>55</v>
      </c>
      <c r="P988" s="6" t="s">
        <v>1660</v>
      </c>
    </row>
    <row r="989" spans="1:16" x14ac:dyDescent="0.2">
      <c r="A989">
        <v>242132470</v>
      </c>
      <c r="B989" t="s">
        <v>547</v>
      </c>
      <c r="C989" t="s">
        <v>672</v>
      </c>
      <c r="E989" s="22">
        <v>0.56000000000000005</v>
      </c>
      <c r="F989" t="s">
        <v>648</v>
      </c>
      <c r="G989" t="s">
        <v>649</v>
      </c>
      <c r="H989" t="s">
        <v>650</v>
      </c>
      <c r="I989" t="s">
        <v>651</v>
      </c>
      <c r="J989" t="s">
        <v>652</v>
      </c>
      <c r="K989" t="s">
        <v>48</v>
      </c>
      <c r="L989">
        <v>2016</v>
      </c>
      <c r="M989" t="s">
        <v>56</v>
      </c>
      <c r="N989" t="s">
        <v>55</v>
      </c>
      <c r="P989" s="6" t="s">
        <v>1661</v>
      </c>
    </row>
    <row r="990" spans="1:16" x14ac:dyDescent="0.2">
      <c r="A990">
        <v>208248363</v>
      </c>
      <c r="B990" t="s">
        <v>547</v>
      </c>
      <c r="C990" t="s">
        <v>672</v>
      </c>
      <c r="E990" s="22">
        <v>0.4</v>
      </c>
      <c r="F990" t="s">
        <v>648</v>
      </c>
      <c r="G990" t="s">
        <v>649</v>
      </c>
      <c r="H990" t="s">
        <v>650</v>
      </c>
      <c r="I990" t="s">
        <v>651</v>
      </c>
      <c r="J990" t="s">
        <v>652</v>
      </c>
      <c r="K990" t="s">
        <v>48</v>
      </c>
      <c r="L990">
        <v>2016</v>
      </c>
      <c r="M990" t="s">
        <v>56</v>
      </c>
      <c r="N990" t="s">
        <v>55</v>
      </c>
      <c r="P990" s="6" t="s">
        <v>1662</v>
      </c>
    </row>
    <row r="991" spans="1:16" x14ac:dyDescent="0.2">
      <c r="A991">
        <v>277055951</v>
      </c>
      <c r="B991" t="s">
        <v>547</v>
      </c>
      <c r="C991" t="s">
        <v>672</v>
      </c>
      <c r="E991" s="22">
        <v>0</v>
      </c>
      <c r="F991" t="s">
        <v>648</v>
      </c>
      <c r="G991" t="s">
        <v>649</v>
      </c>
      <c r="H991" t="s">
        <v>650</v>
      </c>
      <c r="I991" t="s">
        <v>651</v>
      </c>
      <c r="J991" t="s">
        <v>652</v>
      </c>
      <c r="K991" t="s">
        <v>48</v>
      </c>
      <c r="L991">
        <v>2016</v>
      </c>
      <c r="M991" t="s">
        <v>56</v>
      </c>
      <c r="N991" t="s">
        <v>55</v>
      </c>
      <c r="P991" s="6" t="s">
        <v>1663</v>
      </c>
    </row>
    <row r="992" spans="1:16" x14ac:dyDescent="0.2">
      <c r="A992">
        <v>902907559</v>
      </c>
      <c r="B992" t="s">
        <v>547</v>
      </c>
      <c r="C992" t="s">
        <v>672</v>
      </c>
      <c r="E992" s="22">
        <v>0.12000000000000002</v>
      </c>
      <c r="F992" t="s">
        <v>648</v>
      </c>
      <c r="G992" t="s">
        <v>649</v>
      </c>
      <c r="H992" t="s">
        <v>650</v>
      </c>
      <c r="I992" t="s">
        <v>651</v>
      </c>
      <c r="J992" t="s">
        <v>652</v>
      </c>
      <c r="K992" t="s">
        <v>48</v>
      </c>
      <c r="L992">
        <v>2016</v>
      </c>
      <c r="M992" t="s">
        <v>56</v>
      </c>
      <c r="N992" t="s">
        <v>55</v>
      </c>
      <c r="P992" s="6" t="s">
        <v>1664</v>
      </c>
    </row>
    <row r="993" spans="1:16" x14ac:dyDescent="0.2">
      <c r="A993">
        <v>528297980</v>
      </c>
      <c r="B993" t="s">
        <v>547</v>
      </c>
      <c r="C993" t="s">
        <v>672</v>
      </c>
      <c r="E993" s="22">
        <v>0.62</v>
      </c>
      <c r="F993" t="s">
        <v>648</v>
      </c>
      <c r="G993" t="s">
        <v>649</v>
      </c>
      <c r="H993" t="s">
        <v>650</v>
      </c>
      <c r="I993" t="s">
        <v>651</v>
      </c>
      <c r="J993" t="s">
        <v>652</v>
      </c>
      <c r="K993" t="s">
        <v>48</v>
      </c>
      <c r="L993">
        <v>2016</v>
      </c>
      <c r="M993" t="s">
        <v>56</v>
      </c>
      <c r="N993" t="s">
        <v>55</v>
      </c>
      <c r="P993" s="6" t="s">
        <v>1665</v>
      </c>
    </row>
    <row r="994" spans="1:16" x14ac:dyDescent="0.2">
      <c r="A994">
        <v>444882790</v>
      </c>
      <c r="B994" t="s">
        <v>547</v>
      </c>
      <c r="C994" t="s">
        <v>672</v>
      </c>
      <c r="E994" s="22">
        <v>0.14000000000000001</v>
      </c>
      <c r="F994" t="s">
        <v>648</v>
      </c>
      <c r="G994" t="s">
        <v>649</v>
      </c>
      <c r="H994" t="s">
        <v>650</v>
      </c>
      <c r="I994" t="s">
        <v>651</v>
      </c>
      <c r="J994" t="s">
        <v>652</v>
      </c>
      <c r="K994" t="s">
        <v>48</v>
      </c>
      <c r="L994">
        <v>2016</v>
      </c>
      <c r="M994" t="s">
        <v>56</v>
      </c>
      <c r="N994" t="s">
        <v>55</v>
      </c>
      <c r="P994" s="6" t="s">
        <v>1666</v>
      </c>
    </row>
    <row r="995" spans="1:16" x14ac:dyDescent="0.2">
      <c r="A995">
        <v>112085131</v>
      </c>
      <c r="B995" t="s">
        <v>547</v>
      </c>
      <c r="C995" t="s">
        <v>672</v>
      </c>
      <c r="E995" s="22">
        <v>0.18</v>
      </c>
      <c r="F995" t="s">
        <v>648</v>
      </c>
      <c r="G995" t="s">
        <v>649</v>
      </c>
      <c r="H995" t="s">
        <v>650</v>
      </c>
      <c r="I995" t="s">
        <v>651</v>
      </c>
      <c r="J995" t="s">
        <v>652</v>
      </c>
      <c r="K995" t="s">
        <v>48</v>
      </c>
      <c r="L995">
        <v>2016</v>
      </c>
      <c r="M995" t="s">
        <v>56</v>
      </c>
      <c r="N995" t="s">
        <v>55</v>
      </c>
      <c r="P995" s="6" t="s">
        <v>1667</v>
      </c>
    </row>
    <row r="996" spans="1:16" x14ac:dyDescent="0.2">
      <c r="A996">
        <v>588642518</v>
      </c>
      <c r="B996" t="s">
        <v>547</v>
      </c>
      <c r="C996" t="s">
        <v>672</v>
      </c>
      <c r="E996" s="22">
        <v>0.68</v>
      </c>
      <c r="F996" t="s">
        <v>648</v>
      </c>
      <c r="G996" t="s">
        <v>649</v>
      </c>
      <c r="H996" t="s">
        <v>650</v>
      </c>
      <c r="I996" t="s">
        <v>651</v>
      </c>
      <c r="J996" t="s">
        <v>652</v>
      </c>
      <c r="K996" t="s">
        <v>48</v>
      </c>
      <c r="L996">
        <v>2016</v>
      </c>
      <c r="M996" t="s">
        <v>56</v>
      </c>
      <c r="N996" t="s">
        <v>55</v>
      </c>
      <c r="P996" s="6" t="s">
        <v>1668</v>
      </c>
    </row>
    <row r="997" spans="1:16" x14ac:dyDescent="0.2">
      <c r="A997">
        <v>414520736</v>
      </c>
      <c r="B997" t="s">
        <v>547</v>
      </c>
      <c r="C997" t="s">
        <v>672</v>
      </c>
      <c r="E997" s="22">
        <v>0.14000000000000001</v>
      </c>
      <c r="F997" t="s">
        <v>648</v>
      </c>
      <c r="G997" t="s">
        <v>649</v>
      </c>
      <c r="H997" t="s">
        <v>650</v>
      </c>
      <c r="I997" t="s">
        <v>651</v>
      </c>
      <c r="J997" t="s">
        <v>652</v>
      </c>
      <c r="K997" t="s">
        <v>48</v>
      </c>
      <c r="L997">
        <v>2016</v>
      </c>
      <c r="M997" t="s">
        <v>56</v>
      </c>
      <c r="N997" t="s">
        <v>55</v>
      </c>
      <c r="P997" s="6" t="s">
        <v>1669</v>
      </c>
    </row>
    <row r="998" spans="1:16" x14ac:dyDescent="0.2">
      <c r="A998">
        <v>356558346</v>
      </c>
      <c r="B998" t="s">
        <v>547</v>
      </c>
      <c r="C998" t="s">
        <v>672</v>
      </c>
      <c r="E998" s="22">
        <v>0.04</v>
      </c>
      <c r="F998" t="s">
        <v>648</v>
      </c>
      <c r="G998" t="s">
        <v>649</v>
      </c>
      <c r="H998" t="s">
        <v>650</v>
      </c>
      <c r="I998" t="s">
        <v>651</v>
      </c>
      <c r="J998" t="s">
        <v>652</v>
      </c>
      <c r="K998" t="s">
        <v>48</v>
      </c>
      <c r="L998">
        <v>2016</v>
      </c>
      <c r="M998" t="s">
        <v>56</v>
      </c>
      <c r="N998" t="s">
        <v>55</v>
      </c>
      <c r="P998" s="6" t="s">
        <v>1670</v>
      </c>
    </row>
    <row r="999" spans="1:16" x14ac:dyDescent="0.2">
      <c r="A999">
        <v>970698993</v>
      </c>
      <c r="B999" t="s">
        <v>547</v>
      </c>
      <c r="C999" t="s">
        <v>672</v>
      </c>
      <c r="E999" s="22">
        <v>0.08</v>
      </c>
      <c r="F999" t="s">
        <v>648</v>
      </c>
      <c r="G999" t="s">
        <v>649</v>
      </c>
      <c r="H999" t="s">
        <v>650</v>
      </c>
      <c r="I999" t="s">
        <v>651</v>
      </c>
      <c r="J999" t="s">
        <v>652</v>
      </c>
      <c r="K999" t="s">
        <v>48</v>
      </c>
      <c r="L999">
        <v>2016</v>
      </c>
      <c r="M999" t="s">
        <v>56</v>
      </c>
      <c r="N999" t="s">
        <v>55</v>
      </c>
      <c r="P999" s="6" t="s">
        <v>1671</v>
      </c>
    </row>
    <row r="1000" spans="1:16" x14ac:dyDescent="0.2">
      <c r="A1000">
        <v>633537205</v>
      </c>
      <c r="B1000" t="s">
        <v>547</v>
      </c>
      <c r="C1000" t="s">
        <v>672</v>
      </c>
      <c r="E1000" s="22">
        <v>0.1</v>
      </c>
      <c r="F1000" t="s">
        <v>648</v>
      </c>
      <c r="G1000" t="s">
        <v>649</v>
      </c>
      <c r="H1000" t="s">
        <v>650</v>
      </c>
      <c r="I1000" t="s">
        <v>651</v>
      </c>
      <c r="J1000" t="s">
        <v>652</v>
      </c>
      <c r="K1000" t="s">
        <v>48</v>
      </c>
      <c r="L1000">
        <v>2016</v>
      </c>
      <c r="M1000" t="s">
        <v>56</v>
      </c>
      <c r="N1000" t="s">
        <v>55</v>
      </c>
      <c r="P1000" s="6" t="s">
        <v>1672</v>
      </c>
    </row>
    <row r="1001" spans="1:16" x14ac:dyDescent="0.2">
      <c r="A1001">
        <v>534292868</v>
      </c>
      <c r="B1001" t="s">
        <v>547</v>
      </c>
      <c r="C1001" t="s">
        <v>672</v>
      </c>
      <c r="E1001" s="22">
        <v>0.08</v>
      </c>
      <c r="F1001" t="s">
        <v>648</v>
      </c>
      <c r="G1001" t="s">
        <v>649</v>
      </c>
      <c r="H1001" t="s">
        <v>650</v>
      </c>
      <c r="I1001" t="s">
        <v>651</v>
      </c>
      <c r="J1001" t="s">
        <v>652</v>
      </c>
      <c r="K1001" t="s">
        <v>48</v>
      </c>
      <c r="L1001">
        <v>2016</v>
      </c>
      <c r="M1001" t="s">
        <v>56</v>
      </c>
      <c r="N1001" t="s">
        <v>55</v>
      </c>
      <c r="P1001" s="6" t="s">
        <v>1673</v>
      </c>
    </row>
    <row r="1002" spans="1:16" x14ac:dyDescent="0.2">
      <c r="A1002">
        <v>816787809</v>
      </c>
      <c r="B1002" t="s">
        <v>547</v>
      </c>
      <c r="C1002" t="s">
        <v>672</v>
      </c>
      <c r="E1002" s="22">
        <v>0.64</v>
      </c>
      <c r="F1002" t="s">
        <v>648</v>
      </c>
      <c r="G1002" t="s">
        <v>649</v>
      </c>
      <c r="H1002" t="s">
        <v>650</v>
      </c>
      <c r="I1002" t="s">
        <v>651</v>
      </c>
      <c r="J1002" t="s">
        <v>652</v>
      </c>
      <c r="K1002" t="s">
        <v>48</v>
      </c>
      <c r="L1002">
        <v>2016</v>
      </c>
      <c r="M1002" t="s">
        <v>56</v>
      </c>
      <c r="N1002" t="s">
        <v>55</v>
      </c>
      <c r="P1002" s="6" t="s">
        <v>1674</v>
      </c>
    </row>
    <row r="1003" spans="1:16" x14ac:dyDescent="0.2">
      <c r="A1003">
        <v>220052551</v>
      </c>
      <c r="B1003" t="s">
        <v>547</v>
      </c>
      <c r="C1003" t="s">
        <v>672</v>
      </c>
      <c r="E1003" s="22">
        <v>0.14000000000000001</v>
      </c>
      <c r="F1003" t="s">
        <v>648</v>
      </c>
      <c r="G1003" t="s">
        <v>649</v>
      </c>
      <c r="H1003" t="s">
        <v>650</v>
      </c>
      <c r="I1003" t="s">
        <v>651</v>
      </c>
      <c r="J1003" t="s">
        <v>652</v>
      </c>
      <c r="K1003" t="s">
        <v>48</v>
      </c>
      <c r="L1003">
        <v>2016</v>
      </c>
      <c r="M1003" t="s">
        <v>56</v>
      </c>
      <c r="N1003" t="s">
        <v>55</v>
      </c>
      <c r="P1003" s="6" t="s">
        <v>1675</v>
      </c>
    </row>
    <row r="1004" spans="1:16" x14ac:dyDescent="0.2">
      <c r="A1004">
        <v>858571733</v>
      </c>
      <c r="B1004" t="s">
        <v>547</v>
      </c>
      <c r="C1004" t="s">
        <v>672</v>
      </c>
      <c r="E1004" s="22">
        <v>0.16</v>
      </c>
      <c r="F1004" t="s">
        <v>648</v>
      </c>
      <c r="G1004" t="s">
        <v>649</v>
      </c>
      <c r="H1004" t="s">
        <v>650</v>
      </c>
      <c r="I1004" t="s">
        <v>651</v>
      </c>
      <c r="J1004" t="s">
        <v>652</v>
      </c>
      <c r="K1004" t="s">
        <v>48</v>
      </c>
      <c r="L1004">
        <v>2016</v>
      </c>
      <c r="M1004" t="s">
        <v>56</v>
      </c>
      <c r="N1004" t="s">
        <v>55</v>
      </c>
      <c r="P1004" s="6" t="s">
        <v>1676</v>
      </c>
    </row>
    <row r="1005" spans="1:16" x14ac:dyDescent="0.2">
      <c r="A1005">
        <v>363436152</v>
      </c>
      <c r="B1005" t="s">
        <v>547</v>
      </c>
      <c r="C1005" t="s">
        <v>672</v>
      </c>
      <c r="E1005" s="22">
        <v>0.46000000000000008</v>
      </c>
      <c r="F1005" t="s">
        <v>648</v>
      </c>
      <c r="G1005" t="s">
        <v>649</v>
      </c>
      <c r="H1005" t="s">
        <v>650</v>
      </c>
      <c r="I1005" t="s">
        <v>651</v>
      </c>
      <c r="J1005" t="s">
        <v>652</v>
      </c>
      <c r="K1005" t="s">
        <v>48</v>
      </c>
      <c r="L1005">
        <v>2016</v>
      </c>
      <c r="M1005" t="s">
        <v>56</v>
      </c>
      <c r="N1005" t="s">
        <v>55</v>
      </c>
      <c r="P1005" s="6" t="s">
        <v>1677</v>
      </c>
    </row>
    <row r="1006" spans="1:16" x14ac:dyDescent="0.2">
      <c r="A1006">
        <v>393495083</v>
      </c>
      <c r="B1006" t="s">
        <v>547</v>
      </c>
      <c r="C1006" t="s">
        <v>672</v>
      </c>
      <c r="E1006" s="22">
        <v>0.18</v>
      </c>
      <c r="F1006" t="s">
        <v>648</v>
      </c>
      <c r="G1006" t="s">
        <v>649</v>
      </c>
      <c r="H1006" t="s">
        <v>650</v>
      </c>
      <c r="I1006" t="s">
        <v>651</v>
      </c>
      <c r="J1006" t="s">
        <v>652</v>
      </c>
      <c r="K1006" t="s">
        <v>48</v>
      </c>
      <c r="L1006">
        <v>2016</v>
      </c>
      <c r="M1006" t="s">
        <v>56</v>
      </c>
      <c r="N1006" t="s">
        <v>55</v>
      </c>
      <c r="P1006" s="6" t="s">
        <v>1678</v>
      </c>
    </row>
    <row r="1007" spans="1:16" x14ac:dyDescent="0.2">
      <c r="A1007">
        <v>769635714</v>
      </c>
      <c r="B1007" t="s">
        <v>547</v>
      </c>
      <c r="C1007" t="s">
        <v>672</v>
      </c>
      <c r="E1007" s="22">
        <v>0.64</v>
      </c>
      <c r="F1007" t="s">
        <v>648</v>
      </c>
      <c r="G1007" t="s">
        <v>649</v>
      </c>
      <c r="H1007" t="s">
        <v>650</v>
      </c>
      <c r="I1007" t="s">
        <v>651</v>
      </c>
      <c r="J1007" t="s">
        <v>652</v>
      </c>
      <c r="K1007" t="s">
        <v>48</v>
      </c>
      <c r="L1007">
        <v>2016</v>
      </c>
      <c r="M1007" t="s">
        <v>56</v>
      </c>
      <c r="N1007" t="s">
        <v>55</v>
      </c>
      <c r="P1007" s="6" t="s">
        <v>1679</v>
      </c>
    </row>
    <row r="1008" spans="1:16" x14ac:dyDescent="0.2">
      <c r="A1008">
        <v>373048949</v>
      </c>
      <c r="B1008" t="s">
        <v>547</v>
      </c>
      <c r="C1008" t="s">
        <v>672</v>
      </c>
      <c r="E1008" s="22">
        <v>0.3</v>
      </c>
      <c r="F1008" t="s">
        <v>648</v>
      </c>
      <c r="G1008" t="s">
        <v>649</v>
      </c>
      <c r="H1008" t="s">
        <v>650</v>
      </c>
      <c r="I1008" t="s">
        <v>651</v>
      </c>
      <c r="J1008" t="s">
        <v>652</v>
      </c>
      <c r="K1008" t="s">
        <v>48</v>
      </c>
      <c r="L1008">
        <v>2016</v>
      </c>
      <c r="M1008" t="s">
        <v>56</v>
      </c>
      <c r="N1008" t="s">
        <v>55</v>
      </c>
      <c r="P1008" s="6" t="s">
        <v>1680</v>
      </c>
    </row>
    <row r="1009" spans="1:16" x14ac:dyDescent="0.2">
      <c r="A1009">
        <v>357061292</v>
      </c>
      <c r="B1009" t="s">
        <v>547</v>
      </c>
      <c r="C1009" t="s">
        <v>672</v>
      </c>
      <c r="E1009" s="22">
        <v>0.5</v>
      </c>
      <c r="F1009" t="s">
        <v>648</v>
      </c>
      <c r="G1009" t="s">
        <v>649</v>
      </c>
      <c r="H1009" t="s">
        <v>650</v>
      </c>
      <c r="I1009" t="s">
        <v>651</v>
      </c>
      <c r="J1009" t="s">
        <v>652</v>
      </c>
      <c r="K1009" t="s">
        <v>48</v>
      </c>
      <c r="L1009">
        <v>2016</v>
      </c>
      <c r="M1009" t="s">
        <v>56</v>
      </c>
      <c r="N1009" t="s">
        <v>55</v>
      </c>
      <c r="P1009" s="6" t="s">
        <v>1681</v>
      </c>
    </row>
    <row r="1010" spans="1:16" x14ac:dyDescent="0.2">
      <c r="A1010">
        <v>837310284</v>
      </c>
      <c r="B1010" t="s">
        <v>547</v>
      </c>
      <c r="C1010" t="s">
        <v>672</v>
      </c>
      <c r="E1010" s="22">
        <v>0.36</v>
      </c>
      <c r="F1010" t="s">
        <v>648</v>
      </c>
      <c r="G1010" t="s">
        <v>649</v>
      </c>
      <c r="H1010" t="s">
        <v>650</v>
      </c>
      <c r="I1010" t="s">
        <v>651</v>
      </c>
      <c r="J1010" t="s">
        <v>652</v>
      </c>
      <c r="K1010" t="s">
        <v>48</v>
      </c>
      <c r="L1010">
        <v>2016</v>
      </c>
      <c r="M1010" t="s">
        <v>56</v>
      </c>
      <c r="N1010" t="s">
        <v>55</v>
      </c>
      <c r="P1010" s="6" t="s">
        <v>1682</v>
      </c>
    </row>
    <row r="1011" spans="1:16" x14ac:dyDescent="0.2">
      <c r="A1011">
        <v>815854164</v>
      </c>
      <c r="B1011" t="s">
        <v>547</v>
      </c>
      <c r="C1011" t="s">
        <v>672</v>
      </c>
      <c r="E1011" s="22">
        <v>0.62</v>
      </c>
      <c r="F1011" t="s">
        <v>648</v>
      </c>
      <c r="G1011" t="s">
        <v>649</v>
      </c>
      <c r="H1011" t="s">
        <v>650</v>
      </c>
      <c r="I1011" t="s">
        <v>651</v>
      </c>
      <c r="J1011" t="s">
        <v>652</v>
      </c>
      <c r="K1011" t="s">
        <v>48</v>
      </c>
      <c r="L1011">
        <v>2016</v>
      </c>
      <c r="M1011" t="s">
        <v>56</v>
      </c>
      <c r="N1011" t="s">
        <v>55</v>
      </c>
      <c r="P1011" s="6" t="s">
        <v>1683</v>
      </c>
    </row>
    <row r="1012" spans="1:16" x14ac:dyDescent="0.2">
      <c r="A1012">
        <v>315378369</v>
      </c>
      <c r="B1012" t="s">
        <v>547</v>
      </c>
      <c r="C1012" t="s">
        <v>672</v>
      </c>
      <c r="E1012" s="22">
        <v>0.36</v>
      </c>
      <c r="F1012" t="s">
        <v>648</v>
      </c>
      <c r="G1012" t="s">
        <v>649</v>
      </c>
      <c r="H1012" t="s">
        <v>650</v>
      </c>
      <c r="I1012" t="s">
        <v>651</v>
      </c>
      <c r="J1012" t="s">
        <v>652</v>
      </c>
      <c r="K1012" t="s">
        <v>48</v>
      </c>
      <c r="L1012">
        <v>2016</v>
      </c>
      <c r="M1012" t="s">
        <v>56</v>
      </c>
      <c r="N1012" t="s">
        <v>55</v>
      </c>
      <c r="P1012" s="6" t="s">
        <v>1684</v>
      </c>
    </row>
    <row r="1013" spans="1:16" x14ac:dyDescent="0.2">
      <c r="A1013">
        <v>564410540</v>
      </c>
      <c r="B1013" t="s">
        <v>547</v>
      </c>
      <c r="C1013" t="s">
        <v>672</v>
      </c>
      <c r="E1013" s="22">
        <v>0.72</v>
      </c>
      <c r="F1013" t="s">
        <v>648</v>
      </c>
      <c r="G1013" t="s">
        <v>649</v>
      </c>
      <c r="H1013" t="s">
        <v>650</v>
      </c>
      <c r="I1013" t="s">
        <v>651</v>
      </c>
      <c r="J1013" t="s">
        <v>652</v>
      </c>
      <c r="K1013" t="s">
        <v>48</v>
      </c>
      <c r="L1013">
        <v>2016</v>
      </c>
      <c r="M1013" t="s">
        <v>56</v>
      </c>
      <c r="N1013" t="s">
        <v>55</v>
      </c>
      <c r="P1013" s="6" t="s">
        <v>1685</v>
      </c>
    </row>
    <row r="1014" spans="1:16" x14ac:dyDescent="0.2">
      <c r="A1014">
        <v>126539887</v>
      </c>
      <c r="B1014" t="s">
        <v>547</v>
      </c>
      <c r="C1014" t="s">
        <v>672</v>
      </c>
      <c r="E1014" s="22">
        <v>0.62</v>
      </c>
      <c r="F1014" t="s">
        <v>648</v>
      </c>
      <c r="G1014" t="s">
        <v>649</v>
      </c>
      <c r="H1014" t="s">
        <v>650</v>
      </c>
      <c r="I1014" t="s">
        <v>651</v>
      </c>
      <c r="J1014" t="s">
        <v>652</v>
      </c>
      <c r="K1014" t="s">
        <v>48</v>
      </c>
      <c r="L1014">
        <v>2016</v>
      </c>
      <c r="M1014" t="s">
        <v>56</v>
      </c>
      <c r="N1014" t="s">
        <v>55</v>
      </c>
      <c r="P1014" s="6" t="s">
        <v>1686</v>
      </c>
    </row>
    <row r="1015" spans="1:16" x14ac:dyDescent="0.2">
      <c r="A1015">
        <v>563937624</v>
      </c>
      <c r="B1015" t="s">
        <v>547</v>
      </c>
      <c r="C1015" t="s">
        <v>672</v>
      </c>
      <c r="E1015" s="22">
        <v>0.2</v>
      </c>
      <c r="F1015" t="s">
        <v>648</v>
      </c>
      <c r="G1015" t="s">
        <v>649</v>
      </c>
      <c r="H1015" t="s">
        <v>650</v>
      </c>
      <c r="I1015" t="s">
        <v>651</v>
      </c>
      <c r="J1015" t="s">
        <v>652</v>
      </c>
      <c r="K1015" t="s">
        <v>48</v>
      </c>
      <c r="L1015">
        <v>2016</v>
      </c>
      <c r="M1015" t="s">
        <v>56</v>
      </c>
      <c r="N1015" t="s">
        <v>55</v>
      </c>
      <c r="P1015" s="6" t="s">
        <v>1687</v>
      </c>
    </row>
    <row r="1016" spans="1:16" x14ac:dyDescent="0.2">
      <c r="A1016">
        <v>684291511</v>
      </c>
      <c r="B1016" t="s">
        <v>547</v>
      </c>
      <c r="C1016" t="s">
        <v>672</v>
      </c>
      <c r="E1016" s="22">
        <v>0.52</v>
      </c>
      <c r="F1016" t="s">
        <v>648</v>
      </c>
      <c r="G1016" t="s">
        <v>649</v>
      </c>
      <c r="H1016" t="s">
        <v>650</v>
      </c>
      <c r="I1016" t="s">
        <v>651</v>
      </c>
      <c r="J1016" t="s">
        <v>652</v>
      </c>
      <c r="K1016" t="s">
        <v>48</v>
      </c>
      <c r="L1016">
        <v>2016</v>
      </c>
      <c r="M1016" t="s">
        <v>56</v>
      </c>
      <c r="N1016" t="s">
        <v>55</v>
      </c>
      <c r="P1016" s="6" t="s">
        <v>1688</v>
      </c>
    </row>
    <row r="1017" spans="1:16" x14ac:dyDescent="0.2">
      <c r="A1017">
        <v>598829620</v>
      </c>
      <c r="B1017" t="s">
        <v>547</v>
      </c>
      <c r="C1017" t="s">
        <v>673</v>
      </c>
      <c r="E1017" s="22">
        <v>0.4</v>
      </c>
      <c r="F1017" t="s">
        <v>648</v>
      </c>
      <c r="G1017" t="s">
        <v>649</v>
      </c>
      <c r="H1017" t="s">
        <v>650</v>
      </c>
      <c r="I1017" t="s">
        <v>651</v>
      </c>
      <c r="J1017" t="s">
        <v>652</v>
      </c>
      <c r="K1017" t="s">
        <v>48</v>
      </c>
      <c r="L1017">
        <v>2016</v>
      </c>
      <c r="M1017" t="s">
        <v>56</v>
      </c>
      <c r="N1017" t="s">
        <v>55</v>
      </c>
      <c r="P1017" s="6" t="s">
        <v>1689</v>
      </c>
    </row>
    <row r="1018" spans="1:16" x14ac:dyDescent="0.2">
      <c r="A1018">
        <v>684014860</v>
      </c>
      <c r="B1018" t="s">
        <v>547</v>
      </c>
      <c r="C1018" t="s">
        <v>673</v>
      </c>
      <c r="E1018" s="22">
        <v>0.61750000000000005</v>
      </c>
      <c r="F1018" t="s">
        <v>648</v>
      </c>
      <c r="G1018" t="s">
        <v>649</v>
      </c>
      <c r="H1018" t="s">
        <v>650</v>
      </c>
      <c r="I1018" t="s">
        <v>651</v>
      </c>
      <c r="J1018" t="s">
        <v>652</v>
      </c>
      <c r="K1018" t="s">
        <v>48</v>
      </c>
      <c r="L1018">
        <v>2016</v>
      </c>
      <c r="M1018" t="s">
        <v>56</v>
      </c>
      <c r="N1018" t="s">
        <v>55</v>
      </c>
      <c r="P1018" s="6" t="s">
        <v>1690</v>
      </c>
    </row>
    <row r="1019" spans="1:16" x14ac:dyDescent="0.2">
      <c r="A1019">
        <v>843228181</v>
      </c>
      <c r="B1019" t="s">
        <v>547</v>
      </c>
      <c r="C1019" t="s">
        <v>673</v>
      </c>
      <c r="E1019" s="22">
        <v>0.57874999999999999</v>
      </c>
      <c r="F1019" t="s">
        <v>648</v>
      </c>
      <c r="G1019" t="s">
        <v>649</v>
      </c>
      <c r="H1019" t="s">
        <v>650</v>
      </c>
      <c r="I1019" t="s">
        <v>651</v>
      </c>
      <c r="J1019" t="s">
        <v>652</v>
      </c>
      <c r="K1019" t="s">
        <v>48</v>
      </c>
      <c r="L1019">
        <v>2016</v>
      </c>
      <c r="M1019" t="s">
        <v>56</v>
      </c>
      <c r="N1019" t="s">
        <v>55</v>
      </c>
      <c r="P1019" s="6" t="s">
        <v>1691</v>
      </c>
    </row>
    <row r="1020" spans="1:16" x14ac:dyDescent="0.2">
      <c r="A1020">
        <v>820549378</v>
      </c>
      <c r="B1020" t="s">
        <v>547</v>
      </c>
      <c r="C1020" t="s">
        <v>673</v>
      </c>
      <c r="E1020" s="22">
        <v>0.52374999999999994</v>
      </c>
      <c r="F1020" t="s">
        <v>648</v>
      </c>
      <c r="G1020" t="s">
        <v>649</v>
      </c>
      <c r="H1020" t="s">
        <v>650</v>
      </c>
      <c r="I1020" t="s">
        <v>651</v>
      </c>
      <c r="J1020" t="s">
        <v>652</v>
      </c>
      <c r="K1020" t="s">
        <v>48</v>
      </c>
      <c r="L1020">
        <v>2016</v>
      </c>
      <c r="M1020" t="s">
        <v>56</v>
      </c>
      <c r="N1020" t="s">
        <v>55</v>
      </c>
      <c r="P1020" s="6" t="s">
        <v>1692</v>
      </c>
    </row>
    <row r="1021" spans="1:16" x14ac:dyDescent="0.2">
      <c r="A1021">
        <v>533572169</v>
      </c>
      <c r="B1021" t="s">
        <v>547</v>
      </c>
      <c r="C1021" t="s">
        <v>673</v>
      </c>
      <c r="E1021" s="22">
        <v>0.18875</v>
      </c>
      <c r="F1021" t="s">
        <v>648</v>
      </c>
      <c r="G1021" t="s">
        <v>649</v>
      </c>
      <c r="H1021" t="s">
        <v>650</v>
      </c>
      <c r="I1021" t="s">
        <v>651</v>
      </c>
      <c r="J1021" t="s">
        <v>652</v>
      </c>
      <c r="K1021" t="s">
        <v>48</v>
      </c>
      <c r="L1021">
        <v>2016</v>
      </c>
      <c r="M1021" t="s">
        <v>56</v>
      </c>
      <c r="N1021" t="s">
        <v>55</v>
      </c>
      <c r="P1021" s="6" t="s">
        <v>1693</v>
      </c>
    </row>
    <row r="1022" spans="1:16" x14ac:dyDescent="0.2">
      <c r="A1022">
        <v>975325712</v>
      </c>
      <c r="B1022" t="s">
        <v>547</v>
      </c>
      <c r="C1022" t="s">
        <v>673</v>
      </c>
      <c r="E1022" s="22">
        <v>0.28625</v>
      </c>
      <c r="F1022" t="s">
        <v>648</v>
      </c>
      <c r="G1022" t="s">
        <v>649</v>
      </c>
      <c r="H1022" t="s">
        <v>650</v>
      </c>
      <c r="I1022" t="s">
        <v>651</v>
      </c>
      <c r="J1022" t="s">
        <v>652</v>
      </c>
      <c r="K1022" t="s">
        <v>48</v>
      </c>
      <c r="L1022">
        <v>2016</v>
      </c>
      <c r="M1022" t="s">
        <v>56</v>
      </c>
      <c r="N1022" t="s">
        <v>55</v>
      </c>
      <c r="P1022" s="6" t="s">
        <v>1694</v>
      </c>
    </row>
    <row r="1023" spans="1:16" x14ac:dyDescent="0.2">
      <c r="A1023">
        <v>310082419</v>
      </c>
      <c r="B1023" t="s">
        <v>547</v>
      </c>
      <c r="C1023" t="s">
        <v>673</v>
      </c>
      <c r="E1023" s="22">
        <v>0.36625000000000002</v>
      </c>
      <c r="F1023" t="s">
        <v>648</v>
      </c>
      <c r="G1023" t="s">
        <v>649</v>
      </c>
      <c r="H1023" t="s">
        <v>650</v>
      </c>
      <c r="I1023" t="s">
        <v>651</v>
      </c>
      <c r="J1023" t="s">
        <v>652</v>
      </c>
      <c r="K1023" t="s">
        <v>48</v>
      </c>
      <c r="L1023">
        <v>2016</v>
      </c>
      <c r="M1023" t="s">
        <v>56</v>
      </c>
      <c r="N1023" t="s">
        <v>55</v>
      </c>
      <c r="P1023" s="6" t="s">
        <v>1695</v>
      </c>
    </row>
    <row r="1024" spans="1:16" x14ac:dyDescent="0.2">
      <c r="A1024">
        <v>242132470</v>
      </c>
      <c r="B1024" t="s">
        <v>547</v>
      </c>
      <c r="C1024" t="s">
        <v>673</v>
      </c>
      <c r="E1024" s="22">
        <v>0.33625000000000005</v>
      </c>
      <c r="F1024" t="s">
        <v>648</v>
      </c>
      <c r="G1024" t="s">
        <v>649</v>
      </c>
      <c r="H1024" t="s">
        <v>650</v>
      </c>
      <c r="I1024" t="s">
        <v>651</v>
      </c>
      <c r="J1024" t="s">
        <v>652</v>
      </c>
      <c r="K1024" t="s">
        <v>48</v>
      </c>
      <c r="L1024">
        <v>2016</v>
      </c>
      <c r="M1024" t="s">
        <v>56</v>
      </c>
      <c r="N1024" t="s">
        <v>55</v>
      </c>
      <c r="P1024" s="6" t="s">
        <v>1696</v>
      </c>
    </row>
    <row r="1025" spans="1:16" x14ac:dyDescent="0.2">
      <c r="A1025">
        <v>208248363</v>
      </c>
      <c r="B1025" t="s">
        <v>547</v>
      </c>
      <c r="C1025" t="s">
        <v>673</v>
      </c>
      <c r="E1025" s="22">
        <v>0.51875000000000004</v>
      </c>
      <c r="F1025" t="s">
        <v>648</v>
      </c>
      <c r="G1025" t="s">
        <v>649</v>
      </c>
      <c r="H1025" t="s">
        <v>650</v>
      </c>
      <c r="I1025" t="s">
        <v>651</v>
      </c>
      <c r="J1025" t="s">
        <v>652</v>
      </c>
      <c r="K1025" t="s">
        <v>48</v>
      </c>
      <c r="L1025">
        <v>2016</v>
      </c>
      <c r="M1025" t="s">
        <v>56</v>
      </c>
      <c r="N1025" t="s">
        <v>55</v>
      </c>
      <c r="P1025" s="6" t="s">
        <v>1697</v>
      </c>
    </row>
    <row r="1026" spans="1:16" x14ac:dyDescent="0.2">
      <c r="A1026">
        <v>277055951</v>
      </c>
      <c r="B1026" t="s">
        <v>547</v>
      </c>
      <c r="C1026" t="s">
        <v>673</v>
      </c>
      <c r="E1026" s="22">
        <v>0.25</v>
      </c>
      <c r="F1026" t="s">
        <v>648</v>
      </c>
      <c r="G1026" t="s">
        <v>649</v>
      </c>
      <c r="H1026" t="s">
        <v>650</v>
      </c>
      <c r="I1026" t="s">
        <v>651</v>
      </c>
      <c r="J1026" t="s">
        <v>652</v>
      </c>
      <c r="K1026" t="s">
        <v>48</v>
      </c>
      <c r="L1026">
        <v>2016</v>
      </c>
      <c r="M1026" t="s">
        <v>56</v>
      </c>
      <c r="N1026" t="s">
        <v>55</v>
      </c>
      <c r="P1026" s="6" t="s">
        <v>1698</v>
      </c>
    </row>
    <row r="1027" spans="1:16" x14ac:dyDescent="0.2">
      <c r="A1027">
        <v>902907559</v>
      </c>
      <c r="B1027" t="s">
        <v>547</v>
      </c>
      <c r="C1027" t="s">
        <v>673</v>
      </c>
      <c r="E1027" s="22">
        <v>0.33500000000000002</v>
      </c>
      <c r="F1027" t="s">
        <v>648</v>
      </c>
      <c r="G1027" t="s">
        <v>649</v>
      </c>
      <c r="H1027" t="s">
        <v>650</v>
      </c>
      <c r="I1027" t="s">
        <v>651</v>
      </c>
      <c r="J1027" t="s">
        <v>652</v>
      </c>
      <c r="K1027" t="s">
        <v>48</v>
      </c>
      <c r="L1027">
        <v>2016</v>
      </c>
      <c r="M1027" t="s">
        <v>56</v>
      </c>
      <c r="N1027" t="s">
        <v>55</v>
      </c>
      <c r="P1027" s="6" t="s">
        <v>1699</v>
      </c>
    </row>
    <row r="1028" spans="1:16" x14ac:dyDescent="0.2">
      <c r="A1028">
        <v>528297980</v>
      </c>
      <c r="B1028" t="s">
        <v>547</v>
      </c>
      <c r="C1028" t="s">
        <v>673</v>
      </c>
      <c r="E1028" s="22">
        <v>0.54749999999999999</v>
      </c>
      <c r="F1028" t="s">
        <v>648</v>
      </c>
      <c r="G1028" t="s">
        <v>649</v>
      </c>
      <c r="H1028" t="s">
        <v>650</v>
      </c>
      <c r="I1028" t="s">
        <v>651</v>
      </c>
      <c r="J1028" t="s">
        <v>652</v>
      </c>
      <c r="K1028" t="s">
        <v>48</v>
      </c>
      <c r="L1028">
        <v>2016</v>
      </c>
      <c r="M1028" t="s">
        <v>56</v>
      </c>
      <c r="N1028" t="s">
        <v>55</v>
      </c>
      <c r="P1028" s="6" t="s">
        <v>1700</v>
      </c>
    </row>
    <row r="1029" spans="1:16" x14ac:dyDescent="0.2">
      <c r="A1029">
        <v>444882790</v>
      </c>
      <c r="B1029" t="s">
        <v>547</v>
      </c>
      <c r="C1029" t="s">
        <v>673</v>
      </c>
      <c r="E1029" s="22">
        <v>0.42000000000000004</v>
      </c>
      <c r="F1029" t="s">
        <v>648</v>
      </c>
      <c r="G1029" t="s">
        <v>649</v>
      </c>
      <c r="H1029" t="s">
        <v>650</v>
      </c>
      <c r="I1029" t="s">
        <v>651</v>
      </c>
      <c r="J1029" t="s">
        <v>652</v>
      </c>
      <c r="K1029" t="s">
        <v>48</v>
      </c>
      <c r="L1029">
        <v>2016</v>
      </c>
      <c r="M1029" t="s">
        <v>56</v>
      </c>
      <c r="N1029" t="s">
        <v>55</v>
      </c>
      <c r="P1029" s="6" t="s">
        <v>1701</v>
      </c>
    </row>
    <row r="1030" spans="1:16" x14ac:dyDescent="0.2">
      <c r="A1030">
        <v>112085131</v>
      </c>
      <c r="B1030" t="s">
        <v>547</v>
      </c>
      <c r="C1030" t="s">
        <v>673</v>
      </c>
      <c r="E1030" s="22">
        <v>0.25874999999999998</v>
      </c>
      <c r="F1030" t="s">
        <v>648</v>
      </c>
      <c r="G1030" t="s">
        <v>649</v>
      </c>
      <c r="H1030" t="s">
        <v>650</v>
      </c>
      <c r="I1030" t="s">
        <v>651</v>
      </c>
      <c r="J1030" t="s">
        <v>652</v>
      </c>
      <c r="K1030" t="s">
        <v>48</v>
      </c>
      <c r="L1030">
        <v>2016</v>
      </c>
      <c r="M1030" t="s">
        <v>56</v>
      </c>
      <c r="N1030" t="s">
        <v>55</v>
      </c>
      <c r="P1030" s="6" t="s">
        <v>1702</v>
      </c>
    </row>
    <row r="1031" spans="1:16" x14ac:dyDescent="0.2">
      <c r="A1031">
        <v>588642518</v>
      </c>
      <c r="B1031" t="s">
        <v>547</v>
      </c>
      <c r="C1031" t="s">
        <v>673</v>
      </c>
      <c r="E1031" s="22">
        <v>0.37750000000000006</v>
      </c>
      <c r="F1031" t="s">
        <v>648</v>
      </c>
      <c r="G1031" t="s">
        <v>649</v>
      </c>
      <c r="H1031" t="s">
        <v>650</v>
      </c>
      <c r="I1031" t="s">
        <v>651</v>
      </c>
      <c r="J1031" t="s">
        <v>652</v>
      </c>
      <c r="K1031" t="s">
        <v>48</v>
      </c>
      <c r="L1031">
        <v>2016</v>
      </c>
      <c r="M1031" t="s">
        <v>56</v>
      </c>
      <c r="N1031" t="s">
        <v>55</v>
      </c>
      <c r="P1031" s="6" t="s">
        <v>1703</v>
      </c>
    </row>
    <row r="1032" spans="1:16" x14ac:dyDescent="0.2">
      <c r="A1032">
        <v>414520736</v>
      </c>
      <c r="B1032" t="s">
        <v>547</v>
      </c>
      <c r="C1032" t="s">
        <v>673</v>
      </c>
      <c r="E1032" s="22">
        <v>0.22625000000000001</v>
      </c>
      <c r="F1032" t="s">
        <v>648</v>
      </c>
      <c r="G1032" t="s">
        <v>649</v>
      </c>
      <c r="H1032" t="s">
        <v>650</v>
      </c>
      <c r="I1032" t="s">
        <v>651</v>
      </c>
      <c r="J1032" t="s">
        <v>652</v>
      </c>
      <c r="K1032" t="s">
        <v>48</v>
      </c>
      <c r="L1032">
        <v>2016</v>
      </c>
      <c r="M1032" t="s">
        <v>56</v>
      </c>
      <c r="N1032" t="s">
        <v>55</v>
      </c>
      <c r="P1032" s="6" t="s">
        <v>1704</v>
      </c>
    </row>
    <row r="1033" spans="1:16" x14ac:dyDescent="0.2">
      <c r="A1033">
        <v>356558346</v>
      </c>
      <c r="B1033" t="s">
        <v>547</v>
      </c>
      <c r="C1033" t="s">
        <v>673</v>
      </c>
      <c r="E1033" s="22">
        <v>0.22625000000000001</v>
      </c>
      <c r="F1033" t="s">
        <v>648</v>
      </c>
      <c r="G1033" t="s">
        <v>649</v>
      </c>
      <c r="H1033" t="s">
        <v>650</v>
      </c>
      <c r="I1033" t="s">
        <v>651</v>
      </c>
      <c r="J1033" t="s">
        <v>652</v>
      </c>
      <c r="K1033" t="s">
        <v>48</v>
      </c>
      <c r="L1033">
        <v>2016</v>
      </c>
      <c r="M1033" t="s">
        <v>56</v>
      </c>
      <c r="N1033" t="s">
        <v>55</v>
      </c>
      <c r="P1033" s="6" t="s">
        <v>1705</v>
      </c>
    </row>
    <row r="1034" spans="1:16" x14ac:dyDescent="0.2">
      <c r="A1034">
        <v>970698993</v>
      </c>
      <c r="B1034" t="s">
        <v>547</v>
      </c>
      <c r="C1034" t="s">
        <v>673</v>
      </c>
      <c r="E1034" s="22">
        <v>0.22749999999999998</v>
      </c>
      <c r="F1034" t="s">
        <v>648</v>
      </c>
      <c r="G1034" t="s">
        <v>649</v>
      </c>
      <c r="H1034" t="s">
        <v>650</v>
      </c>
      <c r="I1034" t="s">
        <v>651</v>
      </c>
      <c r="J1034" t="s">
        <v>652</v>
      </c>
      <c r="K1034" t="s">
        <v>48</v>
      </c>
      <c r="L1034">
        <v>2016</v>
      </c>
      <c r="M1034" t="s">
        <v>56</v>
      </c>
      <c r="N1034" t="s">
        <v>55</v>
      </c>
      <c r="P1034" s="6" t="s">
        <v>1706</v>
      </c>
    </row>
    <row r="1035" spans="1:16" x14ac:dyDescent="0.2">
      <c r="A1035">
        <v>633537205</v>
      </c>
      <c r="B1035" t="s">
        <v>547</v>
      </c>
      <c r="C1035" t="s">
        <v>673</v>
      </c>
      <c r="E1035" s="22">
        <v>0.125</v>
      </c>
      <c r="F1035" t="s">
        <v>648</v>
      </c>
      <c r="G1035" t="s">
        <v>649</v>
      </c>
      <c r="H1035" t="s">
        <v>650</v>
      </c>
      <c r="I1035" t="s">
        <v>651</v>
      </c>
      <c r="J1035" t="s">
        <v>652</v>
      </c>
      <c r="K1035" t="s">
        <v>48</v>
      </c>
      <c r="L1035">
        <v>2016</v>
      </c>
      <c r="M1035" t="s">
        <v>56</v>
      </c>
      <c r="N1035" t="s">
        <v>55</v>
      </c>
      <c r="P1035" s="6" t="s">
        <v>1707</v>
      </c>
    </row>
    <row r="1036" spans="1:16" x14ac:dyDescent="0.2">
      <c r="A1036">
        <v>534292868</v>
      </c>
      <c r="B1036" t="s">
        <v>547</v>
      </c>
      <c r="C1036" t="s">
        <v>673</v>
      </c>
      <c r="E1036" s="22">
        <v>0.1525</v>
      </c>
      <c r="F1036" t="s">
        <v>648</v>
      </c>
      <c r="G1036" t="s">
        <v>649</v>
      </c>
      <c r="H1036" t="s">
        <v>650</v>
      </c>
      <c r="I1036" t="s">
        <v>651</v>
      </c>
      <c r="J1036" t="s">
        <v>652</v>
      </c>
      <c r="K1036" t="s">
        <v>48</v>
      </c>
      <c r="L1036">
        <v>2016</v>
      </c>
      <c r="M1036" t="s">
        <v>56</v>
      </c>
      <c r="N1036" t="s">
        <v>55</v>
      </c>
      <c r="P1036" s="6" t="s">
        <v>1708</v>
      </c>
    </row>
    <row r="1037" spans="1:16" x14ac:dyDescent="0.2">
      <c r="A1037">
        <v>816787809</v>
      </c>
      <c r="B1037" t="s">
        <v>547</v>
      </c>
      <c r="C1037" t="s">
        <v>673</v>
      </c>
      <c r="E1037" s="22">
        <v>0.62624999999999997</v>
      </c>
      <c r="F1037" t="s">
        <v>648</v>
      </c>
      <c r="G1037" t="s">
        <v>649</v>
      </c>
      <c r="H1037" t="s">
        <v>650</v>
      </c>
      <c r="I1037" t="s">
        <v>651</v>
      </c>
      <c r="J1037" t="s">
        <v>652</v>
      </c>
      <c r="K1037" t="s">
        <v>48</v>
      </c>
      <c r="L1037">
        <v>2016</v>
      </c>
      <c r="M1037" t="s">
        <v>56</v>
      </c>
      <c r="N1037" t="s">
        <v>55</v>
      </c>
      <c r="P1037" s="6" t="s">
        <v>1709</v>
      </c>
    </row>
    <row r="1038" spans="1:16" x14ac:dyDescent="0.2">
      <c r="A1038">
        <v>220052551</v>
      </c>
      <c r="B1038" t="s">
        <v>547</v>
      </c>
      <c r="C1038" t="s">
        <v>673</v>
      </c>
      <c r="E1038" s="22">
        <v>0.26375000000000004</v>
      </c>
      <c r="F1038" t="s">
        <v>648</v>
      </c>
      <c r="G1038" t="s">
        <v>649</v>
      </c>
      <c r="H1038" t="s">
        <v>650</v>
      </c>
      <c r="I1038" t="s">
        <v>651</v>
      </c>
      <c r="J1038" t="s">
        <v>652</v>
      </c>
      <c r="K1038" t="s">
        <v>48</v>
      </c>
      <c r="L1038">
        <v>2016</v>
      </c>
      <c r="M1038" t="s">
        <v>56</v>
      </c>
      <c r="N1038" t="s">
        <v>55</v>
      </c>
      <c r="P1038" s="6" t="s">
        <v>1710</v>
      </c>
    </row>
    <row r="1039" spans="1:16" x14ac:dyDescent="0.2">
      <c r="A1039">
        <v>858571733</v>
      </c>
      <c r="B1039" t="s">
        <v>547</v>
      </c>
      <c r="C1039" t="s">
        <v>673</v>
      </c>
      <c r="E1039" s="22">
        <v>0.14250000000000002</v>
      </c>
      <c r="F1039" t="s">
        <v>648</v>
      </c>
      <c r="G1039" t="s">
        <v>649</v>
      </c>
      <c r="H1039" t="s">
        <v>650</v>
      </c>
      <c r="I1039" t="s">
        <v>651</v>
      </c>
      <c r="J1039" t="s">
        <v>652</v>
      </c>
      <c r="K1039" t="s">
        <v>48</v>
      </c>
      <c r="L1039">
        <v>2016</v>
      </c>
      <c r="M1039" t="s">
        <v>56</v>
      </c>
      <c r="N1039" t="s">
        <v>55</v>
      </c>
      <c r="P1039" s="6" t="s">
        <v>1711</v>
      </c>
    </row>
    <row r="1040" spans="1:16" x14ac:dyDescent="0.2">
      <c r="A1040">
        <v>363436152</v>
      </c>
      <c r="B1040" t="s">
        <v>547</v>
      </c>
      <c r="C1040" t="s">
        <v>673</v>
      </c>
      <c r="E1040" s="22">
        <v>0.44875000000000009</v>
      </c>
      <c r="F1040" t="s">
        <v>648</v>
      </c>
      <c r="G1040" t="s">
        <v>649</v>
      </c>
      <c r="H1040" t="s">
        <v>650</v>
      </c>
      <c r="I1040" t="s">
        <v>651</v>
      </c>
      <c r="J1040" t="s">
        <v>652</v>
      </c>
      <c r="K1040" t="s">
        <v>48</v>
      </c>
      <c r="L1040">
        <v>2016</v>
      </c>
      <c r="M1040" t="s">
        <v>56</v>
      </c>
      <c r="N1040" t="s">
        <v>55</v>
      </c>
      <c r="P1040" s="6" t="s">
        <v>1712</v>
      </c>
    </row>
    <row r="1041" spans="1:16" x14ac:dyDescent="0.2">
      <c r="A1041">
        <v>393495083</v>
      </c>
      <c r="B1041" t="s">
        <v>547</v>
      </c>
      <c r="C1041" t="s">
        <v>673</v>
      </c>
      <c r="E1041" s="22">
        <v>0.14624999999999999</v>
      </c>
      <c r="F1041" t="s">
        <v>648</v>
      </c>
      <c r="G1041" t="s">
        <v>649</v>
      </c>
      <c r="H1041" t="s">
        <v>650</v>
      </c>
      <c r="I1041" t="s">
        <v>651</v>
      </c>
      <c r="J1041" t="s">
        <v>652</v>
      </c>
      <c r="K1041" t="s">
        <v>48</v>
      </c>
      <c r="L1041">
        <v>2016</v>
      </c>
      <c r="M1041" t="s">
        <v>56</v>
      </c>
      <c r="N1041" t="s">
        <v>55</v>
      </c>
      <c r="P1041" s="6" t="s">
        <v>1713</v>
      </c>
    </row>
    <row r="1042" spans="1:16" x14ac:dyDescent="0.2">
      <c r="A1042">
        <v>769635714</v>
      </c>
      <c r="B1042" t="s">
        <v>547</v>
      </c>
      <c r="C1042" t="s">
        <v>673</v>
      </c>
      <c r="E1042" s="22">
        <v>0.42625000000000002</v>
      </c>
      <c r="F1042" t="s">
        <v>648</v>
      </c>
      <c r="G1042" t="s">
        <v>649</v>
      </c>
      <c r="H1042" t="s">
        <v>650</v>
      </c>
      <c r="I1042" t="s">
        <v>651</v>
      </c>
      <c r="J1042" t="s">
        <v>652</v>
      </c>
      <c r="K1042" t="s">
        <v>48</v>
      </c>
      <c r="L1042">
        <v>2016</v>
      </c>
      <c r="M1042" t="s">
        <v>56</v>
      </c>
      <c r="N1042" t="s">
        <v>55</v>
      </c>
      <c r="P1042" s="6" t="s">
        <v>1714</v>
      </c>
    </row>
    <row r="1043" spans="1:16" x14ac:dyDescent="0.2">
      <c r="A1043">
        <v>373048949</v>
      </c>
      <c r="B1043" t="s">
        <v>547</v>
      </c>
      <c r="C1043" t="s">
        <v>673</v>
      </c>
      <c r="E1043" s="22">
        <v>0.4375</v>
      </c>
      <c r="F1043" t="s">
        <v>648</v>
      </c>
      <c r="G1043" t="s">
        <v>649</v>
      </c>
      <c r="H1043" t="s">
        <v>650</v>
      </c>
      <c r="I1043" t="s">
        <v>651</v>
      </c>
      <c r="J1043" t="s">
        <v>652</v>
      </c>
      <c r="K1043" t="s">
        <v>48</v>
      </c>
      <c r="L1043">
        <v>2016</v>
      </c>
      <c r="M1043" t="s">
        <v>56</v>
      </c>
      <c r="N1043" t="s">
        <v>55</v>
      </c>
      <c r="P1043" s="6" t="s">
        <v>1715</v>
      </c>
    </row>
    <row r="1044" spans="1:16" x14ac:dyDescent="0.2">
      <c r="A1044">
        <v>357061292</v>
      </c>
      <c r="B1044" t="s">
        <v>547</v>
      </c>
      <c r="C1044" t="s">
        <v>673</v>
      </c>
      <c r="E1044" s="22">
        <v>0.54374999999999996</v>
      </c>
      <c r="F1044" t="s">
        <v>648</v>
      </c>
      <c r="G1044" t="s">
        <v>649</v>
      </c>
      <c r="H1044" t="s">
        <v>650</v>
      </c>
      <c r="I1044" t="s">
        <v>651</v>
      </c>
      <c r="J1044" t="s">
        <v>652</v>
      </c>
      <c r="K1044" t="s">
        <v>48</v>
      </c>
      <c r="L1044">
        <v>2016</v>
      </c>
      <c r="M1044" t="s">
        <v>56</v>
      </c>
      <c r="N1044" t="s">
        <v>55</v>
      </c>
      <c r="P1044" s="6" t="s">
        <v>1716</v>
      </c>
    </row>
    <row r="1045" spans="1:16" x14ac:dyDescent="0.2">
      <c r="A1045">
        <v>837310284</v>
      </c>
      <c r="B1045" t="s">
        <v>547</v>
      </c>
      <c r="C1045" t="s">
        <v>673</v>
      </c>
      <c r="E1045" s="22">
        <v>0.34249999999999997</v>
      </c>
      <c r="F1045" t="s">
        <v>648</v>
      </c>
      <c r="G1045" t="s">
        <v>649</v>
      </c>
      <c r="H1045" t="s">
        <v>650</v>
      </c>
      <c r="I1045" t="s">
        <v>651</v>
      </c>
      <c r="J1045" t="s">
        <v>652</v>
      </c>
      <c r="K1045" t="s">
        <v>48</v>
      </c>
      <c r="L1045">
        <v>2016</v>
      </c>
      <c r="M1045" t="s">
        <v>56</v>
      </c>
      <c r="N1045" t="s">
        <v>55</v>
      </c>
      <c r="P1045" s="6" t="s">
        <v>1717</v>
      </c>
    </row>
    <row r="1046" spans="1:16" x14ac:dyDescent="0.2">
      <c r="A1046">
        <v>815854164</v>
      </c>
      <c r="B1046" t="s">
        <v>547</v>
      </c>
      <c r="C1046" t="s">
        <v>673</v>
      </c>
      <c r="E1046" s="22">
        <v>0.36</v>
      </c>
      <c r="F1046" t="s">
        <v>648</v>
      </c>
      <c r="G1046" t="s">
        <v>649</v>
      </c>
      <c r="H1046" t="s">
        <v>650</v>
      </c>
      <c r="I1046" t="s">
        <v>651</v>
      </c>
      <c r="J1046" t="s">
        <v>652</v>
      </c>
      <c r="K1046" t="s">
        <v>48</v>
      </c>
      <c r="L1046">
        <v>2016</v>
      </c>
      <c r="M1046" t="s">
        <v>56</v>
      </c>
      <c r="N1046" t="s">
        <v>55</v>
      </c>
      <c r="P1046" s="6" t="s">
        <v>1718</v>
      </c>
    </row>
    <row r="1047" spans="1:16" x14ac:dyDescent="0.2">
      <c r="A1047">
        <v>315378369</v>
      </c>
      <c r="B1047" t="s">
        <v>547</v>
      </c>
      <c r="C1047" t="s">
        <v>673</v>
      </c>
      <c r="E1047" s="22">
        <v>0.29249999999999998</v>
      </c>
      <c r="F1047" t="s">
        <v>648</v>
      </c>
      <c r="G1047" t="s">
        <v>649</v>
      </c>
      <c r="H1047" t="s">
        <v>650</v>
      </c>
      <c r="I1047" t="s">
        <v>651</v>
      </c>
      <c r="J1047" t="s">
        <v>652</v>
      </c>
      <c r="K1047" t="s">
        <v>48</v>
      </c>
      <c r="L1047">
        <v>2016</v>
      </c>
      <c r="M1047" t="s">
        <v>56</v>
      </c>
      <c r="N1047" t="s">
        <v>55</v>
      </c>
      <c r="P1047" s="6" t="s">
        <v>1719</v>
      </c>
    </row>
    <row r="1048" spans="1:16" x14ac:dyDescent="0.2">
      <c r="A1048">
        <v>564410540</v>
      </c>
      <c r="B1048" t="s">
        <v>547</v>
      </c>
      <c r="C1048" t="s">
        <v>673</v>
      </c>
      <c r="E1048" s="22">
        <v>0.67874999999999996</v>
      </c>
      <c r="F1048" t="s">
        <v>648</v>
      </c>
      <c r="G1048" t="s">
        <v>649</v>
      </c>
      <c r="H1048" t="s">
        <v>650</v>
      </c>
      <c r="I1048" t="s">
        <v>651</v>
      </c>
      <c r="J1048" t="s">
        <v>652</v>
      </c>
      <c r="K1048" t="s">
        <v>48</v>
      </c>
      <c r="L1048">
        <v>2016</v>
      </c>
      <c r="M1048" t="s">
        <v>56</v>
      </c>
      <c r="N1048" t="s">
        <v>55</v>
      </c>
      <c r="P1048" s="6" t="s">
        <v>1720</v>
      </c>
    </row>
    <row r="1049" spans="1:16" x14ac:dyDescent="0.2">
      <c r="A1049">
        <v>126539887</v>
      </c>
      <c r="B1049" t="s">
        <v>547</v>
      </c>
      <c r="C1049" t="s">
        <v>673</v>
      </c>
      <c r="E1049" s="22">
        <v>0.62249999999999994</v>
      </c>
      <c r="F1049" t="s">
        <v>648</v>
      </c>
      <c r="G1049" t="s">
        <v>649</v>
      </c>
      <c r="H1049" t="s">
        <v>650</v>
      </c>
      <c r="I1049" t="s">
        <v>651</v>
      </c>
      <c r="J1049" t="s">
        <v>652</v>
      </c>
      <c r="K1049" t="s">
        <v>48</v>
      </c>
      <c r="L1049">
        <v>2016</v>
      </c>
      <c r="M1049" t="s">
        <v>56</v>
      </c>
      <c r="N1049" t="s">
        <v>55</v>
      </c>
      <c r="P1049" s="6" t="s">
        <v>1721</v>
      </c>
    </row>
    <row r="1050" spans="1:16" x14ac:dyDescent="0.2">
      <c r="A1050">
        <v>563937624</v>
      </c>
      <c r="B1050" t="s">
        <v>547</v>
      </c>
      <c r="C1050" t="s">
        <v>673</v>
      </c>
      <c r="E1050" s="22">
        <v>0.47499999999999998</v>
      </c>
      <c r="F1050" t="s">
        <v>648</v>
      </c>
      <c r="G1050" t="s">
        <v>649</v>
      </c>
      <c r="H1050" t="s">
        <v>650</v>
      </c>
      <c r="I1050" t="s">
        <v>651</v>
      </c>
      <c r="J1050" t="s">
        <v>652</v>
      </c>
      <c r="K1050" t="s">
        <v>48</v>
      </c>
      <c r="L1050">
        <v>2016</v>
      </c>
      <c r="M1050" t="s">
        <v>56</v>
      </c>
      <c r="N1050" t="s">
        <v>55</v>
      </c>
      <c r="P1050" s="6" t="s">
        <v>1722</v>
      </c>
    </row>
    <row r="1051" spans="1:16" x14ac:dyDescent="0.2">
      <c r="A1051">
        <v>684291511</v>
      </c>
      <c r="B1051" t="s">
        <v>547</v>
      </c>
      <c r="C1051" t="s">
        <v>673</v>
      </c>
      <c r="E1051" s="22">
        <v>0.45999999999999996</v>
      </c>
      <c r="F1051" t="s">
        <v>648</v>
      </c>
      <c r="G1051" t="s">
        <v>649</v>
      </c>
      <c r="H1051" t="s">
        <v>650</v>
      </c>
      <c r="I1051" t="s">
        <v>651</v>
      </c>
      <c r="J1051" t="s">
        <v>652</v>
      </c>
      <c r="K1051" t="s">
        <v>48</v>
      </c>
      <c r="L1051">
        <v>2016</v>
      </c>
      <c r="M1051" t="s">
        <v>56</v>
      </c>
      <c r="N1051" t="s">
        <v>55</v>
      </c>
      <c r="P1051" s="6" t="s">
        <v>1723</v>
      </c>
    </row>
    <row r="1052" spans="1:16" x14ac:dyDescent="0.2">
      <c r="P1052" s="6" t="s">
        <v>1724</v>
      </c>
    </row>
    <row r="1053" spans="1:16" x14ac:dyDescent="0.2">
      <c r="P1053" s="6" t="s">
        <v>1725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4" bestFit="1" customWidth="1"/>
    <col min="2" max="2" width="4.5" bestFit="1" customWidth="1"/>
    <col min="3" max="3" width="5" bestFit="1" customWidth="1"/>
    <col min="4" max="4" width="6.5" bestFit="1" customWidth="1"/>
    <col min="5" max="5" width="9" bestFit="1" customWidth="1"/>
    <col min="6" max="6" width="6.5" bestFit="1" customWidth="1"/>
    <col min="7" max="7" width="9" bestFit="1" customWidth="1"/>
    <col min="8" max="8" width="6.5" bestFit="1" customWidth="1"/>
    <col min="9" max="9" width="9" bestFit="1" customWidth="1"/>
    <col min="10" max="10" width="6" bestFit="1" customWidth="1"/>
  </cols>
  <sheetData>
    <row r="1" spans="1:12" x14ac:dyDescent="0.2">
      <c r="A1" t="s">
        <v>524</v>
      </c>
      <c r="C1" t="s">
        <v>77</v>
      </c>
      <c r="K1" t="s">
        <v>78</v>
      </c>
    </row>
    <row r="2" spans="1:12" x14ac:dyDescent="0.2">
      <c r="D2" t="s">
        <v>13</v>
      </c>
      <c r="E2" t="s">
        <v>14</v>
      </c>
      <c r="F2" t="s">
        <v>16</v>
      </c>
      <c r="G2" t="s">
        <v>64</v>
      </c>
      <c r="H2" t="s">
        <v>68</v>
      </c>
      <c r="I2" t="s">
        <v>70</v>
      </c>
      <c r="J2" t="s">
        <v>71</v>
      </c>
      <c r="L2" t="s">
        <v>67</v>
      </c>
    </row>
    <row r="3" spans="1:12" x14ac:dyDescent="0.2">
      <c r="D3">
        <v>5</v>
      </c>
      <c r="E3">
        <v>100</v>
      </c>
      <c r="F3">
        <v>100</v>
      </c>
      <c r="G3">
        <v>40</v>
      </c>
      <c r="H3">
        <v>10</v>
      </c>
      <c r="I3">
        <v>100</v>
      </c>
      <c r="J3">
        <v>50</v>
      </c>
      <c r="L3">
        <v>50</v>
      </c>
    </row>
    <row r="4" spans="1:12" x14ac:dyDescent="0.2">
      <c r="D4">
        <v>1</v>
      </c>
      <c r="E4">
        <v>0.05</v>
      </c>
      <c r="F4">
        <v>0.05</v>
      </c>
      <c r="G4">
        <v>0.125</v>
      </c>
      <c r="H4">
        <v>0.5</v>
      </c>
      <c r="I4">
        <v>0.1</v>
      </c>
      <c r="J4">
        <v>0.2</v>
      </c>
      <c r="L4">
        <v>0.2</v>
      </c>
    </row>
    <row r="5" spans="1:12" x14ac:dyDescent="0.2">
      <c r="A5">
        <v>598829620</v>
      </c>
      <c r="B5" s="22">
        <v>0.34444444444444444</v>
      </c>
      <c r="C5" s="22">
        <v>0.28888888888888886</v>
      </c>
      <c r="D5" s="22">
        <v>3</v>
      </c>
      <c r="E5" s="22">
        <v>15</v>
      </c>
      <c r="F5" s="22">
        <v>55</v>
      </c>
      <c r="G5" s="22">
        <v>8</v>
      </c>
      <c r="H5" s="22">
        <v>0</v>
      </c>
      <c r="I5" s="22">
        <v>15</v>
      </c>
      <c r="J5" s="22">
        <v>20</v>
      </c>
      <c r="K5" s="22">
        <v>0.4</v>
      </c>
      <c r="L5" s="22">
        <v>20</v>
      </c>
    </row>
    <row r="6" spans="1:12" x14ac:dyDescent="0.2">
      <c r="A6">
        <v>684014860</v>
      </c>
      <c r="B6" s="22">
        <v>0.52666666666666673</v>
      </c>
      <c r="C6" s="22">
        <v>0.4933333333333334</v>
      </c>
      <c r="D6" s="22">
        <v>4</v>
      </c>
      <c r="E6" s="22">
        <v>56</v>
      </c>
      <c r="F6" s="22">
        <v>9</v>
      </c>
      <c r="G6" s="22">
        <v>22</v>
      </c>
      <c r="H6" s="22">
        <v>2</v>
      </c>
      <c r="I6" s="22">
        <v>56</v>
      </c>
      <c r="J6" s="22">
        <v>28</v>
      </c>
      <c r="K6" s="22">
        <v>0.56000000000000005</v>
      </c>
      <c r="L6" s="22">
        <v>28</v>
      </c>
    </row>
    <row r="7" spans="1:12" x14ac:dyDescent="0.2">
      <c r="A7">
        <v>843228181</v>
      </c>
      <c r="B7" s="22">
        <v>0.47861111111111115</v>
      </c>
      <c r="C7" s="22">
        <v>0.53722222222222227</v>
      </c>
      <c r="D7" s="22">
        <v>5</v>
      </c>
      <c r="E7" s="22">
        <v>61</v>
      </c>
      <c r="F7" s="22">
        <v>19</v>
      </c>
      <c r="G7" s="22">
        <v>19</v>
      </c>
      <c r="H7" s="22">
        <v>5</v>
      </c>
      <c r="I7" s="22">
        <v>61</v>
      </c>
      <c r="J7" s="22">
        <v>21</v>
      </c>
      <c r="K7" s="22">
        <v>0.42000000000000004</v>
      </c>
      <c r="L7" s="22">
        <v>21</v>
      </c>
    </row>
    <row r="8" spans="1:12" x14ac:dyDescent="0.2">
      <c r="A8">
        <v>820549378</v>
      </c>
      <c r="B8" s="22">
        <v>0.36027777777777781</v>
      </c>
      <c r="C8" s="22">
        <v>0.46055555555555561</v>
      </c>
      <c r="D8" s="22">
        <v>4</v>
      </c>
      <c r="E8" s="22">
        <v>32</v>
      </c>
      <c r="F8" s="22">
        <v>79</v>
      </c>
      <c r="G8" s="22">
        <v>31</v>
      </c>
      <c r="H8" s="22">
        <v>3</v>
      </c>
      <c r="I8" s="22">
        <v>32</v>
      </c>
      <c r="J8" s="22">
        <v>13</v>
      </c>
      <c r="K8" s="22">
        <v>0.26</v>
      </c>
      <c r="L8" s="22">
        <v>13</v>
      </c>
    </row>
    <row r="9" spans="1:12" x14ac:dyDescent="0.2">
      <c r="A9">
        <v>533572169</v>
      </c>
      <c r="B9" s="22">
        <v>0.21083333333333329</v>
      </c>
      <c r="C9" s="22">
        <v>0.3816666666666666</v>
      </c>
      <c r="D9" s="22">
        <v>0</v>
      </c>
      <c r="E9" s="22">
        <v>30</v>
      </c>
      <c r="F9" s="22">
        <v>88</v>
      </c>
      <c r="G9" s="22">
        <v>27</v>
      </c>
      <c r="H9" s="22">
        <v>9</v>
      </c>
      <c r="I9" s="22">
        <v>30</v>
      </c>
      <c r="J9" s="22">
        <v>2</v>
      </c>
      <c r="K9" s="22">
        <v>0.04</v>
      </c>
      <c r="L9" s="22">
        <v>2</v>
      </c>
    </row>
    <row r="10" spans="1:12" x14ac:dyDescent="0.2">
      <c r="A10">
        <v>975325712</v>
      </c>
      <c r="B10" s="22">
        <v>0.38972222222222225</v>
      </c>
      <c r="C10" s="22">
        <v>0.41944444444444445</v>
      </c>
      <c r="D10" s="22">
        <v>2</v>
      </c>
      <c r="E10" s="22">
        <v>40</v>
      </c>
      <c r="F10" s="22">
        <v>63</v>
      </c>
      <c r="G10" s="22">
        <v>1</v>
      </c>
      <c r="H10" s="22">
        <v>8</v>
      </c>
      <c r="I10" s="22">
        <v>40</v>
      </c>
      <c r="J10" s="22">
        <v>18</v>
      </c>
      <c r="K10" s="22">
        <v>0.36</v>
      </c>
      <c r="L10" s="22">
        <v>18</v>
      </c>
    </row>
    <row r="11" spans="1:12" x14ac:dyDescent="0.2">
      <c r="A11">
        <v>310082419</v>
      </c>
      <c r="B11" s="22">
        <v>0.26083333333333336</v>
      </c>
      <c r="C11" s="22">
        <v>0.30166666666666675</v>
      </c>
      <c r="D11" s="22">
        <v>3</v>
      </c>
      <c r="E11" s="22">
        <v>4</v>
      </c>
      <c r="F11" s="22">
        <v>83</v>
      </c>
      <c r="G11" s="22">
        <v>17</v>
      </c>
      <c r="H11" s="22">
        <v>3</v>
      </c>
      <c r="I11" s="22">
        <v>4</v>
      </c>
      <c r="J11" s="22">
        <v>11</v>
      </c>
      <c r="K11" s="22">
        <v>0.22000000000000003</v>
      </c>
      <c r="L11" s="22">
        <v>11</v>
      </c>
    </row>
    <row r="12" spans="1:12" x14ac:dyDescent="0.2">
      <c r="A12">
        <v>242132470</v>
      </c>
      <c r="B12" s="22">
        <v>0.45916666666666672</v>
      </c>
      <c r="C12" s="22">
        <v>0.35833333333333334</v>
      </c>
      <c r="D12" s="22">
        <v>0</v>
      </c>
      <c r="E12" s="22">
        <v>11</v>
      </c>
      <c r="F12" s="22">
        <v>55</v>
      </c>
      <c r="G12" s="22">
        <v>9</v>
      </c>
      <c r="H12" s="22">
        <v>10</v>
      </c>
      <c r="I12" s="22">
        <v>11</v>
      </c>
      <c r="J12" s="22">
        <v>28</v>
      </c>
      <c r="K12" s="22">
        <v>0.56000000000000005</v>
      </c>
      <c r="L12" s="22">
        <v>28</v>
      </c>
    </row>
    <row r="13" spans="1:12" x14ac:dyDescent="0.2">
      <c r="A13">
        <v>208248363</v>
      </c>
      <c r="B13" s="22">
        <v>0.47138888888888891</v>
      </c>
      <c r="C13" s="22">
        <v>0.5427777777777778</v>
      </c>
      <c r="D13" s="22">
        <v>4</v>
      </c>
      <c r="E13" s="22">
        <v>51</v>
      </c>
      <c r="F13" s="22">
        <v>58</v>
      </c>
      <c r="G13" s="22">
        <v>19</v>
      </c>
      <c r="H13" s="22">
        <v>7</v>
      </c>
      <c r="I13" s="22">
        <v>51</v>
      </c>
      <c r="J13" s="22">
        <v>20</v>
      </c>
      <c r="K13" s="22">
        <v>0.4</v>
      </c>
      <c r="L13" s="22">
        <v>20</v>
      </c>
    </row>
    <row r="14" spans="1:12" x14ac:dyDescent="0.2">
      <c r="A14">
        <v>277055951</v>
      </c>
      <c r="B14" s="22">
        <v>0.18555555555555558</v>
      </c>
      <c r="C14" s="22">
        <v>0.37111111111111117</v>
      </c>
      <c r="D14" s="22">
        <v>2</v>
      </c>
      <c r="E14" s="22">
        <v>26</v>
      </c>
      <c r="F14" s="22">
        <v>96</v>
      </c>
      <c r="G14" s="22">
        <v>24</v>
      </c>
      <c r="H14" s="22">
        <v>6</v>
      </c>
      <c r="I14" s="22">
        <v>26</v>
      </c>
      <c r="J14" s="22">
        <v>0</v>
      </c>
      <c r="K14" s="22">
        <v>0</v>
      </c>
      <c r="L14" s="22">
        <v>0</v>
      </c>
    </row>
    <row r="15" spans="1:12" x14ac:dyDescent="0.2">
      <c r="A15">
        <v>902907559</v>
      </c>
      <c r="B15" s="22">
        <v>0.32222222222222219</v>
      </c>
      <c r="C15" s="22">
        <v>0.52444444444444438</v>
      </c>
      <c r="D15" s="22">
        <v>5</v>
      </c>
      <c r="E15" s="22">
        <v>86</v>
      </c>
      <c r="F15" s="22">
        <v>30</v>
      </c>
      <c r="G15" s="22">
        <v>4</v>
      </c>
      <c r="H15" s="22">
        <v>5</v>
      </c>
      <c r="I15" s="22">
        <v>86</v>
      </c>
      <c r="J15" s="22">
        <v>6</v>
      </c>
      <c r="K15" s="22">
        <v>0.12000000000000002</v>
      </c>
      <c r="L15" s="22">
        <v>6</v>
      </c>
    </row>
    <row r="16" spans="1:12" x14ac:dyDescent="0.2">
      <c r="A16">
        <v>528297980</v>
      </c>
      <c r="B16" s="22">
        <v>0.61611111111111116</v>
      </c>
      <c r="C16" s="22">
        <v>0.61222222222222222</v>
      </c>
      <c r="D16" s="22">
        <v>3</v>
      </c>
      <c r="E16" s="22">
        <v>58</v>
      </c>
      <c r="F16" s="22">
        <v>78</v>
      </c>
      <c r="G16" s="22">
        <v>14</v>
      </c>
      <c r="H16" s="22">
        <v>8</v>
      </c>
      <c r="I16" s="22">
        <v>58</v>
      </c>
      <c r="J16" s="22">
        <v>31</v>
      </c>
      <c r="K16" s="22">
        <v>0.62</v>
      </c>
      <c r="L16" s="22">
        <v>31</v>
      </c>
    </row>
    <row r="17" spans="1:12" x14ac:dyDescent="0.2">
      <c r="A17">
        <v>444882790</v>
      </c>
      <c r="B17" s="22">
        <v>0.23333333333333336</v>
      </c>
      <c r="C17" s="22">
        <v>0.32666666666666672</v>
      </c>
      <c r="D17" s="22">
        <v>4</v>
      </c>
      <c r="E17" s="22">
        <v>5</v>
      </c>
      <c r="F17" s="22">
        <v>21</v>
      </c>
      <c r="G17" s="22">
        <v>24</v>
      </c>
      <c r="H17" s="22">
        <v>9</v>
      </c>
      <c r="I17" s="22">
        <v>5</v>
      </c>
      <c r="J17" s="22">
        <v>7</v>
      </c>
      <c r="K17" s="22">
        <v>0.14000000000000001</v>
      </c>
      <c r="L17" s="22">
        <v>7</v>
      </c>
    </row>
    <row r="18" spans="1:12" x14ac:dyDescent="0.2">
      <c r="A18">
        <v>112085131</v>
      </c>
      <c r="B18" s="22">
        <v>0.22972222222222224</v>
      </c>
      <c r="C18" s="22">
        <v>0.2794444444444445</v>
      </c>
      <c r="D18" s="22">
        <v>0</v>
      </c>
      <c r="E18" s="22">
        <v>13</v>
      </c>
      <c r="F18" s="22">
        <v>69</v>
      </c>
      <c r="G18" s="22">
        <v>27</v>
      </c>
      <c r="H18" s="22">
        <v>4</v>
      </c>
      <c r="I18" s="22">
        <v>13</v>
      </c>
      <c r="J18" s="22">
        <v>9</v>
      </c>
      <c r="K18" s="22">
        <v>0.18</v>
      </c>
      <c r="L18" s="22">
        <v>9</v>
      </c>
    </row>
    <row r="19" spans="1:12" x14ac:dyDescent="0.2">
      <c r="A19">
        <v>588642518</v>
      </c>
      <c r="B19" s="22">
        <v>0.59555555555555562</v>
      </c>
      <c r="C19" s="22">
        <v>0.51111111111111118</v>
      </c>
      <c r="D19" s="22">
        <v>0</v>
      </c>
      <c r="E19" s="22">
        <v>94</v>
      </c>
      <c r="F19" s="22">
        <v>27</v>
      </c>
      <c r="G19" s="22">
        <v>6</v>
      </c>
      <c r="H19" s="22">
        <v>0</v>
      </c>
      <c r="I19" s="22">
        <v>94</v>
      </c>
      <c r="J19" s="22">
        <v>34</v>
      </c>
      <c r="K19" s="22">
        <v>0.68</v>
      </c>
      <c r="L19" s="22">
        <v>34</v>
      </c>
    </row>
    <row r="20" spans="1:12" x14ac:dyDescent="0.2">
      <c r="A20">
        <v>414520736</v>
      </c>
      <c r="B20" s="22">
        <v>0.34638888888888891</v>
      </c>
      <c r="C20" s="22">
        <v>0.55277777777777781</v>
      </c>
      <c r="D20" s="22">
        <v>1</v>
      </c>
      <c r="E20" s="22">
        <v>81</v>
      </c>
      <c r="F20" s="22">
        <v>64</v>
      </c>
      <c r="G20" s="22">
        <v>17</v>
      </c>
      <c r="H20" s="22">
        <v>10</v>
      </c>
      <c r="I20" s="22">
        <v>81</v>
      </c>
      <c r="J20" s="22">
        <v>7</v>
      </c>
      <c r="K20" s="22">
        <v>0.14000000000000001</v>
      </c>
      <c r="L20" s="22">
        <v>7</v>
      </c>
    </row>
    <row r="21" spans="1:12" x14ac:dyDescent="0.2">
      <c r="A21">
        <v>356558346</v>
      </c>
      <c r="B21" s="22">
        <v>0.21749999999999997</v>
      </c>
      <c r="C21" s="22">
        <v>0.39499999999999996</v>
      </c>
      <c r="D21" s="22">
        <v>3</v>
      </c>
      <c r="E21" s="22">
        <v>43</v>
      </c>
      <c r="F21" s="22">
        <v>46</v>
      </c>
      <c r="G21" s="22">
        <v>9</v>
      </c>
      <c r="H21" s="22">
        <v>9</v>
      </c>
      <c r="I21" s="22">
        <v>43</v>
      </c>
      <c r="J21" s="22">
        <v>2</v>
      </c>
      <c r="K21" s="22">
        <v>0.04</v>
      </c>
      <c r="L21" s="22">
        <v>2</v>
      </c>
    </row>
    <row r="22" spans="1:12" x14ac:dyDescent="0.2">
      <c r="A22">
        <v>970698993</v>
      </c>
      <c r="B22" s="22">
        <v>0.30166666666666664</v>
      </c>
      <c r="C22" s="22">
        <v>0.52333333333333332</v>
      </c>
      <c r="D22" s="22">
        <v>2</v>
      </c>
      <c r="E22" s="22">
        <v>95</v>
      </c>
      <c r="F22" s="22">
        <v>15</v>
      </c>
      <c r="G22" s="22">
        <v>14</v>
      </c>
      <c r="H22" s="22">
        <v>8</v>
      </c>
      <c r="I22" s="22">
        <v>95</v>
      </c>
      <c r="J22" s="22">
        <v>4</v>
      </c>
      <c r="K22" s="22">
        <v>0.08</v>
      </c>
      <c r="L22" s="22">
        <v>4</v>
      </c>
    </row>
    <row r="23" spans="1:12" x14ac:dyDescent="0.2">
      <c r="A23">
        <v>633537205</v>
      </c>
      <c r="B23" s="22">
        <v>0.17944444444444443</v>
      </c>
      <c r="C23" s="22">
        <v>0.25888888888888889</v>
      </c>
      <c r="D23" s="22">
        <v>1</v>
      </c>
      <c r="E23" s="22">
        <v>36</v>
      </c>
      <c r="F23" s="22">
        <v>75</v>
      </c>
      <c r="G23" s="22">
        <v>4</v>
      </c>
      <c r="H23" s="22">
        <v>0</v>
      </c>
      <c r="I23" s="22">
        <v>36</v>
      </c>
      <c r="J23" s="22">
        <v>5</v>
      </c>
      <c r="K23" s="22">
        <v>0.1</v>
      </c>
      <c r="L23" s="22">
        <v>5</v>
      </c>
    </row>
    <row r="24" spans="1:12" x14ac:dyDescent="0.2">
      <c r="A24">
        <v>534292868</v>
      </c>
      <c r="B24" s="22">
        <v>0.25833333333333336</v>
      </c>
      <c r="C24" s="22">
        <v>0.4366666666666667</v>
      </c>
      <c r="D24" s="22">
        <v>2</v>
      </c>
      <c r="E24" s="22">
        <v>90</v>
      </c>
      <c r="F24" s="22">
        <v>12</v>
      </c>
      <c r="G24" s="22">
        <v>2</v>
      </c>
      <c r="H24" s="22">
        <v>5</v>
      </c>
      <c r="I24" s="22">
        <v>90</v>
      </c>
      <c r="J24" s="22">
        <v>4</v>
      </c>
      <c r="K24" s="22">
        <v>0.08</v>
      </c>
      <c r="L24" s="22">
        <v>4</v>
      </c>
    </row>
    <row r="25" spans="1:12" x14ac:dyDescent="0.2">
      <c r="A25">
        <v>816787809</v>
      </c>
      <c r="B25" s="22">
        <v>0.60305555555555557</v>
      </c>
      <c r="C25" s="22">
        <v>0.56611111111111112</v>
      </c>
      <c r="D25" s="22">
        <v>5</v>
      </c>
      <c r="E25" s="22">
        <v>47</v>
      </c>
      <c r="F25" s="22">
        <v>38</v>
      </c>
      <c r="G25" s="22">
        <v>9</v>
      </c>
      <c r="H25" s="22">
        <v>8</v>
      </c>
      <c r="I25" s="22">
        <v>47</v>
      </c>
      <c r="J25" s="22">
        <v>32</v>
      </c>
      <c r="K25" s="22">
        <v>0.64</v>
      </c>
      <c r="L25" s="22">
        <v>32</v>
      </c>
    </row>
    <row r="26" spans="1:12" x14ac:dyDescent="0.2">
      <c r="A26">
        <v>220052551</v>
      </c>
      <c r="B26" s="22">
        <v>0.34083333333333332</v>
      </c>
      <c r="C26" s="22">
        <v>0.54166666666666663</v>
      </c>
      <c r="D26" s="22">
        <v>3</v>
      </c>
      <c r="E26" s="22">
        <v>74</v>
      </c>
      <c r="F26" s="22">
        <v>90</v>
      </c>
      <c r="G26" s="22">
        <v>7</v>
      </c>
      <c r="H26" s="22">
        <v>7</v>
      </c>
      <c r="I26" s="22">
        <v>74</v>
      </c>
      <c r="J26" s="22">
        <v>7</v>
      </c>
      <c r="K26" s="22">
        <v>0.14000000000000001</v>
      </c>
      <c r="L26" s="22">
        <v>7</v>
      </c>
    </row>
    <row r="27" spans="1:12" x14ac:dyDescent="0.2">
      <c r="A27">
        <v>858571733</v>
      </c>
      <c r="B27" s="22">
        <v>0.19333333333333333</v>
      </c>
      <c r="C27" s="22">
        <v>0.22666666666666666</v>
      </c>
      <c r="D27" s="22">
        <v>1</v>
      </c>
      <c r="E27" s="22">
        <v>19</v>
      </c>
      <c r="F27" s="22">
        <v>30</v>
      </c>
      <c r="G27" s="22">
        <v>2</v>
      </c>
      <c r="H27" s="22">
        <v>6</v>
      </c>
      <c r="I27" s="22">
        <v>19</v>
      </c>
      <c r="J27" s="22">
        <v>8</v>
      </c>
      <c r="K27" s="22">
        <v>0.16</v>
      </c>
      <c r="L27" s="22">
        <v>8</v>
      </c>
    </row>
    <row r="28" spans="1:12" x14ac:dyDescent="0.2">
      <c r="A28">
        <v>363436152</v>
      </c>
      <c r="B28" s="22">
        <v>0.43972222222222224</v>
      </c>
      <c r="C28" s="22">
        <v>0.41944444444444445</v>
      </c>
      <c r="D28" s="22">
        <v>2</v>
      </c>
      <c r="E28" s="22">
        <v>21</v>
      </c>
      <c r="F28" s="22">
        <v>65</v>
      </c>
      <c r="G28" s="22">
        <v>19</v>
      </c>
      <c r="H28" s="22">
        <v>7</v>
      </c>
      <c r="I28" s="22">
        <v>21</v>
      </c>
      <c r="J28" s="22">
        <v>23</v>
      </c>
      <c r="K28" s="22">
        <v>0.46000000000000008</v>
      </c>
      <c r="L28" s="22">
        <v>23</v>
      </c>
    </row>
    <row r="29" spans="1:12" x14ac:dyDescent="0.2">
      <c r="A29">
        <v>393495083</v>
      </c>
      <c r="B29" s="22">
        <v>0.32638888888888895</v>
      </c>
      <c r="C29" s="22">
        <v>0.47277777777777785</v>
      </c>
      <c r="D29" s="22">
        <v>1</v>
      </c>
      <c r="E29" s="22">
        <v>91</v>
      </c>
      <c r="F29" s="22">
        <v>34</v>
      </c>
      <c r="G29" s="22">
        <v>1</v>
      </c>
      <c r="H29" s="22">
        <v>6</v>
      </c>
      <c r="I29" s="22">
        <v>91</v>
      </c>
      <c r="J29" s="22">
        <v>9</v>
      </c>
      <c r="K29" s="22">
        <v>0.18</v>
      </c>
      <c r="L29" s="22">
        <v>9</v>
      </c>
    </row>
    <row r="30" spans="1:12" x14ac:dyDescent="0.2">
      <c r="A30">
        <v>769635714</v>
      </c>
      <c r="B30" s="22">
        <v>0.62194444444444452</v>
      </c>
      <c r="C30" s="22">
        <v>0.60388888888888903</v>
      </c>
      <c r="D30" s="22">
        <v>2</v>
      </c>
      <c r="E30" s="22">
        <v>88</v>
      </c>
      <c r="F30" s="22">
        <v>19</v>
      </c>
      <c r="G30" s="22">
        <v>1</v>
      </c>
      <c r="H30" s="22">
        <v>9</v>
      </c>
      <c r="I30" s="22">
        <v>88</v>
      </c>
      <c r="J30" s="22">
        <v>32</v>
      </c>
      <c r="K30" s="22">
        <v>0.64</v>
      </c>
      <c r="L30" s="22">
        <v>32</v>
      </c>
    </row>
    <row r="31" spans="1:12" x14ac:dyDescent="0.2">
      <c r="A31">
        <v>373048949</v>
      </c>
      <c r="B31" s="22">
        <v>0.44888888888888889</v>
      </c>
      <c r="C31" s="22">
        <v>0.59777777777777774</v>
      </c>
      <c r="D31" s="22">
        <v>2</v>
      </c>
      <c r="E31" s="22">
        <v>80</v>
      </c>
      <c r="F31" s="22">
        <v>23</v>
      </c>
      <c r="G31" s="22">
        <v>30</v>
      </c>
      <c r="H31" s="22">
        <v>10</v>
      </c>
      <c r="I31" s="22">
        <v>80</v>
      </c>
      <c r="J31" s="22">
        <v>15</v>
      </c>
      <c r="K31" s="22">
        <v>0.3</v>
      </c>
      <c r="L31" s="22">
        <v>15</v>
      </c>
    </row>
    <row r="32" spans="1:12" x14ac:dyDescent="0.2">
      <c r="A32">
        <v>357061292</v>
      </c>
      <c r="B32" s="22">
        <v>0.46305555555555555</v>
      </c>
      <c r="C32" s="22">
        <v>0.42611111111111111</v>
      </c>
      <c r="D32" s="22">
        <v>5</v>
      </c>
      <c r="E32" s="22">
        <v>10</v>
      </c>
      <c r="F32" s="22">
        <v>86</v>
      </c>
      <c r="G32" s="22">
        <v>7</v>
      </c>
      <c r="H32" s="22">
        <v>5</v>
      </c>
      <c r="I32" s="22">
        <v>10</v>
      </c>
      <c r="J32" s="22">
        <v>25</v>
      </c>
      <c r="K32" s="22">
        <v>0.5</v>
      </c>
      <c r="L32" s="22">
        <v>25</v>
      </c>
    </row>
    <row r="33" spans="1:12" x14ac:dyDescent="0.2">
      <c r="A33">
        <v>837310284</v>
      </c>
      <c r="B33" s="22">
        <v>0.37888888888888894</v>
      </c>
      <c r="C33" s="22">
        <v>0.39777777777777784</v>
      </c>
      <c r="D33" s="22">
        <v>0</v>
      </c>
      <c r="E33" s="22">
        <v>45</v>
      </c>
      <c r="F33" s="22">
        <v>46</v>
      </c>
      <c r="G33" s="22">
        <v>26</v>
      </c>
      <c r="H33" s="22">
        <v>4</v>
      </c>
      <c r="I33" s="22">
        <v>45</v>
      </c>
      <c r="J33" s="22">
        <v>18</v>
      </c>
      <c r="K33" s="22">
        <v>0.36</v>
      </c>
      <c r="L33" s="22">
        <v>18</v>
      </c>
    </row>
    <row r="34" spans="1:12" x14ac:dyDescent="0.2">
      <c r="A34">
        <v>815854164</v>
      </c>
      <c r="B34" s="22">
        <v>0.56722222222222229</v>
      </c>
      <c r="C34" s="22">
        <v>0.51444444444444448</v>
      </c>
      <c r="D34" s="22">
        <v>0</v>
      </c>
      <c r="E34" s="22">
        <v>89</v>
      </c>
      <c r="F34" s="22">
        <v>2</v>
      </c>
      <c r="G34" s="22">
        <v>8</v>
      </c>
      <c r="H34" s="22">
        <v>5</v>
      </c>
      <c r="I34" s="22">
        <v>89</v>
      </c>
      <c r="J34" s="22">
        <v>31</v>
      </c>
      <c r="K34" s="22">
        <v>0.62</v>
      </c>
      <c r="L34" s="22">
        <v>31</v>
      </c>
    </row>
    <row r="35" spans="1:12" x14ac:dyDescent="0.2">
      <c r="A35">
        <v>315378369</v>
      </c>
      <c r="B35" s="22">
        <v>0.29888888888888893</v>
      </c>
      <c r="C35" s="22">
        <v>0.23777777777777781</v>
      </c>
      <c r="D35" s="22">
        <v>2</v>
      </c>
      <c r="E35" s="22">
        <v>12</v>
      </c>
      <c r="F35" s="22">
        <v>31</v>
      </c>
      <c r="G35" s="22">
        <v>2</v>
      </c>
      <c r="H35" s="22">
        <v>3</v>
      </c>
      <c r="I35" s="22">
        <v>12</v>
      </c>
      <c r="J35" s="22">
        <v>18</v>
      </c>
      <c r="K35" s="22">
        <v>0.36</v>
      </c>
      <c r="L35" s="22">
        <v>18</v>
      </c>
    </row>
    <row r="36" spans="1:12" x14ac:dyDescent="0.2">
      <c r="A36">
        <v>564410540</v>
      </c>
      <c r="B36" s="22">
        <v>0.61472222222222228</v>
      </c>
      <c r="C36" s="22">
        <v>0.50944444444444448</v>
      </c>
      <c r="D36" s="22">
        <v>2</v>
      </c>
      <c r="E36" s="22">
        <v>21</v>
      </c>
      <c r="F36" s="22">
        <v>64</v>
      </c>
      <c r="G36" s="22">
        <v>35</v>
      </c>
      <c r="H36" s="22">
        <v>6</v>
      </c>
      <c r="I36" s="22">
        <v>21</v>
      </c>
      <c r="J36" s="22">
        <v>36</v>
      </c>
      <c r="K36" s="22">
        <v>0.72</v>
      </c>
      <c r="L36" s="22">
        <v>36</v>
      </c>
    </row>
    <row r="37" spans="1:12" x14ac:dyDescent="0.2">
      <c r="A37">
        <v>126539887</v>
      </c>
      <c r="B37" s="22">
        <v>0.55111111111111111</v>
      </c>
      <c r="C37" s="22">
        <v>0.48222222222222222</v>
      </c>
      <c r="D37" s="22">
        <v>3</v>
      </c>
      <c r="E37" s="22">
        <v>7</v>
      </c>
      <c r="F37" s="22">
        <v>84</v>
      </c>
      <c r="G37" s="22">
        <v>26</v>
      </c>
      <c r="H37" s="22">
        <v>8</v>
      </c>
      <c r="I37" s="22">
        <v>7</v>
      </c>
      <c r="J37" s="22">
        <v>31</v>
      </c>
      <c r="K37" s="22">
        <v>0.62</v>
      </c>
      <c r="L37" s="22">
        <v>31</v>
      </c>
    </row>
    <row r="38" spans="1:12" x14ac:dyDescent="0.2">
      <c r="A38">
        <v>563937624</v>
      </c>
      <c r="B38" s="22">
        <v>0.3066666666666667</v>
      </c>
      <c r="C38" s="22">
        <v>0.41333333333333339</v>
      </c>
      <c r="D38" s="22">
        <v>4</v>
      </c>
      <c r="E38" s="22">
        <v>5</v>
      </c>
      <c r="F38" s="22">
        <v>97</v>
      </c>
      <c r="G38" s="22">
        <v>28</v>
      </c>
      <c r="H38" s="22">
        <v>7</v>
      </c>
      <c r="I38" s="22">
        <v>5</v>
      </c>
      <c r="J38" s="22">
        <v>10</v>
      </c>
      <c r="K38" s="22">
        <v>0.2</v>
      </c>
      <c r="L38" s="22">
        <v>10</v>
      </c>
    </row>
    <row r="39" spans="1:12" x14ac:dyDescent="0.2">
      <c r="A39">
        <v>684291511</v>
      </c>
      <c r="B39" s="22">
        <v>0.51944444444444449</v>
      </c>
      <c r="C39" s="22">
        <v>0.51888888888888896</v>
      </c>
      <c r="D39" s="22">
        <v>2</v>
      </c>
      <c r="E39" s="22">
        <v>37</v>
      </c>
      <c r="F39" s="22">
        <v>82</v>
      </c>
      <c r="G39" s="22">
        <v>16</v>
      </c>
      <c r="H39" s="22">
        <v>9</v>
      </c>
      <c r="I39" s="22">
        <v>37</v>
      </c>
      <c r="J39" s="22">
        <v>26</v>
      </c>
      <c r="K39" s="22">
        <v>0.52</v>
      </c>
      <c r="L39" s="22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J39"/>
  <sheetViews>
    <sheetView workbookViewId="0">
      <selection sqref="A1:XFD1048576"/>
    </sheetView>
  </sheetViews>
  <sheetFormatPr baseColWidth="10" defaultColWidth="8.83203125" defaultRowHeight="15" x14ac:dyDescent="0.2"/>
  <sheetData>
    <row r="1" spans="1:10" x14ac:dyDescent="0.2">
      <c r="A1" t="s">
        <v>527</v>
      </c>
      <c r="C1" t="s">
        <v>660</v>
      </c>
      <c r="G1" t="s">
        <v>661</v>
      </c>
    </row>
    <row r="2" spans="1:10" x14ac:dyDescent="0.2">
      <c r="D2" t="s">
        <v>65</v>
      </c>
      <c r="E2" t="s">
        <v>66</v>
      </c>
      <c r="F2" t="s">
        <v>67</v>
      </c>
      <c r="H2" t="s">
        <v>65</v>
      </c>
      <c r="I2" t="s">
        <v>66</v>
      </c>
      <c r="J2" t="s">
        <v>67</v>
      </c>
    </row>
    <row r="3" spans="1:10" x14ac:dyDescent="0.2">
      <c r="D3">
        <v>100</v>
      </c>
      <c r="E3">
        <v>100</v>
      </c>
      <c r="F3">
        <v>50</v>
      </c>
      <c r="H3">
        <v>100</v>
      </c>
      <c r="I3">
        <v>100</v>
      </c>
      <c r="J3">
        <v>50</v>
      </c>
    </row>
    <row r="4" spans="1:10" x14ac:dyDescent="0.2">
      <c r="D4">
        <v>0.1</v>
      </c>
      <c r="E4">
        <v>0.1</v>
      </c>
      <c r="F4">
        <v>0.2</v>
      </c>
      <c r="H4">
        <v>0.1</v>
      </c>
      <c r="I4">
        <v>0.1</v>
      </c>
      <c r="J4">
        <v>0.2</v>
      </c>
    </row>
    <row r="5" spans="1:10" x14ac:dyDescent="0.2">
      <c r="A5">
        <v>598829620</v>
      </c>
      <c r="B5" s="22">
        <v>0.23333333333333334</v>
      </c>
      <c r="C5" s="22">
        <v>0.23333333333333334</v>
      </c>
      <c r="D5" s="22">
        <v>15</v>
      </c>
      <c r="E5" s="22">
        <v>15</v>
      </c>
      <c r="F5" s="22">
        <v>20</v>
      </c>
      <c r="G5" s="22">
        <v>0.23333333333333334</v>
      </c>
      <c r="H5" s="22">
        <v>15</v>
      </c>
      <c r="I5" s="22">
        <v>15</v>
      </c>
      <c r="J5" s="22">
        <v>20</v>
      </c>
    </row>
    <row r="6" spans="1:10" x14ac:dyDescent="0.2">
      <c r="A6">
        <v>684014860</v>
      </c>
      <c r="B6" s="22">
        <v>0.56000000000000005</v>
      </c>
      <c r="C6" s="22">
        <v>0.56000000000000005</v>
      </c>
      <c r="D6" s="22">
        <v>56</v>
      </c>
      <c r="E6" s="22">
        <v>56</v>
      </c>
      <c r="F6" s="22">
        <v>28</v>
      </c>
      <c r="G6" s="22">
        <v>0.56000000000000005</v>
      </c>
      <c r="H6" s="22">
        <v>56</v>
      </c>
      <c r="I6" s="22">
        <v>56</v>
      </c>
      <c r="J6" s="22">
        <v>28</v>
      </c>
    </row>
    <row r="7" spans="1:10" x14ac:dyDescent="0.2">
      <c r="A7">
        <v>843228181</v>
      </c>
      <c r="B7" s="22">
        <v>0.54666666666666675</v>
      </c>
      <c r="C7" s="22">
        <v>0.54666666666666675</v>
      </c>
      <c r="D7" s="22">
        <v>61</v>
      </c>
      <c r="E7" s="22">
        <v>61</v>
      </c>
      <c r="F7" s="22">
        <v>21</v>
      </c>
      <c r="G7" s="22">
        <v>0.54666666666666675</v>
      </c>
      <c r="H7" s="22">
        <v>61</v>
      </c>
      <c r="I7" s="22">
        <v>61</v>
      </c>
      <c r="J7" s="22">
        <v>21</v>
      </c>
    </row>
    <row r="8" spans="1:10" x14ac:dyDescent="0.2">
      <c r="A8">
        <v>820549378</v>
      </c>
      <c r="B8" s="22">
        <v>0.3</v>
      </c>
      <c r="C8" s="22">
        <v>0.3</v>
      </c>
      <c r="D8" s="22">
        <v>32</v>
      </c>
      <c r="E8" s="22">
        <v>32</v>
      </c>
      <c r="F8" s="22">
        <v>13</v>
      </c>
      <c r="G8" s="22">
        <v>0.3</v>
      </c>
      <c r="H8" s="22">
        <v>32</v>
      </c>
      <c r="I8" s="22">
        <v>32</v>
      </c>
      <c r="J8" s="22">
        <v>13</v>
      </c>
    </row>
    <row r="9" spans="1:10" x14ac:dyDescent="0.2">
      <c r="A9">
        <v>533572169</v>
      </c>
      <c r="B9" s="22">
        <v>0.21333333333333335</v>
      </c>
      <c r="C9" s="22">
        <v>0.21333333333333335</v>
      </c>
      <c r="D9" s="22">
        <v>30</v>
      </c>
      <c r="E9" s="22">
        <v>30</v>
      </c>
      <c r="F9" s="22">
        <v>2</v>
      </c>
      <c r="G9" s="22">
        <v>0.21333333333333335</v>
      </c>
      <c r="H9" s="22">
        <v>30</v>
      </c>
      <c r="I9" s="22">
        <v>30</v>
      </c>
      <c r="J9" s="22">
        <v>2</v>
      </c>
    </row>
    <row r="10" spans="1:10" x14ac:dyDescent="0.2">
      <c r="A10">
        <v>975325712</v>
      </c>
      <c r="B10" s="22">
        <v>0.38666666666666666</v>
      </c>
      <c r="C10" s="22">
        <v>0.38666666666666666</v>
      </c>
      <c r="D10" s="22">
        <v>40</v>
      </c>
      <c r="E10" s="22">
        <v>40</v>
      </c>
      <c r="F10" s="22">
        <v>18</v>
      </c>
      <c r="G10" s="22">
        <v>0.38666666666666666</v>
      </c>
      <c r="H10" s="22">
        <v>40</v>
      </c>
      <c r="I10" s="22">
        <v>40</v>
      </c>
      <c r="J10" s="22">
        <v>18</v>
      </c>
    </row>
    <row r="11" spans="1:10" x14ac:dyDescent="0.2">
      <c r="A11">
        <v>310082419</v>
      </c>
      <c r="B11" s="22">
        <v>0.1</v>
      </c>
      <c r="C11" s="22">
        <v>0.1</v>
      </c>
      <c r="D11" s="22">
        <v>4</v>
      </c>
      <c r="E11" s="22">
        <v>4</v>
      </c>
      <c r="F11" s="22">
        <v>11</v>
      </c>
      <c r="G11" s="22">
        <v>0.1</v>
      </c>
      <c r="H11" s="22">
        <v>4</v>
      </c>
      <c r="I11" s="22">
        <v>4</v>
      </c>
      <c r="J11" s="22">
        <v>11</v>
      </c>
    </row>
    <row r="12" spans="1:10" x14ac:dyDescent="0.2">
      <c r="A12">
        <v>242132470</v>
      </c>
      <c r="B12" s="22">
        <v>0.26</v>
      </c>
      <c r="C12" s="22">
        <v>0.26</v>
      </c>
      <c r="D12" s="22">
        <v>11</v>
      </c>
      <c r="E12" s="22">
        <v>11</v>
      </c>
      <c r="F12" s="22">
        <v>28</v>
      </c>
      <c r="G12" s="22">
        <v>0.26</v>
      </c>
      <c r="H12" s="22">
        <v>11</v>
      </c>
      <c r="I12" s="22">
        <v>11</v>
      </c>
      <c r="J12" s="22">
        <v>28</v>
      </c>
    </row>
    <row r="13" spans="1:10" x14ac:dyDescent="0.2">
      <c r="A13">
        <v>208248363</v>
      </c>
      <c r="B13" s="22">
        <v>0.47333333333333338</v>
      </c>
      <c r="C13" s="22">
        <v>0.47333333333333338</v>
      </c>
      <c r="D13" s="22">
        <v>51</v>
      </c>
      <c r="E13" s="22">
        <v>51</v>
      </c>
      <c r="F13" s="22">
        <v>20</v>
      </c>
      <c r="G13" s="22">
        <v>0.47333333333333338</v>
      </c>
      <c r="H13" s="22">
        <v>51</v>
      </c>
      <c r="I13" s="22">
        <v>51</v>
      </c>
      <c r="J13" s="22">
        <v>20</v>
      </c>
    </row>
    <row r="14" spans="1:10" x14ac:dyDescent="0.2">
      <c r="A14">
        <v>277055951</v>
      </c>
      <c r="B14" s="22">
        <v>0.17333333333333334</v>
      </c>
      <c r="C14" s="22">
        <v>0.17333333333333334</v>
      </c>
      <c r="D14" s="22">
        <v>26</v>
      </c>
      <c r="E14" s="22">
        <v>26</v>
      </c>
      <c r="F14" s="22">
        <v>0</v>
      </c>
      <c r="G14" s="22">
        <v>0.17333333333333334</v>
      </c>
      <c r="H14" s="22">
        <v>26</v>
      </c>
      <c r="I14" s="22">
        <v>26</v>
      </c>
      <c r="J14" s="22">
        <v>0</v>
      </c>
    </row>
    <row r="15" spans="1:10" x14ac:dyDescent="0.2">
      <c r="A15">
        <v>902907559</v>
      </c>
      <c r="B15" s="22">
        <v>0.61333333333333329</v>
      </c>
      <c r="C15" s="22">
        <v>0.61333333333333329</v>
      </c>
      <c r="D15" s="22">
        <v>86</v>
      </c>
      <c r="E15" s="22">
        <v>86</v>
      </c>
      <c r="F15" s="22">
        <v>6</v>
      </c>
      <c r="G15" s="22">
        <v>0.61333333333333329</v>
      </c>
      <c r="H15" s="22">
        <v>86</v>
      </c>
      <c r="I15" s="22">
        <v>86</v>
      </c>
      <c r="J15" s="22">
        <v>6</v>
      </c>
    </row>
    <row r="16" spans="1:10" x14ac:dyDescent="0.2">
      <c r="A16">
        <v>528297980</v>
      </c>
      <c r="B16" s="22">
        <v>0.59333333333333338</v>
      </c>
      <c r="C16" s="22">
        <v>0.59333333333333338</v>
      </c>
      <c r="D16" s="22">
        <v>58</v>
      </c>
      <c r="E16" s="22">
        <v>58</v>
      </c>
      <c r="F16" s="22">
        <v>31</v>
      </c>
      <c r="G16" s="22">
        <v>0.59333333333333338</v>
      </c>
      <c r="H16" s="22">
        <v>58</v>
      </c>
      <c r="I16" s="22">
        <v>58</v>
      </c>
      <c r="J16" s="22">
        <v>31</v>
      </c>
    </row>
    <row r="17" spans="1:10" x14ac:dyDescent="0.2">
      <c r="A17">
        <v>444882790</v>
      </c>
      <c r="B17" s="22">
        <v>8.0000000000000016E-2</v>
      </c>
      <c r="C17" s="22">
        <v>8.0000000000000016E-2</v>
      </c>
      <c r="D17" s="22">
        <v>5</v>
      </c>
      <c r="E17" s="22">
        <v>5</v>
      </c>
      <c r="F17" s="22">
        <v>7</v>
      </c>
      <c r="G17" s="22">
        <v>8.0000000000000016E-2</v>
      </c>
      <c r="H17" s="22">
        <v>5</v>
      </c>
      <c r="I17" s="22">
        <v>5</v>
      </c>
      <c r="J17" s="22">
        <v>7</v>
      </c>
    </row>
    <row r="18" spans="1:10" x14ac:dyDescent="0.2">
      <c r="A18">
        <v>112085131</v>
      </c>
      <c r="B18" s="22">
        <v>0.14666666666666667</v>
      </c>
      <c r="C18" s="22">
        <v>0.14666666666666667</v>
      </c>
      <c r="D18" s="22">
        <v>13</v>
      </c>
      <c r="E18" s="22">
        <v>13</v>
      </c>
      <c r="F18" s="22">
        <v>9</v>
      </c>
      <c r="G18" s="22">
        <v>0.14666666666666667</v>
      </c>
      <c r="H18" s="22">
        <v>13</v>
      </c>
      <c r="I18" s="22">
        <v>13</v>
      </c>
      <c r="J18" s="22">
        <v>9</v>
      </c>
    </row>
    <row r="19" spans="1:10" x14ac:dyDescent="0.2">
      <c r="A19">
        <v>588642518</v>
      </c>
      <c r="B19" s="22">
        <v>0.85333333333333339</v>
      </c>
      <c r="C19" s="22">
        <v>0.85333333333333339</v>
      </c>
      <c r="D19" s="22">
        <v>94</v>
      </c>
      <c r="E19" s="22">
        <v>94</v>
      </c>
      <c r="F19" s="22">
        <v>34</v>
      </c>
      <c r="G19" s="22">
        <v>0.85333333333333339</v>
      </c>
      <c r="H19" s="22">
        <v>94</v>
      </c>
      <c r="I19" s="22">
        <v>94</v>
      </c>
      <c r="J19" s="22">
        <v>34</v>
      </c>
    </row>
    <row r="20" spans="1:10" x14ac:dyDescent="0.2">
      <c r="A20">
        <v>414520736</v>
      </c>
      <c r="B20" s="22">
        <v>0.58666666666666656</v>
      </c>
      <c r="C20" s="22">
        <v>0.58666666666666656</v>
      </c>
      <c r="D20" s="22">
        <v>81</v>
      </c>
      <c r="E20" s="22">
        <v>81</v>
      </c>
      <c r="F20" s="22">
        <v>7</v>
      </c>
      <c r="G20" s="22">
        <v>0.58666666666666656</v>
      </c>
      <c r="H20" s="22">
        <v>81</v>
      </c>
      <c r="I20" s="22">
        <v>81</v>
      </c>
      <c r="J20" s="22">
        <v>7</v>
      </c>
    </row>
    <row r="21" spans="1:10" x14ac:dyDescent="0.2">
      <c r="A21">
        <v>356558346</v>
      </c>
      <c r="B21" s="22">
        <v>0.3</v>
      </c>
      <c r="C21" s="22">
        <v>0.3</v>
      </c>
      <c r="D21" s="22">
        <v>43</v>
      </c>
      <c r="E21" s="22">
        <v>43</v>
      </c>
      <c r="F21" s="22">
        <v>2</v>
      </c>
      <c r="G21" s="22">
        <v>0.3</v>
      </c>
      <c r="H21" s="22">
        <v>43</v>
      </c>
      <c r="I21" s="22">
        <v>43</v>
      </c>
      <c r="J21" s="22">
        <v>2</v>
      </c>
    </row>
    <row r="22" spans="1:10" x14ac:dyDescent="0.2">
      <c r="A22">
        <v>970698993</v>
      </c>
      <c r="B22" s="22">
        <v>0.66</v>
      </c>
      <c r="C22" s="22">
        <v>0.66</v>
      </c>
      <c r="D22" s="22">
        <v>95</v>
      </c>
      <c r="E22" s="22">
        <v>95</v>
      </c>
      <c r="F22" s="22">
        <v>4</v>
      </c>
      <c r="G22" s="22">
        <v>0.66</v>
      </c>
      <c r="H22" s="22">
        <v>95</v>
      </c>
      <c r="I22" s="22">
        <v>95</v>
      </c>
      <c r="J22" s="22">
        <v>4</v>
      </c>
    </row>
    <row r="23" spans="1:10" x14ac:dyDescent="0.2">
      <c r="A23">
        <v>633537205</v>
      </c>
      <c r="B23" s="22">
        <v>0.27333333333333332</v>
      </c>
      <c r="C23" s="22">
        <v>0.27333333333333332</v>
      </c>
      <c r="D23" s="22">
        <v>36</v>
      </c>
      <c r="E23" s="22">
        <v>36</v>
      </c>
      <c r="F23" s="22">
        <v>5</v>
      </c>
      <c r="G23" s="22">
        <v>0.27333333333333332</v>
      </c>
      <c r="H23" s="22">
        <v>36</v>
      </c>
      <c r="I23" s="22">
        <v>36</v>
      </c>
      <c r="J23" s="22">
        <v>5</v>
      </c>
    </row>
    <row r="24" spans="1:10" x14ac:dyDescent="0.2">
      <c r="A24">
        <v>534292868</v>
      </c>
      <c r="B24" s="22">
        <v>0.62666666666666671</v>
      </c>
      <c r="C24" s="22">
        <v>0.62666666666666671</v>
      </c>
      <c r="D24" s="22">
        <v>90</v>
      </c>
      <c r="E24" s="22">
        <v>90</v>
      </c>
      <c r="F24" s="22">
        <v>4</v>
      </c>
      <c r="G24" s="22">
        <v>0.62666666666666671</v>
      </c>
      <c r="H24" s="22">
        <v>90</v>
      </c>
      <c r="I24" s="22">
        <v>90</v>
      </c>
      <c r="J24" s="22">
        <v>4</v>
      </c>
    </row>
    <row r="25" spans="1:10" x14ac:dyDescent="0.2">
      <c r="A25">
        <v>816787809</v>
      </c>
      <c r="B25" s="22">
        <v>0.52666666666666673</v>
      </c>
      <c r="C25" s="22">
        <v>0.52666666666666673</v>
      </c>
      <c r="D25" s="22">
        <v>47</v>
      </c>
      <c r="E25" s="22">
        <v>47</v>
      </c>
      <c r="F25" s="22">
        <v>32</v>
      </c>
      <c r="G25" s="22">
        <v>0.52666666666666673</v>
      </c>
      <c r="H25" s="22">
        <v>47</v>
      </c>
      <c r="I25" s="22">
        <v>47</v>
      </c>
      <c r="J25" s="22">
        <v>32</v>
      </c>
    </row>
    <row r="26" spans="1:10" x14ac:dyDescent="0.2">
      <c r="A26">
        <v>220052551</v>
      </c>
      <c r="B26" s="22">
        <v>0.53999999999999992</v>
      </c>
      <c r="C26" s="22">
        <v>0.53999999999999992</v>
      </c>
      <c r="D26" s="22">
        <v>74</v>
      </c>
      <c r="E26" s="22">
        <v>74</v>
      </c>
      <c r="F26" s="22">
        <v>7</v>
      </c>
      <c r="G26" s="22">
        <v>0.53999999999999992</v>
      </c>
      <c r="H26" s="22">
        <v>74</v>
      </c>
      <c r="I26" s="22">
        <v>74</v>
      </c>
      <c r="J26" s="22">
        <v>7</v>
      </c>
    </row>
    <row r="27" spans="1:10" x14ac:dyDescent="0.2">
      <c r="A27">
        <v>858571733</v>
      </c>
      <c r="B27" s="22">
        <v>0.18000000000000002</v>
      </c>
      <c r="C27" s="22">
        <v>0.18000000000000002</v>
      </c>
      <c r="D27" s="22">
        <v>19</v>
      </c>
      <c r="E27" s="22">
        <v>19</v>
      </c>
      <c r="F27" s="22">
        <v>8</v>
      </c>
      <c r="G27" s="22">
        <v>0.18000000000000002</v>
      </c>
      <c r="H27" s="22">
        <v>19</v>
      </c>
      <c r="I27" s="22">
        <v>19</v>
      </c>
      <c r="J27" s="22">
        <v>8</v>
      </c>
    </row>
    <row r="28" spans="1:10" x14ac:dyDescent="0.2">
      <c r="A28">
        <v>363436152</v>
      </c>
      <c r="B28" s="22">
        <v>0.29333333333333333</v>
      </c>
      <c r="C28" s="22">
        <v>0.29333333333333333</v>
      </c>
      <c r="D28" s="22">
        <v>21</v>
      </c>
      <c r="E28" s="22">
        <v>21</v>
      </c>
      <c r="F28" s="22">
        <v>23</v>
      </c>
      <c r="G28" s="22">
        <v>0.29333333333333333</v>
      </c>
      <c r="H28" s="22">
        <v>21</v>
      </c>
      <c r="I28" s="22">
        <v>21</v>
      </c>
      <c r="J28" s="22">
        <v>23</v>
      </c>
    </row>
    <row r="29" spans="1:10" x14ac:dyDescent="0.2">
      <c r="A29">
        <v>393495083</v>
      </c>
      <c r="B29" s="22">
        <v>0.66666666666666663</v>
      </c>
      <c r="C29" s="22">
        <v>0.66666666666666663</v>
      </c>
      <c r="D29" s="22">
        <v>91</v>
      </c>
      <c r="E29" s="22">
        <v>91</v>
      </c>
      <c r="F29" s="22">
        <v>9</v>
      </c>
      <c r="G29" s="22">
        <v>0.66666666666666663</v>
      </c>
      <c r="H29" s="22">
        <v>91</v>
      </c>
      <c r="I29" s="22">
        <v>91</v>
      </c>
      <c r="J29" s="22">
        <v>9</v>
      </c>
    </row>
    <row r="30" spans="1:10" x14ac:dyDescent="0.2">
      <c r="A30">
        <v>769635714</v>
      </c>
      <c r="B30" s="22">
        <v>0.8</v>
      </c>
      <c r="C30" s="22">
        <v>0.8</v>
      </c>
      <c r="D30" s="22">
        <v>88</v>
      </c>
      <c r="E30" s="22">
        <v>88</v>
      </c>
      <c r="F30" s="22">
        <v>32</v>
      </c>
      <c r="G30" s="22">
        <v>0.8</v>
      </c>
      <c r="H30" s="22">
        <v>88</v>
      </c>
      <c r="I30" s="22">
        <v>88</v>
      </c>
      <c r="J30" s="22">
        <v>32</v>
      </c>
    </row>
    <row r="31" spans="1:10" x14ac:dyDescent="0.2">
      <c r="A31">
        <v>373048949</v>
      </c>
      <c r="B31" s="22">
        <v>0.6333333333333333</v>
      </c>
      <c r="C31" s="22">
        <v>0.6333333333333333</v>
      </c>
      <c r="D31" s="22">
        <v>80</v>
      </c>
      <c r="E31" s="22">
        <v>80</v>
      </c>
      <c r="F31" s="22">
        <v>15</v>
      </c>
      <c r="G31" s="22">
        <v>0.6333333333333333</v>
      </c>
      <c r="H31" s="22">
        <v>80</v>
      </c>
      <c r="I31" s="22">
        <v>80</v>
      </c>
      <c r="J31" s="22">
        <v>15</v>
      </c>
    </row>
    <row r="32" spans="1:10" x14ac:dyDescent="0.2">
      <c r="A32">
        <v>357061292</v>
      </c>
      <c r="B32" s="22">
        <v>0.23333333333333334</v>
      </c>
      <c r="C32" s="22">
        <v>0.23333333333333334</v>
      </c>
      <c r="D32" s="22">
        <v>10</v>
      </c>
      <c r="E32" s="22">
        <v>10</v>
      </c>
      <c r="F32" s="22">
        <v>25</v>
      </c>
      <c r="G32" s="22">
        <v>0.23333333333333334</v>
      </c>
      <c r="H32" s="22">
        <v>10</v>
      </c>
      <c r="I32" s="22">
        <v>10</v>
      </c>
      <c r="J32" s="22">
        <v>25</v>
      </c>
    </row>
    <row r="33" spans="1:10" x14ac:dyDescent="0.2">
      <c r="A33">
        <v>837310284</v>
      </c>
      <c r="B33" s="22">
        <v>0.42</v>
      </c>
      <c r="C33" s="22">
        <v>0.42</v>
      </c>
      <c r="D33" s="22">
        <v>45</v>
      </c>
      <c r="E33" s="22">
        <v>45</v>
      </c>
      <c r="F33" s="22">
        <v>18</v>
      </c>
      <c r="G33" s="22">
        <v>0.42</v>
      </c>
      <c r="H33" s="22">
        <v>45</v>
      </c>
      <c r="I33" s="22">
        <v>45</v>
      </c>
      <c r="J33" s="22">
        <v>18</v>
      </c>
    </row>
    <row r="34" spans="1:10" x14ac:dyDescent="0.2">
      <c r="A34">
        <v>815854164</v>
      </c>
      <c r="B34" s="22">
        <v>0.8</v>
      </c>
      <c r="C34" s="22">
        <v>0.8</v>
      </c>
      <c r="D34" s="22">
        <v>89</v>
      </c>
      <c r="E34" s="22">
        <v>89</v>
      </c>
      <c r="F34" s="22">
        <v>31</v>
      </c>
      <c r="G34" s="22">
        <v>0.8</v>
      </c>
      <c r="H34" s="22">
        <v>89</v>
      </c>
      <c r="I34" s="22">
        <v>89</v>
      </c>
      <c r="J34" s="22">
        <v>31</v>
      </c>
    </row>
    <row r="35" spans="1:10" x14ac:dyDescent="0.2">
      <c r="A35">
        <v>315378369</v>
      </c>
      <c r="B35" s="22">
        <v>0.2</v>
      </c>
      <c r="C35" s="22">
        <v>0.2</v>
      </c>
      <c r="D35" s="22">
        <v>12</v>
      </c>
      <c r="E35" s="22">
        <v>12</v>
      </c>
      <c r="F35" s="22">
        <v>18</v>
      </c>
      <c r="G35" s="22">
        <v>0.2</v>
      </c>
      <c r="H35" s="22">
        <v>12</v>
      </c>
      <c r="I35" s="22">
        <v>12</v>
      </c>
      <c r="J35" s="22">
        <v>18</v>
      </c>
    </row>
    <row r="36" spans="1:10" x14ac:dyDescent="0.2">
      <c r="A36">
        <v>564410540</v>
      </c>
      <c r="B36" s="22">
        <v>0.38</v>
      </c>
      <c r="C36" s="22">
        <v>0.38</v>
      </c>
      <c r="D36" s="22">
        <v>21</v>
      </c>
      <c r="E36" s="22">
        <v>21</v>
      </c>
      <c r="F36" s="22">
        <v>36</v>
      </c>
      <c r="G36" s="22">
        <v>0.38</v>
      </c>
      <c r="H36" s="22">
        <v>21</v>
      </c>
      <c r="I36" s="22">
        <v>21</v>
      </c>
      <c r="J36" s="22">
        <v>36</v>
      </c>
    </row>
    <row r="37" spans="1:10" x14ac:dyDescent="0.2">
      <c r="A37">
        <v>126539887</v>
      </c>
      <c r="B37" s="22">
        <v>0.25333333333333335</v>
      </c>
      <c r="C37" s="22">
        <v>0.25333333333333335</v>
      </c>
      <c r="D37" s="22">
        <v>7</v>
      </c>
      <c r="E37" s="22">
        <v>7</v>
      </c>
      <c r="F37" s="22">
        <v>31</v>
      </c>
      <c r="G37" s="22">
        <v>0.25333333333333335</v>
      </c>
      <c r="H37" s="22">
        <v>7</v>
      </c>
      <c r="I37" s="22">
        <v>7</v>
      </c>
      <c r="J37" s="22">
        <v>31</v>
      </c>
    </row>
    <row r="38" spans="1:10" x14ac:dyDescent="0.2">
      <c r="A38">
        <v>563937624</v>
      </c>
      <c r="B38" s="22">
        <v>0.1</v>
      </c>
      <c r="C38" s="22">
        <v>0.1</v>
      </c>
      <c r="D38" s="22">
        <v>5</v>
      </c>
      <c r="E38" s="22">
        <v>5</v>
      </c>
      <c r="F38" s="22">
        <v>10</v>
      </c>
      <c r="G38" s="22">
        <v>0.1</v>
      </c>
      <c r="H38" s="22">
        <v>5</v>
      </c>
      <c r="I38" s="22">
        <v>5</v>
      </c>
      <c r="J38" s="22">
        <v>10</v>
      </c>
    </row>
    <row r="39" spans="1:10" x14ac:dyDescent="0.2">
      <c r="A39">
        <v>684291511</v>
      </c>
      <c r="B39" s="22">
        <v>0.42000000000000004</v>
      </c>
      <c r="C39" s="22">
        <v>0.42000000000000004</v>
      </c>
      <c r="D39" s="22">
        <v>37</v>
      </c>
      <c r="E39" s="22">
        <v>37</v>
      </c>
      <c r="F39" s="22">
        <v>26</v>
      </c>
      <c r="G39" s="22">
        <v>0.42000000000000004</v>
      </c>
      <c r="H39" s="22">
        <v>37</v>
      </c>
      <c r="I39" s="22">
        <v>37</v>
      </c>
      <c r="J39" s="22">
        <v>26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39"/>
  <sheetViews>
    <sheetView workbookViewId="0">
      <selection sqref="A1:XFD1048576"/>
    </sheetView>
  </sheetViews>
  <sheetFormatPr baseColWidth="10" defaultColWidth="8.83203125" defaultRowHeight="15" x14ac:dyDescent="0.2"/>
  <sheetData>
    <row r="1" spans="1:6" x14ac:dyDescent="0.2">
      <c r="A1" t="s">
        <v>530</v>
      </c>
      <c r="C1" t="s">
        <v>662</v>
      </c>
      <c r="E1" t="s">
        <v>663</v>
      </c>
    </row>
    <row r="2" spans="1:6" x14ac:dyDescent="0.2">
      <c r="D2" t="s">
        <v>67</v>
      </c>
      <c r="F2" t="s">
        <v>67</v>
      </c>
    </row>
    <row r="3" spans="1:6" x14ac:dyDescent="0.2">
      <c r="D3">
        <v>50</v>
      </c>
      <c r="F3">
        <v>50</v>
      </c>
    </row>
    <row r="4" spans="1:6" x14ac:dyDescent="0.2">
      <c r="D4">
        <v>0.2</v>
      </c>
      <c r="F4">
        <v>0.2</v>
      </c>
    </row>
    <row r="5" spans="1:6" x14ac:dyDescent="0.2">
      <c r="A5">
        <v>598829620</v>
      </c>
      <c r="B5" s="22">
        <v>0.4</v>
      </c>
      <c r="C5" s="22">
        <v>0.4</v>
      </c>
      <c r="D5" s="22">
        <v>20</v>
      </c>
      <c r="E5" s="22">
        <v>0.4</v>
      </c>
      <c r="F5" s="22">
        <v>20</v>
      </c>
    </row>
    <row r="6" spans="1:6" x14ac:dyDescent="0.2">
      <c r="A6">
        <v>684014860</v>
      </c>
      <c r="B6" s="22">
        <v>0.56000000000000005</v>
      </c>
      <c r="C6" s="22">
        <v>0.56000000000000005</v>
      </c>
      <c r="D6" s="22">
        <v>28</v>
      </c>
      <c r="E6" s="22">
        <v>0.56000000000000005</v>
      </c>
      <c r="F6" s="22">
        <v>28</v>
      </c>
    </row>
    <row r="7" spans="1:6" x14ac:dyDescent="0.2">
      <c r="A7">
        <v>843228181</v>
      </c>
      <c r="B7" s="22">
        <v>0.42000000000000004</v>
      </c>
      <c r="C7" s="22">
        <v>0.42000000000000004</v>
      </c>
      <c r="D7" s="22">
        <v>21</v>
      </c>
      <c r="E7" s="22">
        <v>0.42000000000000004</v>
      </c>
      <c r="F7" s="22">
        <v>21</v>
      </c>
    </row>
    <row r="8" spans="1:6" x14ac:dyDescent="0.2">
      <c r="A8">
        <v>820549378</v>
      </c>
      <c r="B8" s="22">
        <v>0.26</v>
      </c>
      <c r="C8" s="22">
        <v>0.26</v>
      </c>
      <c r="D8" s="22">
        <v>13</v>
      </c>
      <c r="E8" s="22">
        <v>0.26</v>
      </c>
      <c r="F8" s="22">
        <v>13</v>
      </c>
    </row>
    <row r="9" spans="1:6" x14ac:dyDescent="0.2">
      <c r="A9">
        <v>533572169</v>
      </c>
      <c r="B9" s="22">
        <v>0.04</v>
      </c>
      <c r="C9" s="22">
        <v>0.04</v>
      </c>
      <c r="D9" s="22">
        <v>2</v>
      </c>
      <c r="E9" s="22">
        <v>0.04</v>
      </c>
      <c r="F9" s="22">
        <v>2</v>
      </c>
    </row>
    <row r="10" spans="1:6" x14ac:dyDescent="0.2">
      <c r="A10">
        <v>975325712</v>
      </c>
      <c r="B10" s="22">
        <v>0.36</v>
      </c>
      <c r="C10" s="22">
        <v>0.36</v>
      </c>
      <c r="D10" s="22">
        <v>18</v>
      </c>
      <c r="E10" s="22">
        <v>0.36</v>
      </c>
      <c r="F10" s="22">
        <v>18</v>
      </c>
    </row>
    <row r="11" spans="1:6" x14ac:dyDescent="0.2">
      <c r="A11">
        <v>310082419</v>
      </c>
      <c r="B11" s="22">
        <v>0.22000000000000003</v>
      </c>
      <c r="C11" s="22">
        <v>0.22000000000000003</v>
      </c>
      <c r="D11" s="22">
        <v>11</v>
      </c>
      <c r="E11" s="22">
        <v>0.22000000000000003</v>
      </c>
      <c r="F11" s="22">
        <v>11</v>
      </c>
    </row>
    <row r="12" spans="1:6" x14ac:dyDescent="0.2">
      <c r="A12">
        <v>242132470</v>
      </c>
      <c r="B12" s="22">
        <v>0.56000000000000005</v>
      </c>
      <c r="C12" s="22">
        <v>0.56000000000000005</v>
      </c>
      <c r="D12" s="22">
        <v>28</v>
      </c>
      <c r="E12" s="22">
        <v>0.56000000000000005</v>
      </c>
      <c r="F12" s="22">
        <v>28</v>
      </c>
    </row>
    <row r="13" spans="1:6" x14ac:dyDescent="0.2">
      <c r="A13">
        <v>208248363</v>
      </c>
      <c r="B13" s="22">
        <v>0.4</v>
      </c>
      <c r="C13" s="22">
        <v>0.4</v>
      </c>
      <c r="D13" s="22">
        <v>20</v>
      </c>
      <c r="E13" s="22">
        <v>0.4</v>
      </c>
      <c r="F13" s="22">
        <v>20</v>
      </c>
    </row>
    <row r="14" spans="1:6" x14ac:dyDescent="0.2">
      <c r="A14">
        <v>277055951</v>
      </c>
      <c r="C14" s="22">
        <v>0</v>
      </c>
      <c r="D14" s="22">
        <v>0</v>
      </c>
      <c r="E14" s="22">
        <v>0</v>
      </c>
      <c r="F14" s="22">
        <v>0</v>
      </c>
    </row>
    <row r="15" spans="1:6" x14ac:dyDescent="0.2">
      <c r="A15">
        <v>902907559</v>
      </c>
      <c r="B15" s="22">
        <v>0.12000000000000002</v>
      </c>
      <c r="C15" s="22">
        <v>0.12000000000000002</v>
      </c>
      <c r="D15" s="22">
        <v>6</v>
      </c>
      <c r="E15" s="22">
        <v>0.12000000000000002</v>
      </c>
      <c r="F15" s="22">
        <v>6</v>
      </c>
    </row>
    <row r="16" spans="1:6" x14ac:dyDescent="0.2">
      <c r="A16">
        <v>528297980</v>
      </c>
      <c r="B16" s="22">
        <v>0.62</v>
      </c>
      <c r="C16" s="22">
        <v>0.62</v>
      </c>
      <c r="D16" s="22">
        <v>31</v>
      </c>
      <c r="E16" s="22">
        <v>0.62</v>
      </c>
      <c r="F16" s="22">
        <v>31</v>
      </c>
    </row>
    <row r="17" spans="1:6" x14ac:dyDescent="0.2">
      <c r="A17">
        <v>444882790</v>
      </c>
      <c r="B17" s="22">
        <v>0.14000000000000001</v>
      </c>
      <c r="C17" s="22">
        <v>0.14000000000000001</v>
      </c>
      <c r="D17" s="22">
        <v>7</v>
      </c>
      <c r="E17" s="22">
        <v>0.14000000000000001</v>
      </c>
      <c r="F17" s="22">
        <v>7</v>
      </c>
    </row>
    <row r="18" spans="1:6" x14ac:dyDescent="0.2">
      <c r="A18">
        <v>112085131</v>
      </c>
      <c r="B18" s="22">
        <v>0.18</v>
      </c>
      <c r="C18" s="22">
        <v>0.18</v>
      </c>
      <c r="D18" s="22">
        <v>9</v>
      </c>
      <c r="E18" s="22">
        <v>0.18</v>
      </c>
      <c r="F18" s="22">
        <v>9</v>
      </c>
    </row>
    <row r="19" spans="1:6" x14ac:dyDescent="0.2">
      <c r="A19">
        <v>588642518</v>
      </c>
      <c r="B19" s="22">
        <v>0.68</v>
      </c>
      <c r="C19" s="22">
        <v>0.68</v>
      </c>
      <c r="D19" s="22">
        <v>34</v>
      </c>
      <c r="E19" s="22">
        <v>0.68</v>
      </c>
      <c r="F19" s="22">
        <v>34</v>
      </c>
    </row>
    <row r="20" spans="1:6" x14ac:dyDescent="0.2">
      <c r="A20">
        <v>414520736</v>
      </c>
      <c r="B20" s="22">
        <v>0.14000000000000001</v>
      </c>
      <c r="C20" s="22">
        <v>0.14000000000000001</v>
      </c>
      <c r="D20" s="22">
        <v>7</v>
      </c>
      <c r="E20" s="22">
        <v>0.14000000000000001</v>
      </c>
      <c r="F20" s="22">
        <v>7</v>
      </c>
    </row>
    <row r="21" spans="1:6" x14ac:dyDescent="0.2">
      <c r="A21">
        <v>356558346</v>
      </c>
      <c r="B21" s="22">
        <v>0.04</v>
      </c>
      <c r="C21" s="22">
        <v>0.04</v>
      </c>
      <c r="D21" s="22">
        <v>2</v>
      </c>
      <c r="E21" s="22">
        <v>0.04</v>
      </c>
      <c r="F21" s="22">
        <v>2</v>
      </c>
    </row>
    <row r="22" spans="1:6" x14ac:dyDescent="0.2">
      <c r="A22">
        <v>970698993</v>
      </c>
      <c r="B22" s="22">
        <v>0.08</v>
      </c>
      <c r="C22" s="22">
        <v>0.08</v>
      </c>
      <c r="D22" s="22">
        <v>4</v>
      </c>
      <c r="E22" s="22">
        <v>0.08</v>
      </c>
      <c r="F22" s="22">
        <v>4</v>
      </c>
    </row>
    <row r="23" spans="1:6" x14ac:dyDescent="0.2">
      <c r="A23">
        <v>633537205</v>
      </c>
      <c r="B23" s="22">
        <v>0.1</v>
      </c>
      <c r="C23" s="22">
        <v>0.1</v>
      </c>
      <c r="D23" s="22">
        <v>5</v>
      </c>
      <c r="E23" s="22">
        <v>0.1</v>
      </c>
      <c r="F23" s="22">
        <v>5</v>
      </c>
    </row>
    <row r="24" spans="1:6" x14ac:dyDescent="0.2">
      <c r="A24">
        <v>534292868</v>
      </c>
      <c r="B24" s="22">
        <v>0.08</v>
      </c>
      <c r="C24" s="22">
        <v>0.08</v>
      </c>
      <c r="D24" s="22">
        <v>4</v>
      </c>
      <c r="E24" s="22">
        <v>0.08</v>
      </c>
      <c r="F24" s="22">
        <v>4</v>
      </c>
    </row>
    <row r="25" spans="1:6" x14ac:dyDescent="0.2">
      <c r="A25">
        <v>816787809</v>
      </c>
      <c r="B25" s="22">
        <v>0.64</v>
      </c>
      <c r="C25" s="22">
        <v>0.64</v>
      </c>
      <c r="D25" s="22">
        <v>32</v>
      </c>
      <c r="E25" s="22">
        <v>0.64</v>
      </c>
      <c r="F25" s="22">
        <v>32</v>
      </c>
    </row>
    <row r="26" spans="1:6" x14ac:dyDescent="0.2">
      <c r="A26">
        <v>220052551</v>
      </c>
      <c r="B26" s="22">
        <v>0.14000000000000001</v>
      </c>
      <c r="C26" s="22">
        <v>0.14000000000000001</v>
      </c>
      <c r="D26" s="22">
        <v>7</v>
      </c>
      <c r="E26" s="22">
        <v>0.14000000000000001</v>
      </c>
      <c r="F26" s="22">
        <v>7</v>
      </c>
    </row>
    <row r="27" spans="1:6" x14ac:dyDescent="0.2">
      <c r="A27">
        <v>858571733</v>
      </c>
      <c r="B27" s="22">
        <v>0.16</v>
      </c>
      <c r="C27" s="22">
        <v>0.16</v>
      </c>
      <c r="D27" s="22">
        <v>8</v>
      </c>
      <c r="E27" s="22">
        <v>0.16</v>
      </c>
      <c r="F27" s="22">
        <v>8</v>
      </c>
    </row>
    <row r="28" spans="1:6" x14ac:dyDescent="0.2">
      <c r="A28">
        <v>363436152</v>
      </c>
      <c r="B28" s="22">
        <v>0.46000000000000008</v>
      </c>
      <c r="C28" s="22">
        <v>0.46000000000000008</v>
      </c>
      <c r="D28" s="22">
        <v>23</v>
      </c>
      <c r="E28" s="22">
        <v>0.46000000000000008</v>
      </c>
      <c r="F28" s="22">
        <v>23</v>
      </c>
    </row>
    <row r="29" spans="1:6" x14ac:dyDescent="0.2">
      <c r="A29">
        <v>393495083</v>
      </c>
      <c r="B29" s="22">
        <v>0.18</v>
      </c>
      <c r="C29" s="22">
        <v>0.18</v>
      </c>
      <c r="D29" s="22">
        <v>9</v>
      </c>
      <c r="E29" s="22">
        <v>0.18</v>
      </c>
      <c r="F29" s="22">
        <v>9</v>
      </c>
    </row>
    <row r="30" spans="1:6" x14ac:dyDescent="0.2">
      <c r="A30">
        <v>769635714</v>
      </c>
      <c r="B30" s="22">
        <v>0.64</v>
      </c>
      <c r="C30" s="22">
        <v>0.64</v>
      </c>
      <c r="D30" s="22">
        <v>32</v>
      </c>
      <c r="E30" s="22">
        <v>0.64</v>
      </c>
      <c r="F30" s="22">
        <v>32</v>
      </c>
    </row>
    <row r="31" spans="1:6" x14ac:dyDescent="0.2">
      <c r="A31">
        <v>373048949</v>
      </c>
      <c r="B31" s="22">
        <v>0.3</v>
      </c>
      <c r="C31" s="22">
        <v>0.3</v>
      </c>
      <c r="D31" s="22">
        <v>15</v>
      </c>
      <c r="E31" s="22">
        <v>0.3</v>
      </c>
      <c r="F31" s="22">
        <v>15</v>
      </c>
    </row>
    <row r="32" spans="1:6" x14ac:dyDescent="0.2">
      <c r="A32">
        <v>357061292</v>
      </c>
      <c r="B32" s="22">
        <v>0.5</v>
      </c>
      <c r="C32" s="22">
        <v>0.5</v>
      </c>
      <c r="D32" s="22">
        <v>25</v>
      </c>
      <c r="E32" s="22">
        <v>0.5</v>
      </c>
      <c r="F32" s="22">
        <v>25</v>
      </c>
    </row>
    <row r="33" spans="1:6" x14ac:dyDescent="0.2">
      <c r="A33">
        <v>837310284</v>
      </c>
      <c r="B33" s="22">
        <v>0.36</v>
      </c>
      <c r="C33" s="22">
        <v>0.36</v>
      </c>
      <c r="D33" s="22">
        <v>18</v>
      </c>
      <c r="E33" s="22">
        <v>0.36</v>
      </c>
      <c r="F33" s="22">
        <v>18</v>
      </c>
    </row>
    <row r="34" spans="1:6" x14ac:dyDescent="0.2">
      <c r="A34">
        <v>815854164</v>
      </c>
      <c r="B34" s="22">
        <v>0.62</v>
      </c>
      <c r="C34" s="22">
        <v>0.62</v>
      </c>
      <c r="D34" s="22">
        <v>31</v>
      </c>
      <c r="E34" s="22">
        <v>0.62</v>
      </c>
      <c r="F34" s="22">
        <v>31</v>
      </c>
    </row>
    <row r="35" spans="1:6" x14ac:dyDescent="0.2">
      <c r="A35">
        <v>315378369</v>
      </c>
      <c r="B35" s="22">
        <v>0.36</v>
      </c>
      <c r="C35" s="22">
        <v>0.36</v>
      </c>
      <c r="D35" s="22">
        <v>18</v>
      </c>
      <c r="E35" s="22">
        <v>0.36</v>
      </c>
      <c r="F35" s="22">
        <v>18</v>
      </c>
    </row>
    <row r="36" spans="1:6" x14ac:dyDescent="0.2">
      <c r="A36">
        <v>564410540</v>
      </c>
      <c r="B36" s="22">
        <v>0.72</v>
      </c>
      <c r="C36" s="22">
        <v>0.72</v>
      </c>
      <c r="D36" s="22">
        <v>36</v>
      </c>
      <c r="E36" s="22">
        <v>0.72</v>
      </c>
      <c r="F36" s="22">
        <v>36</v>
      </c>
    </row>
    <row r="37" spans="1:6" x14ac:dyDescent="0.2">
      <c r="A37">
        <v>126539887</v>
      </c>
      <c r="B37" s="22">
        <v>0.62</v>
      </c>
      <c r="C37" s="22">
        <v>0.62</v>
      </c>
      <c r="D37" s="22">
        <v>31</v>
      </c>
      <c r="E37" s="22">
        <v>0.62</v>
      </c>
      <c r="F37" s="22">
        <v>31</v>
      </c>
    </row>
    <row r="38" spans="1:6" x14ac:dyDescent="0.2">
      <c r="A38">
        <v>563937624</v>
      </c>
      <c r="B38" s="22">
        <v>0.2</v>
      </c>
      <c r="C38" s="22">
        <v>0.2</v>
      </c>
      <c r="D38" s="22">
        <v>10</v>
      </c>
      <c r="E38" s="22">
        <v>0.2</v>
      </c>
      <c r="F38" s="22">
        <v>10</v>
      </c>
    </row>
    <row r="39" spans="1:6" x14ac:dyDescent="0.2">
      <c r="A39">
        <v>684291511</v>
      </c>
      <c r="B39" s="22">
        <v>0.52</v>
      </c>
      <c r="C39" s="22">
        <v>0.52</v>
      </c>
      <c r="D39" s="22">
        <v>26</v>
      </c>
      <c r="E39" s="22">
        <v>0.52</v>
      </c>
      <c r="F39" s="22">
        <v>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F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0" bestFit="1" customWidth="1"/>
    <col min="2" max="3" width="4.5" bestFit="1" customWidth="1"/>
    <col min="4" max="4" width="6.6640625" bestFit="1" customWidth="1"/>
    <col min="5" max="5" width="5.5" bestFit="1" customWidth="1"/>
    <col min="6" max="6" width="6.6640625" bestFit="1" customWidth="1"/>
  </cols>
  <sheetData>
    <row r="1" spans="1:6" x14ac:dyDescent="0.2">
      <c r="A1" t="s">
        <v>62</v>
      </c>
      <c r="C1" t="s">
        <v>79</v>
      </c>
    </row>
    <row r="2" spans="1:6" x14ac:dyDescent="0.2">
      <c r="D2" t="s">
        <v>63</v>
      </c>
      <c r="E2" t="s">
        <v>67</v>
      </c>
      <c r="F2" t="s">
        <v>70</v>
      </c>
    </row>
    <row r="3" spans="1:6" x14ac:dyDescent="0.2">
      <c r="D3">
        <v>50</v>
      </c>
      <c r="E3">
        <v>50</v>
      </c>
      <c r="F3">
        <v>100</v>
      </c>
    </row>
    <row r="4" spans="1:6" x14ac:dyDescent="0.2">
      <c r="D4">
        <v>0.1</v>
      </c>
      <c r="E4">
        <v>0.2</v>
      </c>
      <c r="F4">
        <v>0.1</v>
      </c>
    </row>
    <row r="5" spans="1:6" x14ac:dyDescent="0.2">
      <c r="A5">
        <v>598829620</v>
      </c>
      <c r="B5" s="22">
        <v>0.3</v>
      </c>
      <c r="C5" s="22">
        <v>0.3</v>
      </c>
      <c r="D5" s="22">
        <v>20</v>
      </c>
      <c r="E5" s="22">
        <v>20</v>
      </c>
      <c r="F5" s="22">
        <v>15</v>
      </c>
    </row>
    <row r="6" spans="1:6" x14ac:dyDescent="0.2">
      <c r="A6">
        <v>684014860</v>
      </c>
      <c r="B6" s="22">
        <v>0.56000000000000005</v>
      </c>
      <c r="C6" s="22">
        <v>0.56000000000000005</v>
      </c>
      <c r="D6" s="22">
        <v>28</v>
      </c>
      <c r="E6" s="22">
        <v>28</v>
      </c>
      <c r="F6" s="22">
        <v>56</v>
      </c>
    </row>
    <row r="7" spans="1:6" x14ac:dyDescent="0.2">
      <c r="A7">
        <v>843228181</v>
      </c>
      <c r="B7" s="22">
        <v>0.49600000000000011</v>
      </c>
      <c r="C7" s="22">
        <v>0.49600000000000011</v>
      </c>
      <c r="D7" s="22">
        <v>21</v>
      </c>
      <c r="E7" s="22">
        <v>21</v>
      </c>
      <c r="F7" s="22">
        <v>61</v>
      </c>
    </row>
    <row r="8" spans="1:6" x14ac:dyDescent="0.2">
      <c r="A8">
        <v>820549378</v>
      </c>
      <c r="B8" s="22">
        <v>0.28400000000000003</v>
      </c>
      <c r="C8" s="22">
        <v>0.28400000000000003</v>
      </c>
      <c r="D8" s="22">
        <v>13</v>
      </c>
      <c r="E8" s="22">
        <v>13</v>
      </c>
      <c r="F8" s="22">
        <v>32</v>
      </c>
    </row>
    <row r="9" spans="1:6" x14ac:dyDescent="0.2">
      <c r="A9">
        <v>533572169</v>
      </c>
      <c r="B9" s="22">
        <v>0.14400000000000002</v>
      </c>
      <c r="C9" s="22">
        <v>0.14400000000000002</v>
      </c>
      <c r="D9" s="22">
        <v>2</v>
      </c>
      <c r="E9" s="22">
        <v>2</v>
      </c>
      <c r="F9" s="22">
        <v>30</v>
      </c>
    </row>
    <row r="10" spans="1:6" x14ac:dyDescent="0.2">
      <c r="A10">
        <v>975325712</v>
      </c>
      <c r="B10" s="22">
        <v>0.376</v>
      </c>
      <c r="C10" s="22">
        <v>0.376</v>
      </c>
      <c r="D10" s="22">
        <v>18</v>
      </c>
      <c r="E10" s="22">
        <v>18</v>
      </c>
      <c r="F10" s="22">
        <v>40</v>
      </c>
    </row>
    <row r="11" spans="1:6" x14ac:dyDescent="0.2">
      <c r="A11">
        <v>310082419</v>
      </c>
      <c r="B11" s="22">
        <v>0.14800000000000002</v>
      </c>
      <c r="C11" s="22">
        <v>0.14800000000000002</v>
      </c>
      <c r="D11" s="22">
        <v>11</v>
      </c>
      <c r="E11" s="22">
        <v>11</v>
      </c>
      <c r="F11" s="22">
        <v>4</v>
      </c>
    </row>
    <row r="12" spans="1:6" x14ac:dyDescent="0.2">
      <c r="A12">
        <v>242132470</v>
      </c>
      <c r="B12" s="22">
        <v>0.38</v>
      </c>
      <c r="C12" s="22">
        <v>0.38</v>
      </c>
      <c r="D12" s="22">
        <v>28</v>
      </c>
      <c r="E12" s="22">
        <v>28</v>
      </c>
      <c r="F12" s="22">
        <v>11</v>
      </c>
    </row>
    <row r="13" spans="1:6" x14ac:dyDescent="0.2">
      <c r="A13">
        <v>208248363</v>
      </c>
      <c r="B13" s="22">
        <v>0.44400000000000006</v>
      </c>
      <c r="C13" s="22">
        <v>0.44400000000000006</v>
      </c>
      <c r="D13" s="22">
        <v>20</v>
      </c>
      <c r="E13" s="22">
        <v>20</v>
      </c>
      <c r="F13" s="22">
        <v>51</v>
      </c>
    </row>
    <row r="14" spans="1:6" x14ac:dyDescent="0.2">
      <c r="A14">
        <v>277055951</v>
      </c>
      <c r="B14" s="22">
        <v>0.10400000000000001</v>
      </c>
      <c r="C14" s="22">
        <v>0.10400000000000001</v>
      </c>
      <c r="D14" s="22">
        <v>0</v>
      </c>
      <c r="E14" s="22">
        <v>0</v>
      </c>
      <c r="F14" s="22">
        <v>26</v>
      </c>
    </row>
    <row r="15" spans="1:6" x14ac:dyDescent="0.2">
      <c r="A15">
        <v>902907559</v>
      </c>
      <c r="B15" s="22">
        <v>0.41600000000000004</v>
      </c>
      <c r="C15" s="22">
        <v>0.41600000000000004</v>
      </c>
      <c r="D15" s="22">
        <v>6</v>
      </c>
      <c r="E15" s="22">
        <v>6</v>
      </c>
      <c r="F15" s="22">
        <v>86</v>
      </c>
    </row>
    <row r="16" spans="1:6" x14ac:dyDescent="0.2">
      <c r="A16">
        <v>528297980</v>
      </c>
      <c r="B16" s="22">
        <v>0.60400000000000009</v>
      </c>
      <c r="C16" s="22">
        <v>0.60400000000000009</v>
      </c>
      <c r="D16" s="22">
        <v>31</v>
      </c>
      <c r="E16" s="22">
        <v>31</v>
      </c>
      <c r="F16" s="22">
        <v>58</v>
      </c>
    </row>
    <row r="17" spans="1:6" x14ac:dyDescent="0.2">
      <c r="A17">
        <v>444882790</v>
      </c>
      <c r="B17" s="22">
        <v>0.10400000000000001</v>
      </c>
      <c r="C17" s="22">
        <v>0.10400000000000001</v>
      </c>
      <c r="D17" s="22">
        <v>7</v>
      </c>
      <c r="E17" s="22">
        <v>7</v>
      </c>
      <c r="F17" s="22">
        <v>5</v>
      </c>
    </row>
    <row r="18" spans="1:6" x14ac:dyDescent="0.2">
      <c r="A18">
        <v>112085131</v>
      </c>
      <c r="B18" s="22">
        <v>0.16</v>
      </c>
      <c r="C18" s="22">
        <v>0.16</v>
      </c>
      <c r="D18" s="22">
        <v>9</v>
      </c>
      <c r="E18" s="22">
        <v>9</v>
      </c>
      <c r="F18" s="22">
        <v>13</v>
      </c>
    </row>
    <row r="19" spans="1:6" x14ac:dyDescent="0.2">
      <c r="A19">
        <v>588642518</v>
      </c>
      <c r="B19" s="22">
        <v>0.78400000000000003</v>
      </c>
      <c r="C19" s="22">
        <v>0.78400000000000003</v>
      </c>
      <c r="D19" s="22">
        <v>34</v>
      </c>
      <c r="E19" s="22">
        <v>34</v>
      </c>
      <c r="F19" s="22">
        <v>94</v>
      </c>
    </row>
    <row r="20" spans="1:6" x14ac:dyDescent="0.2">
      <c r="A20">
        <v>414520736</v>
      </c>
      <c r="B20" s="22">
        <v>0.40799999999999997</v>
      </c>
      <c r="C20" s="22">
        <v>0.40799999999999997</v>
      </c>
      <c r="D20" s="22">
        <v>7</v>
      </c>
      <c r="E20" s="22">
        <v>7</v>
      </c>
      <c r="F20" s="22">
        <v>81</v>
      </c>
    </row>
    <row r="21" spans="1:6" x14ac:dyDescent="0.2">
      <c r="A21">
        <v>356558346</v>
      </c>
      <c r="B21" s="22">
        <v>0.19600000000000001</v>
      </c>
      <c r="C21" s="22">
        <v>0.19600000000000001</v>
      </c>
      <c r="D21" s="22">
        <v>2</v>
      </c>
      <c r="E21" s="22">
        <v>2</v>
      </c>
      <c r="F21" s="22">
        <v>43</v>
      </c>
    </row>
    <row r="22" spans="1:6" x14ac:dyDescent="0.2">
      <c r="A22">
        <v>970698993</v>
      </c>
      <c r="B22" s="22">
        <v>0.42799999999999999</v>
      </c>
      <c r="C22" s="22">
        <v>0.42799999999999999</v>
      </c>
      <c r="D22" s="22">
        <v>4</v>
      </c>
      <c r="E22" s="22">
        <v>4</v>
      </c>
      <c r="F22" s="22">
        <v>95</v>
      </c>
    </row>
    <row r="23" spans="1:6" x14ac:dyDescent="0.2">
      <c r="A23">
        <v>633537205</v>
      </c>
      <c r="B23" s="22">
        <v>0.20399999999999999</v>
      </c>
      <c r="C23" s="22">
        <v>0.20399999999999999</v>
      </c>
      <c r="D23" s="22">
        <v>5</v>
      </c>
      <c r="E23" s="22">
        <v>5</v>
      </c>
      <c r="F23" s="22">
        <v>36</v>
      </c>
    </row>
    <row r="24" spans="1:6" x14ac:dyDescent="0.2">
      <c r="A24">
        <v>534292868</v>
      </c>
      <c r="B24" s="22">
        <v>0.40799999999999997</v>
      </c>
      <c r="C24" s="22">
        <v>0.40799999999999997</v>
      </c>
      <c r="D24" s="22">
        <v>4</v>
      </c>
      <c r="E24" s="22">
        <v>4</v>
      </c>
      <c r="F24" s="22">
        <v>90</v>
      </c>
    </row>
    <row r="25" spans="1:6" x14ac:dyDescent="0.2">
      <c r="A25">
        <v>816787809</v>
      </c>
      <c r="B25" s="22">
        <v>0.57200000000000006</v>
      </c>
      <c r="C25" s="22">
        <v>0.57200000000000006</v>
      </c>
      <c r="D25" s="22">
        <v>32</v>
      </c>
      <c r="E25" s="22">
        <v>32</v>
      </c>
      <c r="F25" s="22">
        <v>47</v>
      </c>
    </row>
    <row r="26" spans="1:6" x14ac:dyDescent="0.2">
      <c r="A26">
        <v>220052551</v>
      </c>
      <c r="B26" s="22">
        <v>0.38</v>
      </c>
      <c r="C26" s="22">
        <v>0.38</v>
      </c>
      <c r="D26" s="22">
        <v>7</v>
      </c>
      <c r="E26" s="22">
        <v>7</v>
      </c>
      <c r="F26" s="22">
        <v>74</v>
      </c>
    </row>
    <row r="27" spans="1:6" x14ac:dyDescent="0.2">
      <c r="A27">
        <v>858571733</v>
      </c>
      <c r="B27" s="22">
        <v>0.17200000000000004</v>
      </c>
      <c r="C27" s="22">
        <v>0.17200000000000004</v>
      </c>
      <c r="D27" s="22">
        <v>8</v>
      </c>
      <c r="E27" s="22">
        <v>8</v>
      </c>
      <c r="F27" s="22">
        <v>19</v>
      </c>
    </row>
    <row r="28" spans="1:6" x14ac:dyDescent="0.2">
      <c r="A28">
        <v>363436152</v>
      </c>
      <c r="B28" s="22">
        <v>0.36</v>
      </c>
      <c r="C28" s="22">
        <v>0.36</v>
      </c>
      <c r="D28" s="22">
        <v>23</v>
      </c>
      <c r="E28" s="22">
        <v>23</v>
      </c>
      <c r="F28" s="22">
        <v>21</v>
      </c>
    </row>
    <row r="29" spans="1:6" x14ac:dyDescent="0.2">
      <c r="A29">
        <v>393495083</v>
      </c>
      <c r="B29" s="22">
        <v>0.47200000000000003</v>
      </c>
      <c r="C29" s="22">
        <v>0.47200000000000003</v>
      </c>
      <c r="D29" s="22">
        <v>9</v>
      </c>
      <c r="E29" s="22">
        <v>9</v>
      </c>
      <c r="F29" s="22">
        <v>91</v>
      </c>
    </row>
    <row r="30" spans="1:6" x14ac:dyDescent="0.2">
      <c r="A30">
        <v>769635714</v>
      </c>
      <c r="B30" s="22">
        <v>0.7360000000000001</v>
      </c>
      <c r="C30" s="22">
        <v>0.7360000000000001</v>
      </c>
      <c r="D30" s="22">
        <v>32</v>
      </c>
      <c r="E30" s="22">
        <v>32</v>
      </c>
      <c r="F30" s="22">
        <v>88</v>
      </c>
    </row>
    <row r="31" spans="1:6" x14ac:dyDescent="0.2">
      <c r="A31">
        <v>373048949</v>
      </c>
      <c r="B31" s="22">
        <v>0.5</v>
      </c>
      <c r="C31" s="22">
        <v>0.5</v>
      </c>
      <c r="D31" s="22">
        <v>15</v>
      </c>
      <c r="E31" s="22">
        <v>15</v>
      </c>
      <c r="F31" s="22">
        <v>80</v>
      </c>
    </row>
    <row r="32" spans="1:6" x14ac:dyDescent="0.2">
      <c r="A32">
        <v>357061292</v>
      </c>
      <c r="B32" s="22">
        <v>0.34</v>
      </c>
      <c r="C32" s="22">
        <v>0.34</v>
      </c>
      <c r="D32" s="22">
        <v>25</v>
      </c>
      <c r="E32" s="22">
        <v>25</v>
      </c>
      <c r="F32" s="22">
        <v>10</v>
      </c>
    </row>
    <row r="33" spans="1:6" x14ac:dyDescent="0.2">
      <c r="A33">
        <v>837310284</v>
      </c>
      <c r="B33" s="22">
        <v>0.39600000000000002</v>
      </c>
      <c r="C33" s="22">
        <v>0.39600000000000002</v>
      </c>
      <c r="D33" s="22">
        <v>18</v>
      </c>
      <c r="E33" s="22">
        <v>18</v>
      </c>
      <c r="F33" s="22">
        <v>45</v>
      </c>
    </row>
    <row r="34" spans="1:6" x14ac:dyDescent="0.2">
      <c r="A34">
        <v>815854164</v>
      </c>
      <c r="B34" s="22">
        <v>0.72800000000000009</v>
      </c>
      <c r="C34" s="22">
        <v>0.72800000000000009</v>
      </c>
      <c r="D34" s="22">
        <v>31</v>
      </c>
      <c r="E34" s="22">
        <v>31</v>
      </c>
      <c r="F34" s="22">
        <v>89</v>
      </c>
    </row>
    <row r="35" spans="1:6" x14ac:dyDescent="0.2">
      <c r="A35">
        <v>315378369</v>
      </c>
      <c r="B35" s="22">
        <v>0.26400000000000001</v>
      </c>
      <c r="C35" s="22">
        <v>0.26400000000000001</v>
      </c>
      <c r="D35" s="22">
        <v>18</v>
      </c>
      <c r="E35" s="22">
        <v>18</v>
      </c>
      <c r="F35" s="22">
        <v>12</v>
      </c>
    </row>
    <row r="36" spans="1:6" x14ac:dyDescent="0.2">
      <c r="A36">
        <v>564410540</v>
      </c>
      <c r="B36" s="22">
        <v>0.51600000000000001</v>
      </c>
      <c r="C36" s="22">
        <v>0.51600000000000001</v>
      </c>
      <c r="D36" s="22">
        <v>36</v>
      </c>
      <c r="E36" s="22">
        <v>36</v>
      </c>
      <c r="F36" s="22">
        <v>21</v>
      </c>
    </row>
    <row r="37" spans="1:6" x14ac:dyDescent="0.2">
      <c r="A37">
        <v>126539887</v>
      </c>
      <c r="B37" s="22">
        <v>0.4</v>
      </c>
      <c r="C37" s="22">
        <v>0.4</v>
      </c>
      <c r="D37" s="22">
        <v>31</v>
      </c>
      <c r="E37" s="22">
        <v>31</v>
      </c>
      <c r="F37" s="22">
        <v>7</v>
      </c>
    </row>
    <row r="38" spans="1:6" x14ac:dyDescent="0.2">
      <c r="A38">
        <v>563937624</v>
      </c>
      <c r="B38" s="22">
        <v>0.14000000000000001</v>
      </c>
      <c r="C38" s="22">
        <v>0.14000000000000001</v>
      </c>
      <c r="D38" s="22">
        <v>10</v>
      </c>
      <c r="E38" s="22">
        <v>10</v>
      </c>
      <c r="F38" s="22">
        <v>5</v>
      </c>
    </row>
    <row r="39" spans="1:6" x14ac:dyDescent="0.2">
      <c r="A39">
        <v>684291511</v>
      </c>
      <c r="B39" s="22">
        <v>0.46</v>
      </c>
      <c r="C39" s="22">
        <v>0.46</v>
      </c>
      <c r="D39" s="22">
        <v>26</v>
      </c>
      <c r="E39" s="22">
        <v>26</v>
      </c>
      <c r="F39" s="22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L39"/>
  <sheetViews>
    <sheetView workbookViewId="0">
      <selection sqref="A1:XFD1048576"/>
    </sheetView>
  </sheetViews>
  <sheetFormatPr baseColWidth="10" defaultColWidth="8.83203125" defaultRowHeight="15" x14ac:dyDescent="0.2"/>
  <sheetData>
    <row r="1" spans="1:12" x14ac:dyDescent="0.2">
      <c r="A1" t="s">
        <v>534</v>
      </c>
      <c r="C1" t="s">
        <v>664</v>
      </c>
      <c r="I1" t="s">
        <v>665</v>
      </c>
    </row>
    <row r="2" spans="1:12" x14ac:dyDescent="0.2">
      <c r="D2" t="s">
        <v>15</v>
      </c>
      <c r="E2" t="s">
        <v>64</v>
      </c>
      <c r="F2" t="s">
        <v>66</v>
      </c>
      <c r="G2" t="s">
        <v>69</v>
      </c>
      <c r="H2" t="s">
        <v>70</v>
      </c>
      <c r="J2" t="s">
        <v>66</v>
      </c>
      <c r="K2" t="s">
        <v>68</v>
      </c>
      <c r="L2" t="s">
        <v>70</v>
      </c>
    </row>
    <row r="3" spans="1:12" x14ac:dyDescent="0.2">
      <c r="D3">
        <v>100</v>
      </c>
      <c r="E3">
        <v>40</v>
      </c>
      <c r="F3">
        <v>100</v>
      </c>
      <c r="H3">
        <v>100</v>
      </c>
      <c r="J3">
        <v>100</v>
      </c>
      <c r="K3">
        <v>10</v>
      </c>
      <c r="L3">
        <v>100</v>
      </c>
    </row>
    <row r="4" spans="1:12" x14ac:dyDescent="0.2">
      <c r="D4">
        <v>0.05</v>
      </c>
      <c r="E4">
        <v>0.125</v>
      </c>
      <c r="F4">
        <v>0.1</v>
      </c>
      <c r="H4">
        <v>0.1</v>
      </c>
      <c r="J4">
        <v>0.1</v>
      </c>
      <c r="K4">
        <v>0.5</v>
      </c>
      <c r="L4">
        <v>0.1</v>
      </c>
    </row>
    <row r="5" spans="1:12" x14ac:dyDescent="0.2">
      <c r="A5">
        <v>598829620</v>
      </c>
      <c r="B5" s="22">
        <v>0.19583333333333333</v>
      </c>
      <c r="C5" s="22">
        <v>0.27166666666666667</v>
      </c>
      <c r="D5" s="22">
        <v>83</v>
      </c>
      <c r="E5" s="22">
        <v>8</v>
      </c>
      <c r="F5" s="22">
        <v>15</v>
      </c>
      <c r="H5" s="22">
        <v>15</v>
      </c>
      <c r="I5" s="22">
        <v>0.12</v>
      </c>
      <c r="J5" s="22">
        <v>15</v>
      </c>
      <c r="K5" s="22">
        <v>0</v>
      </c>
      <c r="L5" s="22">
        <v>15</v>
      </c>
    </row>
    <row r="6" spans="1:12" x14ac:dyDescent="0.2">
      <c r="A6">
        <v>684014860</v>
      </c>
      <c r="B6" s="22">
        <v>0.55400000000000005</v>
      </c>
      <c r="C6" s="22">
        <v>0.62</v>
      </c>
      <c r="D6" s="22">
        <v>93</v>
      </c>
      <c r="E6" s="22">
        <v>22</v>
      </c>
      <c r="F6" s="22">
        <v>56</v>
      </c>
      <c r="H6" s="22">
        <v>56</v>
      </c>
      <c r="I6" s="22">
        <v>0.48800000000000004</v>
      </c>
      <c r="J6" s="22">
        <v>56</v>
      </c>
      <c r="K6" s="22">
        <v>2</v>
      </c>
      <c r="L6" s="22">
        <v>56</v>
      </c>
    </row>
    <row r="7" spans="1:12" x14ac:dyDescent="0.2">
      <c r="A7">
        <v>843228181</v>
      </c>
      <c r="B7" s="22">
        <v>0.55858333333333343</v>
      </c>
      <c r="C7" s="22">
        <v>0.52916666666666667</v>
      </c>
      <c r="D7" s="22">
        <v>26</v>
      </c>
      <c r="E7" s="22">
        <v>19</v>
      </c>
      <c r="F7" s="22">
        <v>61</v>
      </c>
      <c r="H7" s="22">
        <v>61</v>
      </c>
      <c r="I7" s="22">
        <v>0.58800000000000008</v>
      </c>
      <c r="J7" s="22">
        <v>61</v>
      </c>
      <c r="K7" s="22">
        <v>5</v>
      </c>
      <c r="L7" s="22">
        <v>61</v>
      </c>
    </row>
    <row r="8" spans="1:12" x14ac:dyDescent="0.2">
      <c r="A8">
        <v>820549378</v>
      </c>
      <c r="B8" s="22">
        <v>0.38258333333333339</v>
      </c>
      <c r="C8" s="22">
        <v>0.44916666666666671</v>
      </c>
      <c r="D8" s="22">
        <v>64</v>
      </c>
      <c r="E8" s="22">
        <v>31</v>
      </c>
      <c r="F8" s="22">
        <v>32</v>
      </c>
      <c r="H8" s="22">
        <v>32</v>
      </c>
      <c r="I8" s="22">
        <v>0.316</v>
      </c>
      <c r="J8" s="22">
        <v>32</v>
      </c>
      <c r="K8" s="22">
        <v>3</v>
      </c>
      <c r="L8" s="22">
        <v>32</v>
      </c>
    </row>
    <row r="9" spans="1:12" x14ac:dyDescent="0.2">
      <c r="A9">
        <v>533572169</v>
      </c>
      <c r="B9" s="22">
        <v>0.39958333333333335</v>
      </c>
      <c r="C9" s="22">
        <v>0.37916666666666665</v>
      </c>
      <c r="D9" s="22">
        <v>40</v>
      </c>
      <c r="E9" s="22">
        <v>27</v>
      </c>
      <c r="F9" s="22">
        <v>30</v>
      </c>
      <c r="H9" s="22">
        <v>30</v>
      </c>
      <c r="I9" s="22">
        <v>0.42</v>
      </c>
      <c r="J9" s="22">
        <v>30</v>
      </c>
      <c r="K9" s="22">
        <v>9</v>
      </c>
      <c r="L9" s="22">
        <v>30</v>
      </c>
    </row>
    <row r="10" spans="1:12" x14ac:dyDescent="0.2">
      <c r="A10">
        <v>975325712</v>
      </c>
      <c r="B10" s="22">
        <v>0.41041666666666665</v>
      </c>
      <c r="C10" s="22">
        <v>0.34083333333333332</v>
      </c>
      <c r="D10" s="22">
        <v>42</v>
      </c>
      <c r="E10" s="22">
        <v>1</v>
      </c>
      <c r="F10" s="22">
        <v>40</v>
      </c>
      <c r="H10" s="22">
        <v>40</v>
      </c>
      <c r="I10" s="22">
        <v>0.48</v>
      </c>
      <c r="J10" s="22">
        <v>40</v>
      </c>
      <c r="K10" s="22">
        <v>8</v>
      </c>
      <c r="L10" s="22">
        <v>40</v>
      </c>
    </row>
    <row r="11" spans="1:12" x14ac:dyDescent="0.2">
      <c r="A11">
        <v>310082419</v>
      </c>
      <c r="B11" s="22">
        <v>0.12975</v>
      </c>
      <c r="C11" s="22">
        <v>0.16750000000000001</v>
      </c>
      <c r="D11" s="22">
        <v>42</v>
      </c>
      <c r="E11" s="22">
        <v>17</v>
      </c>
      <c r="F11" s="22">
        <v>4</v>
      </c>
      <c r="H11" s="22">
        <v>4</v>
      </c>
      <c r="I11" s="22">
        <v>9.1999999999999998E-2</v>
      </c>
      <c r="J11" s="22">
        <v>4</v>
      </c>
      <c r="K11" s="22">
        <v>3</v>
      </c>
      <c r="L11" s="22">
        <v>4</v>
      </c>
    </row>
    <row r="12" spans="1:12" x14ac:dyDescent="0.2">
      <c r="A12">
        <v>242132470</v>
      </c>
      <c r="B12" s="22">
        <v>0.24941666666666665</v>
      </c>
      <c r="C12" s="22">
        <v>0.21083333333333332</v>
      </c>
      <c r="D12" s="22">
        <v>60</v>
      </c>
      <c r="E12" s="22">
        <v>9</v>
      </c>
      <c r="F12" s="22">
        <v>11</v>
      </c>
      <c r="H12" s="22">
        <v>11</v>
      </c>
      <c r="I12" s="22">
        <v>0.28799999999999998</v>
      </c>
      <c r="J12" s="22">
        <v>11</v>
      </c>
      <c r="K12" s="22">
        <v>10</v>
      </c>
      <c r="L12" s="22">
        <v>11</v>
      </c>
    </row>
    <row r="13" spans="1:12" x14ac:dyDescent="0.2">
      <c r="A13">
        <v>208248363</v>
      </c>
      <c r="B13" s="22">
        <v>0.50441666666666674</v>
      </c>
      <c r="C13" s="22">
        <v>0.46083333333333343</v>
      </c>
      <c r="D13" s="22">
        <v>25</v>
      </c>
      <c r="E13" s="22">
        <v>19</v>
      </c>
      <c r="F13" s="22">
        <v>51</v>
      </c>
      <c r="H13" s="22">
        <v>51</v>
      </c>
      <c r="I13" s="22">
        <v>0.54800000000000015</v>
      </c>
      <c r="J13" s="22">
        <v>51</v>
      </c>
      <c r="K13" s="22">
        <v>7</v>
      </c>
      <c r="L13" s="22">
        <v>51</v>
      </c>
    </row>
    <row r="14" spans="1:12" x14ac:dyDescent="0.2">
      <c r="A14">
        <v>277055951</v>
      </c>
      <c r="B14" s="22">
        <v>0.32400000000000001</v>
      </c>
      <c r="C14" s="22">
        <v>0.32</v>
      </c>
      <c r="D14" s="22">
        <v>28</v>
      </c>
      <c r="E14" s="22">
        <v>24</v>
      </c>
      <c r="F14" s="22">
        <v>26</v>
      </c>
      <c r="H14" s="22">
        <v>26</v>
      </c>
      <c r="I14" s="22">
        <v>0.32799999999999996</v>
      </c>
      <c r="J14" s="22">
        <v>26</v>
      </c>
      <c r="K14" s="22">
        <v>6</v>
      </c>
      <c r="L14" s="22">
        <v>26</v>
      </c>
    </row>
    <row r="15" spans="1:12" x14ac:dyDescent="0.2">
      <c r="A15">
        <v>902907559</v>
      </c>
      <c r="B15" s="22">
        <v>0.76816666666666666</v>
      </c>
      <c r="C15" s="22">
        <v>0.74833333333333329</v>
      </c>
      <c r="D15" s="22">
        <v>95</v>
      </c>
      <c r="E15" s="22">
        <v>4</v>
      </c>
      <c r="F15" s="22">
        <v>86</v>
      </c>
      <c r="H15" s="22">
        <v>86</v>
      </c>
      <c r="I15" s="22">
        <v>0.78799999999999992</v>
      </c>
      <c r="J15" s="22">
        <v>86</v>
      </c>
      <c r="K15" s="22">
        <v>5</v>
      </c>
      <c r="L15" s="22">
        <v>86</v>
      </c>
    </row>
    <row r="16" spans="1:12" x14ac:dyDescent="0.2">
      <c r="A16">
        <v>528297980</v>
      </c>
      <c r="B16" s="22">
        <v>0.59616666666666673</v>
      </c>
      <c r="C16" s="22">
        <v>0.56833333333333336</v>
      </c>
      <c r="D16" s="22">
        <v>74</v>
      </c>
      <c r="E16" s="22">
        <v>14</v>
      </c>
      <c r="F16" s="22">
        <v>58</v>
      </c>
      <c r="H16" s="22">
        <v>58</v>
      </c>
      <c r="I16" s="22">
        <v>0.62400000000000011</v>
      </c>
      <c r="J16" s="22">
        <v>58</v>
      </c>
      <c r="K16" s="22">
        <v>8</v>
      </c>
      <c r="L16" s="22">
        <v>58</v>
      </c>
    </row>
    <row r="17" spans="1:12" x14ac:dyDescent="0.2">
      <c r="A17">
        <v>444882790</v>
      </c>
      <c r="B17" s="22">
        <v>0.23249999999999998</v>
      </c>
      <c r="C17" s="22">
        <v>0.245</v>
      </c>
      <c r="D17" s="22">
        <v>67</v>
      </c>
      <c r="E17" s="22">
        <v>24</v>
      </c>
      <c r="F17" s="22">
        <v>5</v>
      </c>
      <c r="H17" s="22">
        <v>5</v>
      </c>
      <c r="I17" s="22">
        <v>0.22</v>
      </c>
      <c r="J17" s="22">
        <v>5</v>
      </c>
      <c r="K17" s="22">
        <v>9</v>
      </c>
      <c r="L17" s="22">
        <v>5</v>
      </c>
    </row>
    <row r="18" spans="1:12" x14ac:dyDescent="0.2">
      <c r="A18">
        <v>112085131</v>
      </c>
      <c r="B18" s="22">
        <v>0.24158333333333332</v>
      </c>
      <c r="C18" s="22">
        <v>0.29916666666666664</v>
      </c>
      <c r="D18" s="22">
        <v>60</v>
      </c>
      <c r="E18" s="22">
        <v>27</v>
      </c>
      <c r="F18" s="22">
        <v>13</v>
      </c>
      <c r="H18" s="22">
        <v>13</v>
      </c>
      <c r="I18" s="22">
        <v>0.184</v>
      </c>
      <c r="J18" s="22">
        <v>13</v>
      </c>
      <c r="K18" s="22">
        <v>4</v>
      </c>
      <c r="L18" s="22">
        <v>13</v>
      </c>
    </row>
    <row r="19" spans="1:12" x14ac:dyDescent="0.2">
      <c r="A19">
        <v>588642518</v>
      </c>
      <c r="B19" s="22">
        <v>0.76183333333333336</v>
      </c>
      <c r="C19" s="22">
        <v>0.77166666666666661</v>
      </c>
      <c r="D19" s="22">
        <v>72</v>
      </c>
      <c r="E19" s="22">
        <v>6</v>
      </c>
      <c r="F19" s="22">
        <v>94</v>
      </c>
      <c r="H19" s="22">
        <v>94</v>
      </c>
      <c r="I19" s="22">
        <v>0.752</v>
      </c>
      <c r="J19" s="22">
        <v>94</v>
      </c>
      <c r="K19" s="22">
        <v>0</v>
      </c>
      <c r="L19" s="22">
        <v>94</v>
      </c>
    </row>
    <row r="20" spans="1:12" x14ac:dyDescent="0.2">
      <c r="A20">
        <v>414520736</v>
      </c>
      <c r="B20" s="22">
        <v>0.73858333333333326</v>
      </c>
      <c r="C20" s="22">
        <v>0.62916666666666665</v>
      </c>
      <c r="D20" s="22">
        <v>11</v>
      </c>
      <c r="E20" s="22">
        <v>17</v>
      </c>
      <c r="F20" s="22">
        <v>81</v>
      </c>
      <c r="H20" s="22">
        <v>81</v>
      </c>
      <c r="I20" s="22">
        <v>0.84799999999999998</v>
      </c>
      <c r="J20" s="22">
        <v>81</v>
      </c>
      <c r="K20" s="22">
        <v>10</v>
      </c>
      <c r="L20" s="22">
        <v>81</v>
      </c>
    </row>
    <row r="21" spans="1:12" x14ac:dyDescent="0.2">
      <c r="A21">
        <v>356558346</v>
      </c>
      <c r="B21" s="22">
        <v>0.46575</v>
      </c>
      <c r="C21" s="22">
        <v>0.40749999999999997</v>
      </c>
      <c r="D21" s="22">
        <v>50</v>
      </c>
      <c r="E21" s="22">
        <v>9</v>
      </c>
      <c r="F21" s="22">
        <v>43</v>
      </c>
      <c r="H21" s="22">
        <v>43</v>
      </c>
      <c r="I21" s="22">
        <v>0.52400000000000002</v>
      </c>
      <c r="J21" s="22">
        <v>43</v>
      </c>
      <c r="K21" s="22">
        <v>9</v>
      </c>
      <c r="L21" s="22">
        <v>43</v>
      </c>
    </row>
    <row r="22" spans="1:12" x14ac:dyDescent="0.2">
      <c r="A22">
        <v>970698993</v>
      </c>
      <c r="B22" s="22">
        <v>0.87083333333333335</v>
      </c>
      <c r="C22" s="22">
        <v>0.82166666666666666</v>
      </c>
      <c r="D22" s="22">
        <v>78</v>
      </c>
      <c r="E22" s="22">
        <v>14</v>
      </c>
      <c r="F22" s="22">
        <v>95</v>
      </c>
      <c r="H22" s="22">
        <v>95</v>
      </c>
      <c r="I22" s="22">
        <v>0.92</v>
      </c>
      <c r="J22" s="22">
        <v>95</v>
      </c>
      <c r="K22" s="22">
        <v>8</v>
      </c>
      <c r="L22" s="22">
        <v>95</v>
      </c>
    </row>
    <row r="23" spans="1:12" x14ac:dyDescent="0.2">
      <c r="A23">
        <v>633537205</v>
      </c>
      <c r="B23" s="22">
        <v>0.30816666666666664</v>
      </c>
      <c r="C23" s="22">
        <v>0.32833333333333331</v>
      </c>
      <c r="D23" s="22">
        <v>43</v>
      </c>
      <c r="E23" s="22">
        <v>4</v>
      </c>
      <c r="F23" s="22">
        <v>36</v>
      </c>
      <c r="H23" s="22">
        <v>36</v>
      </c>
      <c r="I23" s="22">
        <v>0.28800000000000003</v>
      </c>
      <c r="J23" s="22">
        <v>36</v>
      </c>
      <c r="K23" s="22">
        <v>0</v>
      </c>
      <c r="L23" s="22">
        <v>36</v>
      </c>
    </row>
    <row r="24" spans="1:12" x14ac:dyDescent="0.2">
      <c r="A24">
        <v>534292868</v>
      </c>
      <c r="B24" s="22">
        <v>0.78749999999999998</v>
      </c>
      <c r="C24" s="22">
        <v>0.755</v>
      </c>
      <c r="D24" s="22">
        <v>88</v>
      </c>
      <c r="E24" s="22">
        <v>2</v>
      </c>
      <c r="F24" s="22">
        <v>90</v>
      </c>
      <c r="H24" s="22">
        <v>90</v>
      </c>
      <c r="I24" s="22">
        <v>0.82</v>
      </c>
      <c r="J24" s="22">
        <v>90</v>
      </c>
      <c r="K24" s="22">
        <v>5</v>
      </c>
      <c r="L24" s="22">
        <v>90</v>
      </c>
    </row>
    <row r="25" spans="1:12" x14ac:dyDescent="0.2">
      <c r="A25">
        <v>816787809</v>
      </c>
      <c r="B25" s="22">
        <v>0.46675</v>
      </c>
      <c r="C25" s="22">
        <v>0.39750000000000002</v>
      </c>
      <c r="D25" s="22">
        <v>28</v>
      </c>
      <c r="E25" s="22">
        <v>9</v>
      </c>
      <c r="F25" s="22">
        <v>47</v>
      </c>
      <c r="H25" s="22">
        <v>47</v>
      </c>
      <c r="I25" s="22">
        <v>0.53599999999999992</v>
      </c>
      <c r="J25" s="22">
        <v>47</v>
      </c>
      <c r="K25" s="22">
        <v>8</v>
      </c>
      <c r="L25" s="22">
        <v>47</v>
      </c>
    </row>
    <row r="26" spans="1:12" x14ac:dyDescent="0.2">
      <c r="A26">
        <v>220052551</v>
      </c>
      <c r="B26" s="22">
        <v>0.63225000000000009</v>
      </c>
      <c r="C26" s="22">
        <v>0.53250000000000008</v>
      </c>
      <c r="D26" s="22">
        <v>6</v>
      </c>
      <c r="E26" s="22">
        <v>7</v>
      </c>
      <c r="F26" s="22">
        <v>74</v>
      </c>
      <c r="H26" s="22">
        <v>74</v>
      </c>
      <c r="I26" s="22">
        <v>0.73199999999999998</v>
      </c>
      <c r="J26" s="22">
        <v>74</v>
      </c>
      <c r="K26" s="22">
        <v>7</v>
      </c>
      <c r="L26" s="22">
        <v>74</v>
      </c>
    </row>
    <row r="27" spans="1:12" x14ac:dyDescent="0.2">
      <c r="A27">
        <v>858571733</v>
      </c>
      <c r="B27" s="22">
        <v>0.26850000000000002</v>
      </c>
      <c r="C27" s="22">
        <v>0.26500000000000001</v>
      </c>
      <c r="D27" s="22">
        <v>78</v>
      </c>
      <c r="E27" s="22">
        <v>2</v>
      </c>
      <c r="F27" s="22">
        <v>19</v>
      </c>
      <c r="H27" s="22">
        <v>19</v>
      </c>
      <c r="I27" s="22">
        <v>0.27200000000000002</v>
      </c>
      <c r="J27" s="22">
        <v>19</v>
      </c>
      <c r="K27" s="22">
        <v>6</v>
      </c>
      <c r="L27" s="22">
        <v>19</v>
      </c>
    </row>
    <row r="28" spans="1:12" x14ac:dyDescent="0.2">
      <c r="A28">
        <v>363436152</v>
      </c>
      <c r="B28" s="22">
        <v>0.27691666666666664</v>
      </c>
      <c r="C28" s="22">
        <v>0.24583333333333332</v>
      </c>
      <c r="D28" s="22">
        <v>16</v>
      </c>
      <c r="E28" s="22">
        <v>19</v>
      </c>
      <c r="F28" s="22">
        <v>21</v>
      </c>
      <c r="H28" s="22">
        <v>21</v>
      </c>
      <c r="I28" s="22">
        <v>0.308</v>
      </c>
      <c r="J28" s="22">
        <v>21</v>
      </c>
      <c r="K28" s="22">
        <v>7</v>
      </c>
      <c r="L28" s="22">
        <v>21</v>
      </c>
    </row>
    <row r="29" spans="1:12" x14ac:dyDescent="0.2">
      <c r="A29">
        <v>393495083</v>
      </c>
      <c r="B29" s="22">
        <v>0.7869166666666666</v>
      </c>
      <c r="C29" s="22">
        <v>0.72583333333333333</v>
      </c>
      <c r="D29" s="22">
        <v>69</v>
      </c>
      <c r="E29" s="22">
        <v>1</v>
      </c>
      <c r="F29" s="22">
        <v>91</v>
      </c>
      <c r="H29" s="22">
        <v>91</v>
      </c>
      <c r="I29" s="22">
        <v>0.84799999999999998</v>
      </c>
      <c r="J29" s="22">
        <v>91</v>
      </c>
      <c r="K29" s="22">
        <v>6</v>
      </c>
      <c r="L29" s="22">
        <v>91</v>
      </c>
    </row>
    <row r="30" spans="1:12" x14ac:dyDescent="0.2">
      <c r="A30">
        <v>769635714</v>
      </c>
      <c r="B30" s="22">
        <v>0.79991666666666672</v>
      </c>
      <c r="C30" s="22">
        <v>0.71583333333333343</v>
      </c>
      <c r="D30" s="22">
        <v>75</v>
      </c>
      <c r="E30" s="22">
        <v>1</v>
      </c>
      <c r="F30" s="22">
        <v>88</v>
      </c>
      <c r="H30" s="22">
        <v>88</v>
      </c>
      <c r="I30" s="22">
        <v>0.88400000000000001</v>
      </c>
      <c r="J30" s="22">
        <v>88</v>
      </c>
      <c r="K30" s="22">
        <v>9</v>
      </c>
      <c r="L30" s="22">
        <v>88</v>
      </c>
    </row>
    <row r="31" spans="1:12" x14ac:dyDescent="0.2">
      <c r="A31">
        <v>373048949</v>
      </c>
      <c r="B31" s="22">
        <v>0.78916666666666668</v>
      </c>
      <c r="C31" s="22">
        <v>0.73833333333333329</v>
      </c>
      <c r="D31" s="22">
        <v>48</v>
      </c>
      <c r="E31" s="22">
        <v>30</v>
      </c>
      <c r="F31" s="22">
        <v>80</v>
      </c>
      <c r="H31" s="22">
        <v>80</v>
      </c>
      <c r="I31" s="22">
        <v>0.84</v>
      </c>
      <c r="J31" s="22">
        <v>80</v>
      </c>
      <c r="K31" s="22">
        <v>10</v>
      </c>
      <c r="L31" s="22">
        <v>80</v>
      </c>
    </row>
    <row r="32" spans="1:12" x14ac:dyDescent="0.2">
      <c r="A32">
        <v>357061292</v>
      </c>
      <c r="B32" s="22">
        <v>0.14374999999999999</v>
      </c>
      <c r="C32" s="22">
        <v>0.1075</v>
      </c>
      <c r="D32" s="22">
        <v>7</v>
      </c>
      <c r="E32" s="22">
        <v>7</v>
      </c>
      <c r="F32" s="22">
        <v>10</v>
      </c>
      <c r="H32" s="22">
        <v>10</v>
      </c>
      <c r="I32" s="22">
        <v>0.18</v>
      </c>
      <c r="J32" s="22">
        <v>10</v>
      </c>
      <c r="K32" s="22">
        <v>5</v>
      </c>
      <c r="L32" s="22">
        <v>10</v>
      </c>
    </row>
    <row r="33" spans="1:12" x14ac:dyDescent="0.2">
      <c r="A33">
        <v>837310284</v>
      </c>
      <c r="B33" s="22">
        <v>0.42416666666666664</v>
      </c>
      <c r="C33" s="22">
        <v>0.40833333333333333</v>
      </c>
      <c r="D33" s="22">
        <v>0</v>
      </c>
      <c r="E33" s="22">
        <v>26</v>
      </c>
      <c r="F33" s="22">
        <v>45</v>
      </c>
      <c r="H33" s="22">
        <v>45</v>
      </c>
      <c r="I33" s="22">
        <v>0.44</v>
      </c>
      <c r="J33" s="22">
        <v>45</v>
      </c>
      <c r="K33" s="22">
        <v>4</v>
      </c>
      <c r="L33" s="22">
        <v>45</v>
      </c>
    </row>
    <row r="34" spans="1:12" x14ac:dyDescent="0.2">
      <c r="A34">
        <v>815854164</v>
      </c>
      <c r="B34" s="22">
        <v>0.80100000000000005</v>
      </c>
      <c r="C34" s="22">
        <v>0.79000000000000015</v>
      </c>
      <c r="D34" s="22">
        <v>98</v>
      </c>
      <c r="E34" s="22">
        <v>8</v>
      </c>
      <c r="F34" s="22">
        <v>89</v>
      </c>
      <c r="H34" s="22">
        <v>89</v>
      </c>
      <c r="I34" s="22">
        <v>0.81200000000000006</v>
      </c>
      <c r="J34" s="22">
        <v>89</v>
      </c>
      <c r="K34" s="22">
        <v>5</v>
      </c>
      <c r="L34" s="22">
        <v>89</v>
      </c>
    </row>
    <row r="35" spans="1:12" x14ac:dyDescent="0.2">
      <c r="A35">
        <v>315378369</v>
      </c>
      <c r="B35" s="22">
        <v>0.16050000000000003</v>
      </c>
      <c r="C35" s="22">
        <v>0.16500000000000004</v>
      </c>
      <c r="D35" s="22">
        <v>46</v>
      </c>
      <c r="E35" s="22">
        <v>2</v>
      </c>
      <c r="F35" s="22">
        <v>12</v>
      </c>
      <c r="H35" s="22">
        <v>12</v>
      </c>
      <c r="I35" s="22">
        <v>0.15600000000000003</v>
      </c>
      <c r="J35" s="22">
        <v>12</v>
      </c>
      <c r="K35" s="22">
        <v>3</v>
      </c>
      <c r="L35" s="22">
        <v>12</v>
      </c>
    </row>
    <row r="36" spans="1:12" x14ac:dyDescent="0.2">
      <c r="A36">
        <v>564410540</v>
      </c>
      <c r="B36" s="22">
        <v>0.31858333333333333</v>
      </c>
      <c r="C36" s="22">
        <v>0.34916666666666668</v>
      </c>
      <c r="D36" s="22">
        <v>38</v>
      </c>
      <c r="E36" s="22">
        <v>35</v>
      </c>
      <c r="F36" s="22">
        <v>21</v>
      </c>
      <c r="H36" s="22">
        <v>21</v>
      </c>
      <c r="I36" s="22">
        <v>0.28799999999999998</v>
      </c>
      <c r="J36" s="22">
        <v>21</v>
      </c>
      <c r="K36" s="22">
        <v>6</v>
      </c>
      <c r="L36" s="22">
        <v>21</v>
      </c>
    </row>
    <row r="37" spans="1:12" x14ac:dyDescent="0.2">
      <c r="A37">
        <v>126539887</v>
      </c>
      <c r="B37" s="22">
        <v>0.26550000000000001</v>
      </c>
      <c r="C37" s="22">
        <v>0.315</v>
      </c>
      <c r="D37" s="22">
        <v>96</v>
      </c>
      <c r="E37" s="22">
        <v>26</v>
      </c>
      <c r="F37" s="22">
        <v>7</v>
      </c>
      <c r="H37" s="22">
        <v>7</v>
      </c>
      <c r="I37" s="22">
        <v>0.21600000000000003</v>
      </c>
      <c r="J37" s="22">
        <v>7</v>
      </c>
      <c r="K37" s="22">
        <v>8</v>
      </c>
      <c r="L37" s="22">
        <v>7</v>
      </c>
    </row>
    <row r="38" spans="1:12" x14ac:dyDescent="0.2">
      <c r="A38">
        <v>563937624</v>
      </c>
      <c r="B38" s="22">
        <v>0.2475</v>
      </c>
      <c r="C38" s="22">
        <v>0.315</v>
      </c>
      <c r="D38" s="22">
        <v>99</v>
      </c>
      <c r="E38" s="22">
        <v>28</v>
      </c>
      <c r="F38" s="22">
        <v>5</v>
      </c>
      <c r="H38" s="22">
        <v>5</v>
      </c>
      <c r="I38" s="22">
        <v>0.18</v>
      </c>
      <c r="J38" s="22">
        <v>5</v>
      </c>
      <c r="K38" s="22">
        <v>7</v>
      </c>
      <c r="L38" s="22">
        <v>5</v>
      </c>
    </row>
    <row r="39" spans="1:12" x14ac:dyDescent="0.2">
      <c r="A39">
        <v>684291511</v>
      </c>
      <c r="B39" s="22">
        <v>0.41299999999999998</v>
      </c>
      <c r="C39" s="22">
        <v>0.35</v>
      </c>
      <c r="D39" s="22">
        <v>22</v>
      </c>
      <c r="E39" s="22">
        <v>16</v>
      </c>
      <c r="F39" s="22">
        <v>37</v>
      </c>
      <c r="H39" s="22">
        <v>37</v>
      </c>
      <c r="I39" s="22">
        <v>0.47599999999999992</v>
      </c>
      <c r="J39" s="22">
        <v>37</v>
      </c>
      <c r="K39" s="22">
        <v>9</v>
      </c>
      <c r="L39" s="22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Q39"/>
  <sheetViews>
    <sheetView workbookViewId="0">
      <selection sqref="A1:XFD1048576"/>
    </sheetView>
  </sheetViews>
  <sheetFormatPr baseColWidth="10" defaultColWidth="8.83203125" defaultRowHeight="15" x14ac:dyDescent="0.2"/>
  <sheetData>
    <row r="1" spans="1:17" x14ac:dyDescent="0.2">
      <c r="A1" t="s">
        <v>537</v>
      </c>
      <c r="C1" t="s">
        <v>666</v>
      </c>
      <c r="E1" t="s">
        <v>667</v>
      </c>
      <c r="G1" t="s">
        <v>668</v>
      </c>
      <c r="K1" t="s">
        <v>669</v>
      </c>
      <c r="O1" t="s">
        <v>670</v>
      </c>
    </row>
    <row r="2" spans="1:17" x14ac:dyDescent="0.2">
      <c r="D2" t="s">
        <v>65</v>
      </c>
      <c r="F2" t="s">
        <v>67</v>
      </c>
      <c r="H2" t="s">
        <v>65</v>
      </c>
      <c r="I2" t="s">
        <v>66</v>
      </c>
      <c r="J2" t="s">
        <v>67</v>
      </c>
      <c r="L2" t="s">
        <v>67</v>
      </c>
      <c r="M2" t="s">
        <v>69</v>
      </c>
      <c r="N2" t="s">
        <v>71</v>
      </c>
      <c r="P2" t="s">
        <v>69</v>
      </c>
      <c r="Q2" t="s">
        <v>72</v>
      </c>
    </row>
    <row r="3" spans="1:17" x14ac:dyDescent="0.2">
      <c r="D3">
        <v>100</v>
      </c>
      <c r="F3">
        <v>50</v>
      </c>
      <c r="H3">
        <v>100</v>
      </c>
      <c r="I3">
        <v>100</v>
      </c>
      <c r="J3">
        <v>50</v>
      </c>
      <c r="L3">
        <v>50</v>
      </c>
      <c r="N3">
        <v>50</v>
      </c>
      <c r="Q3">
        <v>50</v>
      </c>
    </row>
    <row r="4" spans="1:17" x14ac:dyDescent="0.2">
      <c r="D4">
        <v>0.1</v>
      </c>
      <c r="F4">
        <v>0.2</v>
      </c>
      <c r="H4">
        <v>0.1</v>
      </c>
      <c r="I4">
        <v>0.1</v>
      </c>
      <c r="J4">
        <v>0.2</v>
      </c>
      <c r="L4">
        <v>0.2</v>
      </c>
      <c r="N4">
        <v>0.2</v>
      </c>
      <c r="Q4">
        <v>0.2</v>
      </c>
    </row>
    <row r="5" spans="1:17" x14ac:dyDescent="0.2">
      <c r="A5">
        <v>598829620</v>
      </c>
      <c r="B5" s="22">
        <v>0.31666666666666671</v>
      </c>
      <c r="C5" s="22">
        <v>0.15</v>
      </c>
      <c r="D5" s="22">
        <v>15</v>
      </c>
      <c r="E5" s="22">
        <v>0.4</v>
      </c>
      <c r="F5" s="22">
        <v>20</v>
      </c>
      <c r="G5" s="22">
        <v>0.23333333333333334</v>
      </c>
      <c r="H5" s="22">
        <v>15</v>
      </c>
      <c r="I5" s="22">
        <v>15</v>
      </c>
      <c r="J5" s="22">
        <v>20</v>
      </c>
      <c r="K5" s="22">
        <v>0.4</v>
      </c>
      <c r="L5" s="22">
        <v>20</v>
      </c>
      <c r="N5" s="22">
        <v>20</v>
      </c>
      <c r="O5" s="22">
        <v>0.4</v>
      </c>
      <c r="Q5" s="22">
        <v>20</v>
      </c>
    </row>
    <row r="6" spans="1:17" x14ac:dyDescent="0.2">
      <c r="A6">
        <v>684014860</v>
      </c>
      <c r="B6" s="22">
        <v>0.56000000000000005</v>
      </c>
      <c r="C6" s="22">
        <v>0.56000000000000005</v>
      </c>
      <c r="D6" s="22">
        <v>56</v>
      </c>
      <c r="E6" s="22">
        <v>0.56000000000000005</v>
      </c>
      <c r="F6" s="22">
        <v>28</v>
      </c>
      <c r="G6" s="22">
        <v>0.56000000000000005</v>
      </c>
      <c r="H6" s="22">
        <v>56</v>
      </c>
      <c r="I6" s="22">
        <v>56</v>
      </c>
      <c r="J6" s="22">
        <v>28</v>
      </c>
      <c r="K6" s="22">
        <v>0.56000000000000005</v>
      </c>
      <c r="L6" s="22">
        <v>28</v>
      </c>
      <c r="N6" s="22">
        <v>28</v>
      </c>
      <c r="O6" s="22">
        <v>0.56000000000000005</v>
      </c>
      <c r="Q6" s="22">
        <v>28</v>
      </c>
    </row>
    <row r="7" spans="1:17" x14ac:dyDescent="0.2">
      <c r="A7">
        <v>843228181</v>
      </c>
      <c r="B7" s="22">
        <v>0.48333333333333339</v>
      </c>
      <c r="C7" s="22">
        <v>0.6100000000000001</v>
      </c>
      <c r="D7" s="22">
        <v>61</v>
      </c>
      <c r="E7" s="22">
        <v>0.42000000000000004</v>
      </c>
      <c r="F7" s="22">
        <v>21</v>
      </c>
      <c r="G7" s="22">
        <v>0.54666666666666675</v>
      </c>
      <c r="H7" s="22">
        <v>61</v>
      </c>
      <c r="I7" s="22">
        <v>61</v>
      </c>
      <c r="J7" s="22">
        <v>21</v>
      </c>
      <c r="K7" s="22">
        <v>0.42000000000000004</v>
      </c>
      <c r="L7" s="22">
        <v>21</v>
      </c>
      <c r="N7" s="22">
        <v>21</v>
      </c>
      <c r="O7" s="22">
        <v>0.42000000000000004</v>
      </c>
      <c r="Q7" s="22">
        <v>21</v>
      </c>
    </row>
    <row r="8" spans="1:17" x14ac:dyDescent="0.2">
      <c r="A8">
        <v>820549378</v>
      </c>
      <c r="B8" s="22">
        <v>0.28000000000000003</v>
      </c>
      <c r="C8" s="22">
        <v>0.32</v>
      </c>
      <c r="D8" s="22">
        <v>32</v>
      </c>
      <c r="E8" s="22">
        <v>0.26</v>
      </c>
      <c r="F8" s="22">
        <v>13</v>
      </c>
      <c r="G8" s="22">
        <v>0.3</v>
      </c>
      <c r="H8" s="22">
        <v>32</v>
      </c>
      <c r="I8" s="22">
        <v>32</v>
      </c>
      <c r="J8" s="22">
        <v>13</v>
      </c>
      <c r="K8" s="22">
        <v>0.26</v>
      </c>
      <c r="L8" s="22">
        <v>13</v>
      </c>
      <c r="N8" s="22">
        <v>13</v>
      </c>
      <c r="O8" s="22">
        <v>0.26</v>
      </c>
      <c r="Q8" s="22">
        <v>13</v>
      </c>
    </row>
    <row r="9" spans="1:17" x14ac:dyDescent="0.2">
      <c r="A9">
        <v>533572169</v>
      </c>
      <c r="B9" s="22">
        <v>0.12666666666666668</v>
      </c>
      <c r="C9" s="22">
        <v>0.3</v>
      </c>
      <c r="D9" s="22">
        <v>30</v>
      </c>
      <c r="E9" s="22">
        <v>0.04</v>
      </c>
      <c r="F9" s="22">
        <v>2</v>
      </c>
      <c r="G9" s="22">
        <v>0.21333333333333335</v>
      </c>
      <c r="H9" s="22">
        <v>30</v>
      </c>
      <c r="I9" s="22">
        <v>30</v>
      </c>
      <c r="J9" s="22">
        <v>2</v>
      </c>
      <c r="K9" s="22">
        <v>0.04</v>
      </c>
      <c r="L9" s="22">
        <v>2</v>
      </c>
      <c r="N9" s="22">
        <v>2</v>
      </c>
      <c r="O9" s="22">
        <v>0.04</v>
      </c>
      <c r="Q9" s="22">
        <v>2</v>
      </c>
    </row>
    <row r="10" spans="1:17" x14ac:dyDescent="0.2">
      <c r="A10">
        <v>975325712</v>
      </c>
      <c r="B10" s="22">
        <v>0.37333333333333335</v>
      </c>
      <c r="C10" s="22">
        <v>0.4</v>
      </c>
      <c r="D10" s="22">
        <v>40</v>
      </c>
      <c r="E10" s="22">
        <v>0.36</v>
      </c>
      <c r="F10" s="22">
        <v>18</v>
      </c>
      <c r="G10" s="22">
        <v>0.38666666666666666</v>
      </c>
      <c r="H10" s="22">
        <v>40</v>
      </c>
      <c r="I10" s="22">
        <v>40</v>
      </c>
      <c r="J10" s="22">
        <v>18</v>
      </c>
      <c r="K10" s="22">
        <v>0.36</v>
      </c>
      <c r="L10" s="22">
        <v>18</v>
      </c>
      <c r="N10" s="22">
        <v>18</v>
      </c>
      <c r="O10" s="22">
        <v>0.36</v>
      </c>
      <c r="Q10" s="22">
        <v>18</v>
      </c>
    </row>
    <row r="11" spans="1:17" x14ac:dyDescent="0.2">
      <c r="A11">
        <v>310082419</v>
      </c>
      <c r="B11" s="22">
        <v>0.16000000000000003</v>
      </c>
      <c r="C11" s="22">
        <v>0.04</v>
      </c>
      <c r="D11" s="22">
        <v>4</v>
      </c>
      <c r="E11" s="22">
        <v>0.22000000000000003</v>
      </c>
      <c r="F11" s="22">
        <v>11</v>
      </c>
      <c r="G11" s="22">
        <v>0.1</v>
      </c>
      <c r="H11" s="22">
        <v>4</v>
      </c>
      <c r="I11" s="22">
        <v>4</v>
      </c>
      <c r="J11" s="22">
        <v>11</v>
      </c>
      <c r="K11" s="22">
        <v>0.22000000000000003</v>
      </c>
      <c r="L11" s="22">
        <v>11</v>
      </c>
      <c r="N11" s="22">
        <v>11</v>
      </c>
      <c r="O11" s="22">
        <v>0.22000000000000003</v>
      </c>
      <c r="Q11" s="22">
        <v>11</v>
      </c>
    </row>
    <row r="12" spans="1:17" x14ac:dyDescent="0.2">
      <c r="A12">
        <v>242132470</v>
      </c>
      <c r="B12" s="22">
        <v>0.41000000000000009</v>
      </c>
      <c r="C12" s="22">
        <v>0.11000000000000001</v>
      </c>
      <c r="D12" s="22">
        <v>11</v>
      </c>
      <c r="E12" s="22">
        <v>0.56000000000000005</v>
      </c>
      <c r="F12" s="22">
        <v>28</v>
      </c>
      <c r="G12" s="22">
        <v>0.26</v>
      </c>
      <c r="H12" s="22">
        <v>11</v>
      </c>
      <c r="I12" s="22">
        <v>11</v>
      </c>
      <c r="J12" s="22">
        <v>28</v>
      </c>
      <c r="K12" s="22">
        <v>0.56000000000000005</v>
      </c>
      <c r="L12" s="22">
        <v>28</v>
      </c>
      <c r="N12" s="22">
        <v>28</v>
      </c>
      <c r="O12" s="22">
        <v>0.56000000000000005</v>
      </c>
      <c r="Q12" s="22">
        <v>28</v>
      </c>
    </row>
    <row r="13" spans="1:17" x14ac:dyDescent="0.2">
      <c r="A13">
        <v>208248363</v>
      </c>
      <c r="B13" s="22">
        <v>0.43666666666666676</v>
      </c>
      <c r="C13" s="22">
        <v>0.51</v>
      </c>
      <c r="D13" s="22">
        <v>51</v>
      </c>
      <c r="E13" s="22">
        <v>0.4</v>
      </c>
      <c r="F13" s="22">
        <v>20</v>
      </c>
      <c r="G13" s="22">
        <v>0.47333333333333338</v>
      </c>
      <c r="H13" s="22">
        <v>51</v>
      </c>
      <c r="I13" s="22">
        <v>51</v>
      </c>
      <c r="J13" s="22">
        <v>20</v>
      </c>
      <c r="K13" s="22">
        <v>0.4</v>
      </c>
      <c r="L13" s="22">
        <v>20</v>
      </c>
      <c r="N13" s="22">
        <v>20</v>
      </c>
      <c r="O13" s="22">
        <v>0.4</v>
      </c>
      <c r="Q13" s="22">
        <v>20</v>
      </c>
    </row>
    <row r="14" spans="1:17" x14ac:dyDescent="0.2">
      <c r="A14">
        <v>277055951</v>
      </c>
      <c r="B14" s="22">
        <v>8.666666666666667E-2</v>
      </c>
      <c r="C14" s="22">
        <v>0.26</v>
      </c>
      <c r="D14" s="22">
        <v>26</v>
      </c>
      <c r="E14" s="22">
        <v>0</v>
      </c>
      <c r="F14" s="22">
        <v>0</v>
      </c>
      <c r="G14" s="22">
        <v>0.17333333333333334</v>
      </c>
      <c r="H14" s="22">
        <v>26</v>
      </c>
      <c r="I14" s="22">
        <v>26</v>
      </c>
      <c r="J14" s="22">
        <v>0</v>
      </c>
      <c r="K14" s="22">
        <v>0</v>
      </c>
      <c r="L14" s="22">
        <v>0</v>
      </c>
      <c r="N14" s="22">
        <v>0</v>
      </c>
      <c r="O14" s="22">
        <v>0</v>
      </c>
      <c r="Q14" s="22">
        <v>0</v>
      </c>
    </row>
    <row r="15" spans="1:17" x14ac:dyDescent="0.2">
      <c r="A15">
        <v>902907559</v>
      </c>
      <c r="B15" s="22">
        <v>0.3666666666666667</v>
      </c>
      <c r="C15" s="22">
        <v>0.86</v>
      </c>
      <c r="D15" s="22">
        <v>86</v>
      </c>
      <c r="E15" s="22">
        <v>0.12000000000000002</v>
      </c>
      <c r="F15" s="22">
        <v>6</v>
      </c>
      <c r="G15" s="22">
        <v>0.61333333333333329</v>
      </c>
      <c r="H15" s="22">
        <v>86</v>
      </c>
      <c r="I15" s="22">
        <v>86</v>
      </c>
      <c r="J15" s="22">
        <v>6</v>
      </c>
      <c r="K15" s="22">
        <v>0.12000000000000002</v>
      </c>
      <c r="L15" s="22">
        <v>6</v>
      </c>
      <c r="N15" s="22">
        <v>6</v>
      </c>
      <c r="O15" s="22">
        <v>0.12000000000000002</v>
      </c>
      <c r="Q15" s="22">
        <v>6</v>
      </c>
    </row>
    <row r="16" spans="1:17" x14ac:dyDescent="0.2">
      <c r="A16">
        <v>528297980</v>
      </c>
      <c r="B16" s="22">
        <v>0.60666666666666669</v>
      </c>
      <c r="C16" s="22">
        <v>0.58000000000000007</v>
      </c>
      <c r="D16" s="22">
        <v>58</v>
      </c>
      <c r="E16" s="22">
        <v>0.62</v>
      </c>
      <c r="F16" s="22">
        <v>31</v>
      </c>
      <c r="G16" s="22">
        <v>0.59333333333333338</v>
      </c>
      <c r="H16" s="22">
        <v>58</v>
      </c>
      <c r="I16" s="22">
        <v>58</v>
      </c>
      <c r="J16" s="22">
        <v>31</v>
      </c>
      <c r="K16" s="22">
        <v>0.62</v>
      </c>
      <c r="L16" s="22">
        <v>31</v>
      </c>
      <c r="N16" s="22">
        <v>31</v>
      </c>
      <c r="O16" s="22">
        <v>0.62</v>
      </c>
      <c r="Q16" s="22">
        <v>31</v>
      </c>
    </row>
    <row r="17" spans="1:17" x14ac:dyDescent="0.2">
      <c r="A17">
        <v>444882790</v>
      </c>
      <c r="B17" s="22">
        <v>0.11000000000000003</v>
      </c>
      <c r="C17" s="22">
        <v>0.05</v>
      </c>
      <c r="D17" s="22">
        <v>5</v>
      </c>
      <c r="E17" s="22">
        <v>0.14000000000000001</v>
      </c>
      <c r="F17" s="22">
        <v>7</v>
      </c>
      <c r="G17" s="22">
        <v>8.0000000000000016E-2</v>
      </c>
      <c r="H17" s="22">
        <v>5</v>
      </c>
      <c r="I17" s="22">
        <v>5</v>
      </c>
      <c r="J17" s="22">
        <v>7</v>
      </c>
      <c r="K17" s="22">
        <v>0.14000000000000001</v>
      </c>
      <c r="L17" s="22">
        <v>7</v>
      </c>
      <c r="N17" s="22">
        <v>7</v>
      </c>
      <c r="O17" s="22">
        <v>0.14000000000000001</v>
      </c>
      <c r="Q17" s="22">
        <v>7</v>
      </c>
    </row>
    <row r="18" spans="1:17" x14ac:dyDescent="0.2">
      <c r="A18">
        <v>112085131</v>
      </c>
      <c r="B18" s="22">
        <v>0.16333333333333336</v>
      </c>
      <c r="C18" s="22">
        <v>0.13</v>
      </c>
      <c r="D18" s="22">
        <v>13</v>
      </c>
      <c r="E18" s="22">
        <v>0.18</v>
      </c>
      <c r="F18" s="22">
        <v>9</v>
      </c>
      <c r="G18" s="22">
        <v>0.14666666666666667</v>
      </c>
      <c r="H18" s="22">
        <v>13</v>
      </c>
      <c r="I18" s="22">
        <v>13</v>
      </c>
      <c r="J18" s="22">
        <v>9</v>
      </c>
      <c r="K18" s="22">
        <v>0.18</v>
      </c>
      <c r="L18" s="22">
        <v>9</v>
      </c>
      <c r="N18" s="22">
        <v>9</v>
      </c>
      <c r="O18" s="22">
        <v>0.18</v>
      </c>
      <c r="Q18" s="22">
        <v>9</v>
      </c>
    </row>
    <row r="19" spans="1:17" x14ac:dyDescent="0.2">
      <c r="A19">
        <v>588642518</v>
      </c>
      <c r="B19" s="22">
        <v>0.76666666666666683</v>
      </c>
      <c r="C19" s="22">
        <v>0.94000000000000006</v>
      </c>
      <c r="D19" s="22">
        <v>94</v>
      </c>
      <c r="E19" s="22">
        <v>0.68</v>
      </c>
      <c r="F19" s="22">
        <v>34</v>
      </c>
      <c r="G19" s="22">
        <v>0.85333333333333339</v>
      </c>
      <c r="H19" s="22">
        <v>94</v>
      </c>
      <c r="I19" s="22">
        <v>94</v>
      </c>
      <c r="J19" s="22">
        <v>34</v>
      </c>
      <c r="K19" s="22">
        <v>0.68</v>
      </c>
      <c r="L19" s="22">
        <v>34</v>
      </c>
      <c r="N19" s="22">
        <v>34</v>
      </c>
      <c r="O19" s="22">
        <v>0.68</v>
      </c>
      <c r="Q19" s="22">
        <v>34</v>
      </c>
    </row>
    <row r="20" spans="1:17" x14ac:dyDescent="0.2">
      <c r="A20">
        <v>414520736</v>
      </c>
      <c r="B20" s="22">
        <v>0.3633333333333334</v>
      </c>
      <c r="C20" s="22">
        <v>0.80999999999999994</v>
      </c>
      <c r="D20" s="22">
        <v>81</v>
      </c>
      <c r="E20" s="22">
        <v>0.14000000000000001</v>
      </c>
      <c r="F20" s="22">
        <v>7</v>
      </c>
      <c r="G20" s="22">
        <v>0.58666666666666656</v>
      </c>
      <c r="H20" s="22">
        <v>81</v>
      </c>
      <c r="I20" s="22">
        <v>81</v>
      </c>
      <c r="J20" s="22">
        <v>7</v>
      </c>
      <c r="K20" s="22">
        <v>0.14000000000000001</v>
      </c>
      <c r="L20" s="22">
        <v>7</v>
      </c>
      <c r="N20" s="22">
        <v>7</v>
      </c>
      <c r="O20" s="22">
        <v>0.14000000000000001</v>
      </c>
      <c r="Q20" s="22">
        <v>7</v>
      </c>
    </row>
    <row r="21" spans="1:17" x14ac:dyDescent="0.2">
      <c r="A21">
        <v>356558346</v>
      </c>
      <c r="B21" s="22">
        <v>0.17000000000000004</v>
      </c>
      <c r="C21" s="22">
        <v>0.43</v>
      </c>
      <c r="D21" s="22">
        <v>43</v>
      </c>
      <c r="E21" s="22">
        <v>0.04</v>
      </c>
      <c r="F21" s="22">
        <v>2</v>
      </c>
      <c r="G21" s="22">
        <v>0.3</v>
      </c>
      <c r="H21" s="22">
        <v>43</v>
      </c>
      <c r="I21" s="22">
        <v>43</v>
      </c>
      <c r="J21" s="22">
        <v>2</v>
      </c>
      <c r="K21" s="22">
        <v>0.04</v>
      </c>
      <c r="L21" s="22">
        <v>2</v>
      </c>
      <c r="N21" s="22">
        <v>2</v>
      </c>
      <c r="O21" s="22">
        <v>0.04</v>
      </c>
      <c r="Q21" s="22">
        <v>2</v>
      </c>
    </row>
    <row r="22" spans="1:17" x14ac:dyDescent="0.2">
      <c r="A22">
        <v>970698993</v>
      </c>
      <c r="B22" s="22">
        <v>0.37000000000000005</v>
      </c>
      <c r="C22" s="22">
        <v>0.95</v>
      </c>
      <c r="D22" s="22">
        <v>95</v>
      </c>
      <c r="E22" s="22">
        <v>0.08</v>
      </c>
      <c r="F22" s="22">
        <v>4</v>
      </c>
      <c r="G22" s="22">
        <v>0.66</v>
      </c>
      <c r="H22" s="22">
        <v>95</v>
      </c>
      <c r="I22" s="22">
        <v>95</v>
      </c>
      <c r="J22" s="22">
        <v>4</v>
      </c>
      <c r="K22" s="22">
        <v>0.08</v>
      </c>
      <c r="L22" s="22">
        <v>4</v>
      </c>
      <c r="N22" s="22">
        <v>4</v>
      </c>
      <c r="O22" s="22">
        <v>0.08</v>
      </c>
      <c r="Q22" s="22">
        <v>4</v>
      </c>
    </row>
    <row r="23" spans="1:17" x14ac:dyDescent="0.2">
      <c r="A23">
        <v>633537205</v>
      </c>
      <c r="B23" s="22">
        <v>0.18666666666666665</v>
      </c>
      <c r="C23" s="22">
        <v>0.36</v>
      </c>
      <c r="D23" s="22">
        <v>36</v>
      </c>
      <c r="E23" s="22">
        <v>0.1</v>
      </c>
      <c r="F23" s="22">
        <v>5</v>
      </c>
      <c r="G23" s="22">
        <v>0.27333333333333332</v>
      </c>
      <c r="H23" s="22">
        <v>36</v>
      </c>
      <c r="I23" s="22">
        <v>36</v>
      </c>
      <c r="J23" s="22">
        <v>5</v>
      </c>
      <c r="K23" s="22">
        <v>0.1</v>
      </c>
      <c r="L23" s="22">
        <v>5</v>
      </c>
      <c r="N23" s="22">
        <v>5</v>
      </c>
      <c r="O23" s="22">
        <v>0.1</v>
      </c>
      <c r="Q23" s="22">
        <v>5</v>
      </c>
    </row>
    <row r="24" spans="1:17" x14ac:dyDescent="0.2">
      <c r="A24">
        <v>534292868</v>
      </c>
      <c r="B24" s="22">
        <v>0.35333333333333339</v>
      </c>
      <c r="C24" s="22">
        <v>0.9</v>
      </c>
      <c r="D24" s="22">
        <v>90</v>
      </c>
      <c r="E24" s="22">
        <v>0.08</v>
      </c>
      <c r="F24" s="22">
        <v>4</v>
      </c>
      <c r="G24" s="22">
        <v>0.62666666666666671</v>
      </c>
      <c r="H24" s="22">
        <v>90</v>
      </c>
      <c r="I24" s="22">
        <v>90</v>
      </c>
      <c r="J24" s="22">
        <v>4</v>
      </c>
      <c r="K24" s="22">
        <v>0.08</v>
      </c>
      <c r="L24" s="22">
        <v>4</v>
      </c>
      <c r="N24" s="22">
        <v>4</v>
      </c>
      <c r="O24" s="22">
        <v>0.08</v>
      </c>
      <c r="Q24" s="22">
        <v>4</v>
      </c>
    </row>
    <row r="25" spans="1:17" x14ac:dyDescent="0.2">
      <c r="A25">
        <v>816787809</v>
      </c>
      <c r="B25" s="22">
        <v>0.58333333333333337</v>
      </c>
      <c r="C25" s="22">
        <v>0.47000000000000003</v>
      </c>
      <c r="D25" s="22">
        <v>47</v>
      </c>
      <c r="E25" s="22">
        <v>0.64</v>
      </c>
      <c r="F25" s="22">
        <v>32</v>
      </c>
      <c r="G25" s="22">
        <v>0.52666666666666673</v>
      </c>
      <c r="H25" s="22">
        <v>47</v>
      </c>
      <c r="I25" s="22">
        <v>47</v>
      </c>
      <c r="J25" s="22">
        <v>32</v>
      </c>
      <c r="K25" s="22">
        <v>0.64</v>
      </c>
      <c r="L25" s="22">
        <v>32</v>
      </c>
      <c r="N25" s="22">
        <v>32</v>
      </c>
      <c r="O25" s="22">
        <v>0.64</v>
      </c>
      <c r="Q25" s="22">
        <v>32</v>
      </c>
    </row>
    <row r="26" spans="1:17" x14ac:dyDescent="0.2">
      <c r="A26">
        <v>220052551</v>
      </c>
      <c r="B26" s="22">
        <v>0.34000000000000008</v>
      </c>
      <c r="C26" s="22">
        <v>0.74</v>
      </c>
      <c r="D26" s="22">
        <v>74</v>
      </c>
      <c r="E26" s="22">
        <v>0.14000000000000001</v>
      </c>
      <c r="F26" s="22">
        <v>7</v>
      </c>
      <c r="G26" s="22">
        <v>0.53999999999999992</v>
      </c>
      <c r="H26" s="22">
        <v>74</v>
      </c>
      <c r="I26" s="22">
        <v>74</v>
      </c>
      <c r="J26" s="22">
        <v>7</v>
      </c>
      <c r="K26" s="22">
        <v>0.14000000000000001</v>
      </c>
      <c r="L26" s="22">
        <v>7</v>
      </c>
      <c r="N26" s="22">
        <v>7</v>
      </c>
      <c r="O26" s="22">
        <v>0.14000000000000001</v>
      </c>
      <c r="Q26" s="22">
        <v>7</v>
      </c>
    </row>
    <row r="27" spans="1:17" x14ac:dyDescent="0.2">
      <c r="A27">
        <v>858571733</v>
      </c>
      <c r="B27" s="22">
        <v>0.17</v>
      </c>
      <c r="C27" s="22">
        <v>0.19</v>
      </c>
      <c r="D27" s="22">
        <v>19</v>
      </c>
      <c r="E27" s="22">
        <v>0.16</v>
      </c>
      <c r="F27" s="22">
        <v>8</v>
      </c>
      <c r="G27" s="22">
        <v>0.18000000000000002</v>
      </c>
      <c r="H27" s="22">
        <v>19</v>
      </c>
      <c r="I27" s="22">
        <v>19</v>
      </c>
      <c r="J27" s="22">
        <v>8</v>
      </c>
      <c r="K27" s="22">
        <v>0.16</v>
      </c>
      <c r="L27" s="22">
        <v>8</v>
      </c>
      <c r="N27" s="22">
        <v>8</v>
      </c>
      <c r="O27" s="22">
        <v>0.16</v>
      </c>
      <c r="Q27" s="22">
        <v>8</v>
      </c>
    </row>
    <row r="28" spans="1:17" x14ac:dyDescent="0.2">
      <c r="A28">
        <v>363436152</v>
      </c>
      <c r="B28" s="22">
        <v>0.37666666666666671</v>
      </c>
      <c r="C28" s="22">
        <v>0.21000000000000002</v>
      </c>
      <c r="D28" s="22">
        <v>21</v>
      </c>
      <c r="E28" s="22">
        <v>0.46000000000000008</v>
      </c>
      <c r="F28" s="22">
        <v>23</v>
      </c>
      <c r="G28" s="22">
        <v>0.29333333333333333</v>
      </c>
      <c r="H28" s="22">
        <v>21</v>
      </c>
      <c r="I28" s="22">
        <v>21</v>
      </c>
      <c r="J28" s="22">
        <v>23</v>
      </c>
      <c r="K28" s="22">
        <v>0.46000000000000008</v>
      </c>
      <c r="L28" s="22">
        <v>23</v>
      </c>
      <c r="N28" s="22">
        <v>23</v>
      </c>
      <c r="O28" s="22">
        <v>0.46000000000000008</v>
      </c>
      <c r="Q28" s="22">
        <v>23</v>
      </c>
    </row>
    <row r="29" spans="1:17" x14ac:dyDescent="0.2">
      <c r="A29">
        <v>393495083</v>
      </c>
      <c r="B29" s="22">
        <v>0.42333333333333328</v>
      </c>
      <c r="C29" s="22">
        <v>0.90999999999999992</v>
      </c>
      <c r="D29" s="22">
        <v>91</v>
      </c>
      <c r="E29" s="22">
        <v>0.18</v>
      </c>
      <c r="F29" s="22">
        <v>9</v>
      </c>
      <c r="G29" s="22">
        <v>0.66666666666666663</v>
      </c>
      <c r="H29" s="22">
        <v>91</v>
      </c>
      <c r="I29" s="22">
        <v>91</v>
      </c>
      <c r="J29" s="22">
        <v>9</v>
      </c>
      <c r="K29" s="22">
        <v>0.18</v>
      </c>
      <c r="L29" s="22">
        <v>9</v>
      </c>
      <c r="N29" s="22">
        <v>9</v>
      </c>
      <c r="O29" s="22">
        <v>0.18</v>
      </c>
      <c r="Q29" s="22">
        <v>9</v>
      </c>
    </row>
    <row r="30" spans="1:17" x14ac:dyDescent="0.2">
      <c r="A30">
        <v>769635714</v>
      </c>
      <c r="B30" s="22">
        <v>0.72000000000000008</v>
      </c>
      <c r="C30" s="22">
        <v>0.88000000000000012</v>
      </c>
      <c r="D30" s="22">
        <v>88</v>
      </c>
      <c r="E30" s="22">
        <v>0.64</v>
      </c>
      <c r="F30" s="22">
        <v>32</v>
      </c>
      <c r="G30" s="22">
        <v>0.8</v>
      </c>
      <c r="H30" s="22">
        <v>88</v>
      </c>
      <c r="I30" s="22">
        <v>88</v>
      </c>
      <c r="J30" s="22">
        <v>32</v>
      </c>
      <c r="K30" s="22">
        <v>0.64</v>
      </c>
      <c r="L30" s="22">
        <v>32</v>
      </c>
      <c r="N30" s="22">
        <v>32</v>
      </c>
      <c r="O30" s="22">
        <v>0.64</v>
      </c>
      <c r="Q30" s="22">
        <v>32</v>
      </c>
    </row>
    <row r="31" spans="1:17" x14ac:dyDescent="0.2">
      <c r="A31">
        <v>373048949</v>
      </c>
      <c r="B31" s="22">
        <v>0.46666666666666667</v>
      </c>
      <c r="C31" s="22">
        <v>0.8</v>
      </c>
      <c r="D31" s="22">
        <v>80</v>
      </c>
      <c r="E31" s="22">
        <v>0.3</v>
      </c>
      <c r="F31" s="22">
        <v>15</v>
      </c>
      <c r="G31" s="22">
        <v>0.6333333333333333</v>
      </c>
      <c r="H31" s="22">
        <v>80</v>
      </c>
      <c r="I31" s="22">
        <v>80</v>
      </c>
      <c r="J31" s="22">
        <v>15</v>
      </c>
      <c r="K31" s="22">
        <v>0.3</v>
      </c>
      <c r="L31" s="22">
        <v>15</v>
      </c>
      <c r="N31" s="22">
        <v>15</v>
      </c>
      <c r="O31" s="22">
        <v>0.3</v>
      </c>
      <c r="Q31" s="22">
        <v>15</v>
      </c>
    </row>
    <row r="32" spans="1:17" x14ac:dyDescent="0.2">
      <c r="A32">
        <v>357061292</v>
      </c>
      <c r="B32" s="22">
        <v>0.3666666666666667</v>
      </c>
      <c r="C32" s="22">
        <v>0.1</v>
      </c>
      <c r="D32" s="22">
        <v>10</v>
      </c>
      <c r="E32" s="22">
        <v>0.5</v>
      </c>
      <c r="F32" s="22">
        <v>25</v>
      </c>
      <c r="G32" s="22">
        <v>0.23333333333333334</v>
      </c>
      <c r="H32" s="22">
        <v>10</v>
      </c>
      <c r="I32" s="22">
        <v>10</v>
      </c>
      <c r="J32" s="22">
        <v>25</v>
      </c>
      <c r="K32" s="22">
        <v>0.5</v>
      </c>
      <c r="L32" s="22">
        <v>25</v>
      </c>
      <c r="N32" s="22">
        <v>25</v>
      </c>
      <c r="O32" s="22">
        <v>0.5</v>
      </c>
      <c r="Q32" s="22">
        <v>25</v>
      </c>
    </row>
    <row r="33" spans="1:17" x14ac:dyDescent="0.2">
      <c r="A33">
        <v>837310284</v>
      </c>
      <c r="B33" s="22">
        <v>0.39</v>
      </c>
      <c r="C33" s="22">
        <v>0.45</v>
      </c>
      <c r="D33" s="22">
        <v>45</v>
      </c>
      <c r="E33" s="22">
        <v>0.36</v>
      </c>
      <c r="F33" s="22">
        <v>18</v>
      </c>
      <c r="G33" s="22">
        <v>0.42</v>
      </c>
      <c r="H33" s="22">
        <v>45</v>
      </c>
      <c r="I33" s="22">
        <v>45</v>
      </c>
      <c r="J33" s="22">
        <v>18</v>
      </c>
      <c r="K33" s="22">
        <v>0.36</v>
      </c>
      <c r="L33" s="22">
        <v>18</v>
      </c>
      <c r="N33" s="22">
        <v>18</v>
      </c>
      <c r="O33" s="22">
        <v>0.36</v>
      </c>
      <c r="Q33" s="22">
        <v>18</v>
      </c>
    </row>
    <row r="34" spans="1:17" x14ac:dyDescent="0.2">
      <c r="A34">
        <v>815854164</v>
      </c>
      <c r="B34" s="22">
        <v>0.71000000000000008</v>
      </c>
      <c r="C34" s="22">
        <v>0.89</v>
      </c>
      <c r="D34" s="22">
        <v>89</v>
      </c>
      <c r="E34" s="22">
        <v>0.62</v>
      </c>
      <c r="F34" s="22">
        <v>31</v>
      </c>
      <c r="G34" s="22">
        <v>0.8</v>
      </c>
      <c r="H34" s="22">
        <v>89</v>
      </c>
      <c r="I34" s="22">
        <v>89</v>
      </c>
      <c r="J34" s="22">
        <v>31</v>
      </c>
      <c r="K34" s="22">
        <v>0.62</v>
      </c>
      <c r="L34" s="22">
        <v>31</v>
      </c>
      <c r="N34" s="22">
        <v>31</v>
      </c>
      <c r="O34" s="22">
        <v>0.62</v>
      </c>
      <c r="Q34" s="22">
        <v>31</v>
      </c>
    </row>
    <row r="35" spans="1:17" x14ac:dyDescent="0.2">
      <c r="A35">
        <v>315378369</v>
      </c>
      <c r="B35" s="22">
        <v>0.28000000000000003</v>
      </c>
      <c r="C35" s="22">
        <v>0.12000000000000002</v>
      </c>
      <c r="D35" s="22">
        <v>12</v>
      </c>
      <c r="E35" s="22">
        <v>0.36</v>
      </c>
      <c r="F35" s="22">
        <v>18</v>
      </c>
      <c r="G35" s="22">
        <v>0.2</v>
      </c>
      <c r="H35" s="22">
        <v>12</v>
      </c>
      <c r="I35" s="22">
        <v>12</v>
      </c>
      <c r="J35" s="22">
        <v>18</v>
      </c>
      <c r="K35" s="22">
        <v>0.36</v>
      </c>
      <c r="L35" s="22">
        <v>18</v>
      </c>
      <c r="N35" s="22">
        <v>18</v>
      </c>
      <c r="O35" s="22">
        <v>0.36</v>
      </c>
      <c r="Q35" s="22">
        <v>18</v>
      </c>
    </row>
    <row r="36" spans="1:17" x14ac:dyDescent="0.2">
      <c r="A36">
        <v>564410540</v>
      </c>
      <c r="B36" s="22">
        <v>0.55000000000000004</v>
      </c>
      <c r="C36" s="22">
        <v>0.21000000000000002</v>
      </c>
      <c r="D36" s="22">
        <v>21</v>
      </c>
      <c r="E36" s="22">
        <v>0.72</v>
      </c>
      <c r="F36" s="22">
        <v>36</v>
      </c>
      <c r="G36" s="22">
        <v>0.38</v>
      </c>
      <c r="H36" s="22">
        <v>21</v>
      </c>
      <c r="I36" s="22">
        <v>21</v>
      </c>
      <c r="J36" s="22">
        <v>36</v>
      </c>
      <c r="K36" s="22">
        <v>0.72</v>
      </c>
      <c r="L36" s="22">
        <v>36</v>
      </c>
      <c r="N36" s="22">
        <v>36</v>
      </c>
      <c r="O36" s="22">
        <v>0.72</v>
      </c>
      <c r="Q36" s="22">
        <v>36</v>
      </c>
    </row>
    <row r="37" spans="1:17" x14ac:dyDescent="0.2">
      <c r="A37">
        <v>126539887</v>
      </c>
      <c r="B37" s="22">
        <v>0.4366666666666667</v>
      </c>
      <c r="C37" s="22">
        <v>7.0000000000000007E-2</v>
      </c>
      <c r="D37" s="22">
        <v>7</v>
      </c>
      <c r="E37" s="22">
        <v>0.62</v>
      </c>
      <c r="F37" s="22">
        <v>31</v>
      </c>
      <c r="G37" s="22">
        <v>0.25333333333333335</v>
      </c>
      <c r="H37" s="22">
        <v>7</v>
      </c>
      <c r="I37" s="22">
        <v>7</v>
      </c>
      <c r="J37" s="22">
        <v>31</v>
      </c>
      <c r="K37" s="22">
        <v>0.62</v>
      </c>
      <c r="L37" s="22">
        <v>31</v>
      </c>
      <c r="N37" s="22">
        <v>31</v>
      </c>
      <c r="O37" s="22">
        <v>0.62</v>
      </c>
      <c r="Q37" s="22">
        <v>31</v>
      </c>
    </row>
    <row r="38" spans="1:17" x14ac:dyDescent="0.2">
      <c r="A38">
        <v>563937624</v>
      </c>
      <c r="B38" s="22">
        <v>0.15000000000000002</v>
      </c>
      <c r="C38" s="22">
        <v>0.05</v>
      </c>
      <c r="D38" s="22">
        <v>5</v>
      </c>
      <c r="E38" s="22">
        <v>0.2</v>
      </c>
      <c r="F38" s="22">
        <v>10</v>
      </c>
      <c r="G38" s="22">
        <v>0.1</v>
      </c>
      <c r="H38" s="22">
        <v>5</v>
      </c>
      <c r="I38" s="22">
        <v>5</v>
      </c>
      <c r="J38" s="22">
        <v>10</v>
      </c>
      <c r="K38" s="22">
        <v>0.2</v>
      </c>
      <c r="L38" s="22">
        <v>10</v>
      </c>
      <c r="N38" s="22">
        <v>10</v>
      </c>
      <c r="O38" s="22">
        <v>0.2</v>
      </c>
      <c r="Q38" s="22">
        <v>10</v>
      </c>
    </row>
    <row r="39" spans="1:17" x14ac:dyDescent="0.2">
      <c r="A39">
        <v>684291511</v>
      </c>
      <c r="B39" s="22">
        <v>0.47000000000000008</v>
      </c>
      <c r="C39" s="22">
        <v>0.37</v>
      </c>
      <c r="D39" s="22">
        <v>37</v>
      </c>
      <c r="E39" s="22">
        <v>0.52</v>
      </c>
      <c r="F39" s="22">
        <v>26</v>
      </c>
      <c r="G39" s="22">
        <v>0.42000000000000004</v>
      </c>
      <c r="H39" s="22">
        <v>37</v>
      </c>
      <c r="I39" s="22">
        <v>37</v>
      </c>
      <c r="J39" s="22">
        <v>26</v>
      </c>
      <c r="K39" s="22">
        <v>0.52</v>
      </c>
      <c r="L39" s="22">
        <v>26</v>
      </c>
      <c r="N39" s="22">
        <v>26</v>
      </c>
      <c r="O39" s="22">
        <v>0.52</v>
      </c>
      <c r="Q39" s="22">
        <v>26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P39"/>
  <sheetViews>
    <sheetView workbookViewId="0">
      <selection sqref="A1:XFD1048576"/>
    </sheetView>
  </sheetViews>
  <sheetFormatPr baseColWidth="10" defaultColWidth="8.83203125" defaultRowHeight="15" x14ac:dyDescent="0.2"/>
  <sheetData>
    <row r="1" spans="1:16" x14ac:dyDescent="0.2">
      <c r="A1" t="s">
        <v>543</v>
      </c>
      <c r="C1" t="s">
        <v>671</v>
      </c>
      <c r="G1" t="s">
        <v>80</v>
      </c>
      <c r="K1" t="s">
        <v>81</v>
      </c>
    </row>
    <row r="2" spans="1:16" x14ac:dyDescent="0.2">
      <c r="D2" t="s">
        <v>65</v>
      </c>
      <c r="E2" t="s">
        <v>66</v>
      </c>
      <c r="F2" t="s">
        <v>67</v>
      </c>
      <c r="H2" t="s">
        <v>14</v>
      </c>
      <c r="I2" t="s">
        <v>16</v>
      </c>
      <c r="J2" t="s">
        <v>65</v>
      </c>
      <c r="L2" t="s">
        <v>15</v>
      </c>
      <c r="M2" t="s">
        <v>65</v>
      </c>
      <c r="N2" t="s">
        <v>66</v>
      </c>
      <c r="O2" t="s">
        <v>69</v>
      </c>
      <c r="P2" t="s">
        <v>71</v>
      </c>
    </row>
    <row r="3" spans="1:16" x14ac:dyDescent="0.2">
      <c r="D3">
        <v>100</v>
      </c>
      <c r="E3">
        <v>100</v>
      </c>
      <c r="F3">
        <v>50</v>
      </c>
      <c r="H3">
        <v>100</v>
      </c>
      <c r="I3">
        <v>100</v>
      </c>
      <c r="J3">
        <v>100</v>
      </c>
      <c r="L3">
        <v>100</v>
      </c>
      <c r="M3">
        <v>100</v>
      </c>
      <c r="N3">
        <v>100</v>
      </c>
      <c r="P3">
        <v>50</v>
      </c>
    </row>
    <row r="4" spans="1:16" x14ac:dyDescent="0.2">
      <c r="D4">
        <v>0.1</v>
      </c>
      <c r="E4">
        <v>0.1</v>
      </c>
      <c r="F4">
        <v>0.2</v>
      </c>
      <c r="H4">
        <v>0.05</v>
      </c>
      <c r="I4">
        <v>0.05</v>
      </c>
      <c r="J4">
        <v>0.1</v>
      </c>
      <c r="L4">
        <v>0.05</v>
      </c>
      <c r="M4">
        <v>0.1</v>
      </c>
      <c r="N4">
        <v>0.1</v>
      </c>
      <c r="P4">
        <v>0.2</v>
      </c>
    </row>
    <row r="5" spans="1:16" x14ac:dyDescent="0.2">
      <c r="A5">
        <v>598829620</v>
      </c>
      <c r="B5" s="22">
        <v>0.26781428571428573</v>
      </c>
      <c r="C5" s="22">
        <v>0.23333333333333334</v>
      </c>
      <c r="D5" s="22">
        <v>15</v>
      </c>
      <c r="E5" s="22">
        <v>15</v>
      </c>
      <c r="F5" s="22">
        <v>20</v>
      </c>
      <c r="G5" s="22">
        <v>0.25</v>
      </c>
      <c r="H5" s="22">
        <v>15</v>
      </c>
      <c r="I5" s="22">
        <v>55</v>
      </c>
      <c r="J5" s="22">
        <v>15</v>
      </c>
      <c r="K5" s="22">
        <v>0.31857142857142856</v>
      </c>
      <c r="L5" s="22">
        <v>83</v>
      </c>
      <c r="M5" s="22">
        <v>15</v>
      </c>
      <c r="N5" s="22">
        <v>15</v>
      </c>
      <c r="P5" s="22">
        <v>20</v>
      </c>
    </row>
    <row r="6" spans="1:16" x14ac:dyDescent="0.2">
      <c r="A6">
        <v>684014860</v>
      </c>
      <c r="B6" s="22">
        <v>0.53919642857142869</v>
      </c>
      <c r="C6" s="22">
        <v>0.56000000000000005</v>
      </c>
      <c r="D6" s="22">
        <v>56</v>
      </c>
      <c r="E6" s="22">
        <v>56</v>
      </c>
      <c r="F6" s="22">
        <v>28</v>
      </c>
      <c r="G6" s="22">
        <v>0.44250000000000006</v>
      </c>
      <c r="H6" s="22">
        <v>56</v>
      </c>
      <c r="I6" s="22">
        <v>9</v>
      </c>
      <c r="J6" s="22">
        <v>56</v>
      </c>
      <c r="K6" s="22">
        <v>0.61285714285714299</v>
      </c>
      <c r="L6" s="22">
        <v>93</v>
      </c>
      <c r="M6" s="22">
        <v>56</v>
      </c>
      <c r="N6" s="22">
        <v>56</v>
      </c>
      <c r="P6" s="22">
        <v>28</v>
      </c>
    </row>
    <row r="7" spans="1:16" x14ac:dyDescent="0.2">
      <c r="A7">
        <v>843228181</v>
      </c>
      <c r="B7" s="22">
        <v>0.51899285714285726</v>
      </c>
      <c r="C7" s="22">
        <v>0.54666666666666675</v>
      </c>
      <c r="D7" s="22">
        <v>61</v>
      </c>
      <c r="E7" s="22">
        <v>61</v>
      </c>
      <c r="F7" s="22">
        <v>21</v>
      </c>
      <c r="G7" s="22">
        <v>0.50500000000000012</v>
      </c>
      <c r="H7" s="22">
        <v>61</v>
      </c>
      <c r="I7" s="22">
        <v>19</v>
      </c>
      <c r="J7" s="22">
        <v>61</v>
      </c>
      <c r="K7" s="22">
        <v>0.50571428571428567</v>
      </c>
      <c r="L7" s="22">
        <v>26</v>
      </c>
      <c r="M7" s="22">
        <v>61</v>
      </c>
      <c r="N7" s="22">
        <v>61</v>
      </c>
      <c r="P7" s="22">
        <v>21</v>
      </c>
    </row>
    <row r="8" spans="1:16" x14ac:dyDescent="0.2">
      <c r="A8">
        <v>820549378</v>
      </c>
      <c r="B8" s="22">
        <v>0.36188928571428575</v>
      </c>
      <c r="C8" s="22">
        <v>0.3</v>
      </c>
      <c r="D8" s="22">
        <v>32</v>
      </c>
      <c r="E8" s="22">
        <v>32</v>
      </c>
      <c r="F8" s="22">
        <v>13</v>
      </c>
      <c r="G8" s="22">
        <v>0.4375</v>
      </c>
      <c r="H8" s="22">
        <v>32</v>
      </c>
      <c r="I8" s="22">
        <v>79</v>
      </c>
      <c r="J8" s="22">
        <v>32</v>
      </c>
      <c r="K8" s="22">
        <v>0.34857142857142859</v>
      </c>
      <c r="L8" s="22">
        <v>64</v>
      </c>
      <c r="M8" s="22">
        <v>32</v>
      </c>
      <c r="N8" s="22">
        <v>32</v>
      </c>
      <c r="P8" s="22">
        <v>13</v>
      </c>
    </row>
    <row r="9" spans="1:16" x14ac:dyDescent="0.2">
      <c r="A9">
        <v>533572169</v>
      </c>
      <c r="B9" s="22">
        <v>0.29885000000000006</v>
      </c>
      <c r="C9" s="22">
        <v>0.21333333333333335</v>
      </c>
      <c r="D9" s="22">
        <v>30</v>
      </c>
      <c r="E9" s="22">
        <v>30</v>
      </c>
      <c r="F9" s="22">
        <v>2</v>
      </c>
      <c r="G9" s="22">
        <v>0.44500000000000001</v>
      </c>
      <c r="H9" s="22">
        <v>30</v>
      </c>
      <c r="I9" s="22">
        <v>88</v>
      </c>
      <c r="J9" s="22">
        <v>30</v>
      </c>
      <c r="K9" s="22">
        <v>0.24000000000000002</v>
      </c>
      <c r="L9" s="22">
        <v>40</v>
      </c>
      <c r="M9" s="22">
        <v>30</v>
      </c>
      <c r="N9" s="22">
        <v>30</v>
      </c>
      <c r="P9" s="22">
        <v>2</v>
      </c>
    </row>
    <row r="10" spans="1:16" x14ac:dyDescent="0.2">
      <c r="A10">
        <v>975325712</v>
      </c>
      <c r="B10" s="22">
        <v>0.41166071428571432</v>
      </c>
      <c r="C10" s="22">
        <v>0.38666666666666666</v>
      </c>
      <c r="D10" s="22">
        <v>40</v>
      </c>
      <c r="E10" s="22">
        <v>40</v>
      </c>
      <c r="F10" s="22">
        <v>18</v>
      </c>
      <c r="G10" s="22">
        <v>0.45750000000000002</v>
      </c>
      <c r="H10" s="22">
        <v>40</v>
      </c>
      <c r="I10" s="22">
        <v>63</v>
      </c>
      <c r="J10" s="22">
        <v>40</v>
      </c>
      <c r="K10" s="22">
        <v>0.3914285714285714</v>
      </c>
      <c r="L10" s="22">
        <v>42</v>
      </c>
      <c r="M10" s="22">
        <v>40</v>
      </c>
      <c r="N10" s="22">
        <v>40</v>
      </c>
      <c r="P10" s="22">
        <v>18</v>
      </c>
    </row>
    <row r="11" spans="1:16" x14ac:dyDescent="0.2">
      <c r="A11">
        <v>310082419</v>
      </c>
      <c r="B11" s="22">
        <v>0.16091785714285717</v>
      </c>
      <c r="C11" s="22">
        <v>0.1</v>
      </c>
      <c r="D11" s="22">
        <v>4</v>
      </c>
      <c r="E11" s="22">
        <v>4</v>
      </c>
      <c r="F11" s="22">
        <v>11</v>
      </c>
      <c r="G11" s="22">
        <v>0.23750000000000004</v>
      </c>
      <c r="H11" s="22">
        <v>4</v>
      </c>
      <c r="I11" s="22">
        <v>83</v>
      </c>
      <c r="J11" s="22">
        <v>4</v>
      </c>
      <c r="K11" s="22">
        <v>0.14571428571428571</v>
      </c>
      <c r="L11" s="22">
        <v>42</v>
      </c>
      <c r="M11" s="22">
        <v>4</v>
      </c>
      <c r="N11" s="22">
        <v>4</v>
      </c>
      <c r="P11" s="22">
        <v>11</v>
      </c>
    </row>
    <row r="12" spans="1:16" x14ac:dyDescent="0.2">
      <c r="A12">
        <v>242132470</v>
      </c>
      <c r="B12" s="22">
        <v>0.26331428571428572</v>
      </c>
      <c r="C12" s="22">
        <v>0.26</v>
      </c>
      <c r="D12" s="22">
        <v>11</v>
      </c>
      <c r="E12" s="22">
        <v>11</v>
      </c>
      <c r="F12" s="22">
        <v>28</v>
      </c>
      <c r="G12" s="22">
        <v>0.22000000000000003</v>
      </c>
      <c r="H12" s="22">
        <v>11</v>
      </c>
      <c r="I12" s="22">
        <v>55</v>
      </c>
      <c r="J12" s="22">
        <v>11</v>
      </c>
      <c r="K12" s="22">
        <v>0.30857142857142861</v>
      </c>
      <c r="L12" s="22">
        <v>60</v>
      </c>
      <c r="M12" s="22">
        <v>11</v>
      </c>
      <c r="N12" s="22">
        <v>11</v>
      </c>
      <c r="P12" s="22">
        <v>28</v>
      </c>
    </row>
    <row r="13" spans="1:16" x14ac:dyDescent="0.2">
      <c r="A13">
        <v>208248363</v>
      </c>
      <c r="B13" s="22">
        <v>0.48036071428571436</v>
      </c>
      <c r="C13" s="22">
        <v>0.47333333333333338</v>
      </c>
      <c r="D13" s="22">
        <v>51</v>
      </c>
      <c r="E13" s="22">
        <v>51</v>
      </c>
      <c r="F13" s="22">
        <v>20</v>
      </c>
      <c r="G13" s="22">
        <v>0.52750000000000008</v>
      </c>
      <c r="H13" s="22">
        <v>51</v>
      </c>
      <c r="I13" s="22">
        <v>58</v>
      </c>
      <c r="J13" s="22">
        <v>51</v>
      </c>
      <c r="K13" s="22">
        <v>0.44142857142857145</v>
      </c>
      <c r="L13" s="22">
        <v>25</v>
      </c>
      <c r="M13" s="22">
        <v>51</v>
      </c>
      <c r="N13" s="22">
        <v>51</v>
      </c>
      <c r="P13" s="22">
        <v>20</v>
      </c>
    </row>
    <row r="14" spans="1:16" x14ac:dyDescent="0.2">
      <c r="A14">
        <v>277055951</v>
      </c>
      <c r="B14" s="22">
        <v>0.26486428571428577</v>
      </c>
      <c r="C14" s="22">
        <v>0.17333333333333334</v>
      </c>
      <c r="D14" s="22">
        <v>26</v>
      </c>
      <c r="E14" s="22">
        <v>26</v>
      </c>
      <c r="F14" s="22">
        <v>0</v>
      </c>
      <c r="G14" s="22">
        <v>0.43500000000000005</v>
      </c>
      <c r="H14" s="22">
        <v>26</v>
      </c>
      <c r="I14" s="22">
        <v>96</v>
      </c>
      <c r="J14" s="22">
        <v>26</v>
      </c>
      <c r="K14" s="22">
        <v>0.18857142857142856</v>
      </c>
      <c r="L14" s="22">
        <v>28</v>
      </c>
      <c r="M14" s="22">
        <v>26</v>
      </c>
      <c r="N14" s="22">
        <v>26</v>
      </c>
      <c r="P14" s="22">
        <v>0</v>
      </c>
    </row>
    <row r="15" spans="1:16" x14ac:dyDescent="0.2">
      <c r="A15">
        <v>902907559</v>
      </c>
      <c r="B15" s="22">
        <v>0.6648857142857143</v>
      </c>
      <c r="C15" s="22">
        <v>0.61333333333333329</v>
      </c>
      <c r="D15" s="22">
        <v>86</v>
      </c>
      <c r="E15" s="22">
        <v>86</v>
      </c>
      <c r="F15" s="22">
        <v>6</v>
      </c>
      <c r="G15" s="22">
        <v>0.72</v>
      </c>
      <c r="H15" s="22">
        <v>86</v>
      </c>
      <c r="I15" s="22">
        <v>30</v>
      </c>
      <c r="J15" s="22">
        <v>86</v>
      </c>
      <c r="K15" s="22">
        <v>0.66142857142857137</v>
      </c>
      <c r="L15" s="22">
        <v>95</v>
      </c>
      <c r="M15" s="22">
        <v>86</v>
      </c>
      <c r="N15" s="22">
        <v>86</v>
      </c>
      <c r="P15" s="22">
        <v>6</v>
      </c>
    </row>
    <row r="16" spans="1:16" x14ac:dyDescent="0.2">
      <c r="A16">
        <v>528297980</v>
      </c>
      <c r="B16" s="22">
        <v>0.61255714285714291</v>
      </c>
      <c r="C16" s="22">
        <v>0.59333333333333338</v>
      </c>
      <c r="D16" s="22">
        <v>58</v>
      </c>
      <c r="E16" s="22">
        <v>58</v>
      </c>
      <c r="F16" s="22">
        <v>31</v>
      </c>
      <c r="G16" s="22">
        <v>0.63000000000000012</v>
      </c>
      <c r="H16" s="22">
        <v>58</v>
      </c>
      <c r="I16" s="22">
        <v>78</v>
      </c>
      <c r="J16" s="22">
        <v>58</v>
      </c>
      <c r="K16" s="22">
        <v>0.61428571428571432</v>
      </c>
      <c r="L16" s="22">
        <v>74</v>
      </c>
      <c r="M16" s="22">
        <v>58</v>
      </c>
      <c r="N16" s="22">
        <v>58</v>
      </c>
      <c r="P16" s="22">
        <v>31</v>
      </c>
    </row>
    <row r="17" spans="1:16" x14ac:dyDescent="0.2">
      <c r="A17">
        <v>444882790</v>
      </c>
      <c r="B17" s="22">
        <v>0.11195714285714287</v>
      </c>
      <c r="C17" s="22">
        <v>8.0000000000000016E-2</v>
      </c>
      <c r="D17" s="22">
        <v>5</v>
      </c>
      <c r="E17" s="22">
        <v>5</v>
      </c>
      <c r="F17" s="22">
        <v>7</v>
      </c>
      <c r="G17" s="22">
        <v>0.09</v>
      </c>
      <c r="H17" s="22">
        <v>5</v>
      </c>
      <c r="I17" s="22">
        <v>21</v>
      </c>
      <c r="J17" s="22">
        <v>5</v>
      </c>
      <c r="K17" s="22">
        <v>0.16428571428571428</v>
      </c>
      <c r="L17" s="22">
        <v>67</v>
      </c>
      <c r="M17" s="22">
        <v>5</v>
      </c>
      <c r="N17" s="22">
        <v>5</v>
      </c>
      <c r="P17" s="22">
        <v>7</v>
      </c>
    </row>
    <row r="18" spans="1:16" x14ac:dyDescent="0.2">
      <c r="A18">
        <v>112085131</v>
      </c>
      <c r="B18" s="22">
        <v>0.20938571428571429</v>
      </c>
      <c r="C18" s="22">
        <v>0.14666666666666667</v>
      </c>
      <c r="D18" s="22">
        <v>13</v>
      </c>
      <c r="E18" s="22">
        <v>13</v>
      </c>
      <c r="F18" s="22">
        <v>9</v>
      </c>
      <c r="G18" s="22">
        <v>0.27</v>
      </c>
      <c r="H18" s="22">
        <v>13</v>
      </c>
      <c r="I18" s="22">
        <v>69</v>
      </c>
      <c r="J18" s="22">
        <v>13</v>
      </c>
      <c r="K18" s="22">
        <v>0.21142857142857141</v>
      </c>
      <c r="L18" s="22">
        <v>60</v>
      </c>
      <c r="M18" s="22">
        <v>13</v>
      </c>
      <c r="N18" s="22">
        <v>13</v>
      </c>
      <c r="P18" s="22">
        <v>9</v>
      </c>
    </row>
    <row r="19" spans="1:16" x14ac:dyDescent="0.2">
      <c r="A19">
        <v>588642518</v>
      </c>
      <c r="B19" s="22">
        <v>0.82018214285714286</v>
      </c>
      <c r="C19" s="22">
        <v>0.85333333333333339</v>
      </c>
      <c r="D19" s="22">
        <v>94</v>
      </c>
      <c r="E19" s="22">
        <v>94</v>
      </c>
      <c r="F19" s="22">
        <v>34</v>
      </c>
      <c r="G19" s="22">
        <v>0.77250000000000008</v>
      </c>
      <c r="H19" s="22">
        <v>94</v>
      </c>
      <c r="I19" s="22">
        <v>27</v>
      </c>
      <c r="J19" s="22">
        <v>94</v>
      </c>
      <c r="K19" s="22">
        <v>0.8342857142857143</v>
      </c>
      <c r="L19" s="22">
        <v>72</v>
      </c>
      <c r="M19" s="22">
        <v>94</v>
      </c>
      <c r="N19" s="22">
        <v>94</v>
      </c>
      <c r="P19" s="22">
        <v>34</v>
      </c>
    </row>
    <row r="20" spans="1:16" x14ac:dyDescent="0.2">
      <c r="A20">
        <v>414520736</v>
      </c>
      <c r="B20" s="22">
        <v>0.62318928571428578</v>
      </c>
      <c r="C20" s="22">
        <v>0.58666666666666656</v>
      </c>
      <c r="D20" s="22">
        <v>81</v>
      </c>
      <c r="E20" s="22">
        <v>81</v>
      </c>
      <c r="F20" s="22">
        <v>7</v>
      </c>
      <c r="G20" s="22">
        <v>0.76749999999999996</v>
      </c>
      <c r="H20" s="22">
        <v>81</v>
      </c>
      <c r="I20" s="22">
        <v>64</v>
      </c>
      <c r="J20" s="22">
        <v>81</v>
      </c>
      <c r="K20" s="22">
        <v>0.51857142857142857</v>
      </c>
      <c r="L20" s="22">
        <v>11</v>
      </c>
      <c r="M20" s="22">
        <v>81</v>
      </c>
      <c r="N20" s="22">
        <v>81</v>
      </c>
      <c r="P20" s="22">
        <v>7</v>
      </c>
    </row>
    <row r="21" spans="1:16" x14ac:dyDescent="0.2">
      <c r="A21">
        <v>356558346</v>
      </c>
      <c r="B21" s="22">
        <v>0.35508928571428572</v>
      </c>
      <c r="C21" s="22">
        <v>0.3</v>
      </c>
      <c r="D21" s="22">
        <v>43</v>
      </c>
      <c r="E21" s="22">
        <v>43</v>
      </c>
      <c r="F21" s="22">
        <v>2</v>
      </c>
      <c r="G21" s="22">
        <v>0.4375</v>
      </c>
      <c r="H21" s="22">
        <v>43</v>
      </c>
      <c r="I21" s="22">
        <v>46</v>
      </c>
      <c r="J21" s="22">
        <v>43</v>
      </c>
      <c r="K21" s="22">
        <v>0.32857142857142857</v>
      </c>
      <c r="L21" s="22">
        <v>50</v>
      </c>
      <c r="M21" s="22">
        <v>43</v>
      </c>
      <c r="N21" s="22">
        <v>43</v>
      </c>
      <c r="P21" s="22">
        <v>2</v>
      </c>
    </row>
    <row r="22" spans="1:16" x14ac:dyDescent="0.2">
      <c r="A22">
        <v>970698993</v>
      </c>
      <c r="B22" s="22">
        <v>0.6955285714285715</v>
      </c>
      <c r="C22" s="22">
        <v>0.66</v>
      </c>
      <c r="D22" s="22">
        <v>95</v>
      </c>
      <c r="E22" s="22">
        <v>95</v>
      </c>
      <c r="F22" s="22">
        <v>4</v>
      </c>
      <c r="G22" s="22">
        <v>0.75</v>
      </c>
      <c r="H22" s="22">
        <v>95</v>
      </c>
      <c r="I22" s="22">
        <v>15</v>
      </c>
      <c r="J22" s="22">
        <v>95</v>
      </c>
      <c r="K22" s="22">
        <v>0.67714285714285716</v>
      </c>
      <c r="L22" s="22">
        <v>78</v>
      </c>
      <c r="M22" s="22">
        <v>95</v>
      </c>
      <c r="N22" s="22">
        <v>95</v>
      </c>
      <c r="P22" s="22">
        <v>4</v>
      </c>
    </row>
    <row r="23" spans="1:16" x14ac:dyDescent="0.2">
      <c r="A23">
        <v>633537205</v>
      </c>
      <c r="B23" s="22">
        <v>0.34171785714285718</v>
      </c>
      <c r="C23" s="22">
        <v>0.27333333333333332</v>
      </c>
      <c r="D23" s="22">
        <v>36</v>
      </c>
      <c r="E23" s="22">
        <v>36</v>
      </c>
      <c r="F23" s="22">
        <v>5</v>
      </c>
      <c r="G23" s="22">
        <v>0.45750000000000002</v>
      </c>
      <c r="H23" s="22">
        <v>36</v>
      </c>
      <c r="I23" s="22">
        <v>75</v>
      </c>
      <c r="J23" s="22">
        <v>36</v>
      </c>
      <c r="K23" s="22">
        <v>0.29571428571428571</v>
      </c>
      <c r="L23" s="22">
        <v>43</v>
      </c>
      <c r="M23" s="22">
        <v>36</v>
      </c>
      <c r="N23" s="22">
        <v>36</v>
      </c>
      <c r="P23" s="22">
        <v>5</v>
      </c>
    </row>
    <row r="24" spans="1:16" x14ac:dyDescent="0.2">
      <c r="A24">
        <v>534292868</v>
      </c>
      <c r="B24" s="22">
        <v>0.66482142857142856</v>
      </c>
      <c r="C24" s="22">
        <v>0.62666666666666671</v>
      </c>
      <c r="D24" s="22">
        <v>90</v>
      </c>
      <c r="E24" s="22">
        <v>90</v>
      </c>
      <c r="F24" s="22">
        <v>4</v>
      </c>
      <c r="G24" s="22">
        <v>0.70499999999999996</v>
      </c>
      <c r="H24" s="22">
        <v>90</v>
      </c>
      <c r="I24" s="22">
        <v>12</v>
      </c>
      <c r="J24" s="22">
        <v>90</v>
      </c>
      <c r="K24" s="22">
        <v>0.66285714285714281</v>
      </c>
      <c r="L24" s="22">
        <v>88</v>
      </c>
      <c r="M24" s="22">
        <v>90</v>
      </c>
      <c r="N24" s="22">
        <v>90</v>
      </c>
      <c r="P24" s="22">
        <v>4</v>
      </c>
    </row>
    <row r="25" spans="1:16" x14ac:dyDescent="0.2">
      <c r="A25">
        <v>816787809</v>
      </c>
      <c r="B25" s="22">
        <v>0.48856071428571435</v>
      </c>
      <c r="C25" s="22">
        <v>0.52666666666666673</v>
      </c>
      <c r="D25" s="22">
        <v>47</v>
      </c>
      <c r="E25" s="22">
        <v>47</v>
      </c>
      <c r="F25" s="22">
        <v>32</v>
      </c>
      <c r="G25" s="22">
        <v>0.44749999999999995</v>
      </c>
      <c r="H25" s="22">
        <v>47</v>
      </c>
      <c r="I25" s="22">
        <v>38</v>
      </c>
      <c r="J25" s="22">
        <v>47</v>
      </c>
      <c r="K25" s="22">
        <v>0.49142857142857149</v>
      </c>
      <c r="L25" s="22">
        <v>28</v>
      </c>
      <c r="M25" s="22">
        <v>47</v>
      </c>
      <c r="N25" s="22">
        <v>47</v>
      </c>
      <c r="P25" s="22">
        <v>32</v>
      </c>
    </row>
    <row r="26" spans="1:16" x14ac:dyDescent="0.2">
      <c r="A26">
        <v>220052551</v>
      </c>
      <c r="B26" s="22">
        <v>0.59588571428571424</v>
      </c>
      <c r="C26" s="22">
        <v>0.53999999999999992</v>
      </c>
      <c r="D26" s="22">
        <v>74</v>
      </c>
      <c r="E26" s="22">
        <v>74</v>
      </c>
      <c r="F26" s="22">
        <v>7</v>
      </c>
      <c r="G26" s="22">
        <v>0.78</v>
      </c>
      <c r="H26" s="22">
        <v>74</v>
      </c>
      <c r="I26" s="22">
        <v>90</v>
      </c>
      <c r="J26" s="22">
        <v>74</v>
      </c>
      <c r="K26" s="22">
        <v>0.47142857142857142</v>
      </c>
      <c r="L26" s="22">
        <v>6</v>
      </c>
      <c r="M26" s="22">
        <v>74</v>
      </c>
      <c r="N26" s="22">
        <v>74</v>
      </c>
      <c r="P26" s="22">
        <v>7</v>
      </c>
    </row>
    <row r="27" spans="1:16" x14ac:dyDescent="0.2">
      <c r="A27">
        <v>858571733</v>
      </c>
      <c r="B27" s="22">
        <v>0.22151785714285718</v>
      </c>
      <c r="C27" s="22">
        <v>0.18000000000000002</v>
      </c>
      <c r="D27" s="22">
        <v>19</v>
      </c>
      <c r="E27" s="22">
        <v>19</v>
      </c>
      <c r="F27" s="22">
        <v>8</v>
      </c>
      <c r="G27" s="22">
        <v>0.21750000000000003</v>
      </c>
      <c r="H27" s="22">
        <v>19</v>
      </c>
      <c r="I27" s="22">
        <v>30</v>
      </c>
      <c r="J27" s="22">
        <v>19</v>
      </c>
      <c r="K27" s="22">
        <v>0.26571428571428574</v>
      </c>
      <c r="L27" s="22">
        <v>78</v>
      </c>
      <c r="M27" s="22">
        <v>19</v>
      </c>
      <c r="N27" s="22">
        <v>19</v>
      </c>
      <c r="P27" s="22">
        <v>8</v>
      </c>
    </row>
    <row r="28" spans="1:16" x14ac:dyDescent="0.2">
      <c r="A28">
        <v>363436152</v>
      </c>
      <c r="B28" s="22">
        <v>0.2956571428571429</v>
      </c>
      <c r="C28" s="22">
        <v>0.29333333333333333</v>
      </c>
      <c r="D28" s="22">
        <v>21</v>
      </c>
      <c r="E28" s="22">
        <v>21</v>
      </c>
      <c r="F28" s="22">
        <v>23</v>
      </c>
      <c r="G28" s="22">
        <v>0.32</v>
      </c>
      <c r="H28" s="22">
        <v>21</v>
      </c>
      <c r="I28" s="22">
        <v>65</v>
      </c>
      <c r="J28" s="22">
        <v>21</v>
      </c>
      <c r="K28" s="22">
        <v>0.2742857142857143</v>
      </c>
      <c r="L28" s="22">
        <v>16</v>
      </c>
      <c r="M28" s="22">
        <v>21</v>
      </c>
      <c r="N28" s="22">
        <v>21</v>
      </c>
      <c r="P28" s="22">
        <v>23</v>
      </c>
    </row>
    <row r="29" spans="1:16" x14ac:dyDescent="0.2">
      <c r="A29">
        <v>393495083</v>
      </c>
      <c r="B29" s="22">
        <v>0.701075</v>
      </c>
      <c r="C29" s="22">
        <v>0.66666666666666663</v>
      </c>
      <c r="D29" s="22">
        <v>91</v>
      </c>
      <c r="E29" s="22">
        <v>91</v>
      </c>
      <c r="F29" s="22">
        <v>9</v>
      </c>
      <c r="G29" s="22">
        <v>0.76749999999999996</v>
      </c>
      <c r="H29" s="22">
        <v>91</v>
      </c>
      <c r="I29" s="22">
        <v>34</v>
      </c>
      <c r="J29" s="22">
        <v>91</v>
      </c>
      <c r="K29" s="22">
        <v>0.66999999999999993</v>
      </c>
      <c r="L29" s="22">
        <v>69</v>
      </c>
      <c r="M29" s="22">
        <v>91</v>
      </c>
      <c r="N29" s="22">
        <v>91</v>
      </c>
      <c r="P29" s="22">
        <v>9</v>
      </c>
    </row>
    <row r="30" spans="1:16" x14ac:dyDescent="0.2">
      <c r="A30">
        <v>769635714</v>
      </c>
      <c r="B30" s="22">
        <v>0.76704642857142868</v>
      </c>
      <c r="C30" s="22">
        <v>0.8</v>
      </c>
      <c r="D30" s="22">
        <v>88</v>
      </c>
      <c r="E30" s="22">
        <v>88</v>
      </c>
      <c r="F30" s="22">
        <v>32</v>
      </c>
      <c r="G30" s="22">
        <v>0.70750000000000013</v>
      </c>
      <c r="H30" s="22">
        <v>88</v>
      </c>
      <c r="I30" s="22">
        <v>19</v>
      </c>
      <c r="J30" s="22">
        <v>88</v>
      </c>
      <c r="K30" s="22">
        <v>0.79285714285714282</v>
      </c>
      <c r="L30" s="22">
        <v>75</v>
      </c>
      <c r="M30" s="22">
        <v>88</v>
      </c>
      <c r="N30" s="22">
        <v>88</v>
      </c>
      <c r="P30" s="22">
        <v>32</v>
      </c>
    </row>
    <row r="31" spans="1:16" x14ac:dyDescent="0.2">
      <c r="A31">
        <v>373048949</v>
      </c>
      <c r="B31" s="22">
        <v>0.63386071428571433</v>
      </c>
      <c r="C31" s="22">
        <v>0.6333333333333333</v>
      </c>
      <c r="D31" s="22">
        <v>80</v>
      </c>
      <c r="E31" s="22">
        <v>80</v>
      </c>
      <c r="F31" s="22">
        <v>15</v>
      </c>
      <c r="G31" s="22">
        <v>0.65749999999999997</v>
      </c>
      <c r="H31" s="22">
        <v>80</v>
      </c>
      <c r="I31" s="22">
        <v>23</v>
      </c>
      <c r="J31" s="22">
        <v>80</v>
      </c>
      <c r="K31" s="22">
        <v>0.61142857142857143</v>
      </c>
      <c r="L31" s="22">
        <v>48</v>
      </c>
      <c r="M31" s="22">
        <v>80</v>
      </c>
      <c r="N31" s="22">
        <v>80</v>
      </c>
      <c r="P31" s="22">
        <v>15</v>
      </c>
    </row>
    <row r="32" spans="1:16" x14ac:dyDescent="0.2">
      <c r="A32">
        <v>357061292</v>
      </c>
      <c r="B32" s="22">
        <v>0.24409999999999998</v>
      </c>
      <c r="C32" s="22">
        <v>0.23333333333333334</v>
      </c>
      <c r="D32" s="22">
        <v>10</v>
      </c>
      <c r="E32" s="22">
        <v>10</v>
      </c>
      <c r="F32" s="22">
        <v>25</v>
      </c>
      <c r="G32" s="22">
        <v>0.28999999999999998</v>
      </c>
      <c r="H32" s="22">
        <v>10</v>
      </c>
      <c r="I32" s="22">
        <v>86</v>
      </c>
      <c r="J32" s="22">
        <v>10</v>
      </c>
      <c r="K32" s="22">
        <v>0.21</v>
      </c>
      <c r="L32" s="22">
        <v>7</v>
      </c>
      <c r="M32" s="22">
        <v>10</v>
      </c>
      <c r="N32" s="22">
        <v>10</v>
      </c>
      <c r="P32" s="22">
        <v>25</v>
      </c>
    </row>
    <row r="33" spans="1:16" x14ac:dyDescent="0.2">
      <c r="A33">
        <v>837310284</v>
      </c>
      <c r="B33" s="22">
        <v>0.41032500000000005</v>
      </c>
      <c r="C33" s="22">
        <v>0.42</v>
      </c>
      <c r="D33" s="22">
        <v>45</v>
      </c>
      <c r="E33" s="22">
        <v>45</v>
      </c>
      <c r="F33" s="22">
        <v>18</v>
      </c>
      <c r="G33" s="22">
        <v>0.45250000000000001</v>
      </c>
      <c r="H33" s="22">
        <v>45</v>
      </c>
      <c r="I33" s="22">
        <v>46</v>
      </c>
      <c r="J33" s="22">
        <v>45</v>
      </c>
      <c r="K33" s="22">
        <v>0.36</v>
      </c>
      <c r="L33" s="22">
        <v>0</v>
      </c>
      <c r="M33" s="22">
        <v>45</v>
      </c>
      <c r="N33" s="22">
        <v>45</v>
      </c>
      <c r="P33" s="22">
        <v>18</v>
      </c>
    </row>
    <row r="34" spans="1:16" x14ac:dyDescent="0.2">
      <c r="A34">
        <v>815854164</v>
      </c>
      <c r="B34" s="22">
        <v>0.76666785714285723</v>
      </c>
      <c r="C34" s="22">
        <v>0.8</v>
      </c>
      <c r="D34" s="22">
        <v>89</v>
      </c>
      <c r="E34" s="22">
        <v>89</v>
      </c>
      <c r="F34" s="22">
        <v>31</v>
      </c>
      <c r="G34" s="22">
        <v>0.67249999999999999</v>
      </c>
      <c r="H34" s="22">
        <v>89</v>
      </c>
      <c r="I34" s="22">
        <v>2</v>
      </c>
      <c r="J34" s="22">
        <v>89</v>
      </c>
      <c r="K34" s="22">
        <v>0.82571428571428573</v>
      </c>
      <c r="L34" s="22">
        <v>98</v>
      </c>
      <c r="M34" s="22">
        <v>89</v>
      </c>
      <c r="N34" s="22">
        <v>89</v>
      </c>
      <c r="P34" s="22">
        <v>31</v>
      </c>
    </row>
    <row r="35" spans="1:16" x14ac:dyDescent="0.2">
      <c r="A35">
        <v>315378369</v>
      </c>
      <c r="B35" s="22">
        <v>0.20190357142857146</v>
      </c>
      <c r="C35" s="22">
        <v>0.2</v>
      </c>
      <c r="D35" s="22">
        <v>12</v>
      </c>
      <c r="E35" s="22">
        <v>12</v>
      </c>
      <c r="F35" s="22">
        <v>18</v>
      </c>
      <c r="G35" s="22">
        <v>0.16750000000000004</v>
      </c>
      <c r="H35" s="22">
        <v>12</v>
      </c>
      <c r="I35" s="22">
        <v>31</v>
      </c>
      <c r="J35" s="22">
        <v>12</v>
      </c>
      <c r="K35" s="22">
        <v>0.23714285714285716</v>
      </c>
      <c r="L35" s="22">
        <v>46</v>
      </c>
      <c r="M35" s="22">
        <v>12</v>
      </c>
      <c r="N35" s="22">
        <v>12</v>
      </c>
      <c r="P35" s="22">
        <v>18</v>
      </c>
    </row>
    <row r="36" spans="1:16" x14ac:dyDescent="0.2">
      <c r="A36">
        <v>564410540</v>
      </c>
      <c r="B36" s="22">
        <v>0.35937500000000006</v>
      </c>
      <c r="C36" s="22">
        <v>0.38</v>
      </c>
      <c r="D36" s="22">
        <v>21</v>
      </c>
      <c r="E36" s="22">
        <v>21</v>
      </c>
      <c r="F36" s="22">
        <v>36</v>
      </c>
      <c r="G36" s="22">
        <v>0.3175</v>
      </c>
      <c r="H36" s="22">
        <v>21</v>
      </c>
      <c r="I36" s="22">
        <v>64</v>
      </c>
      <c r="J36" s="22">
        <v>21</v>
      </c>
      <c r="K36" s="22">
        <v>0.38</v>
      </c>
      <c r="L36" s="22">
        <v>38</v>
      </c>
      <c r="M36" s="22">
        <v>21</v>
      </c>
      <c r="N36" s="22">
        <v>21</v>
      </c>
      <c r="P36" s="22">
        <v>36</v>
      </c>
    </row>
    <row r="37" spans="1:16" x14ac:dyDescent="0.2">
      <c r="A37">
        <v>126539887</v>
      </c>
      <c r="B37" s="22">
        <v>0.29068214285714289</v>
      </c>
      <c r="C37" s="22">
        <v>0.25333333333333335</v>
      </c>
      <c r="D37" s="22">
        <v>7</v>
      </c>
      <c r="E37" s="22">
        <v>7</v>
      </c>
      <c r="F37" s="22">
        <v>31</v>
      </c>
      <c r="G37" s="22">
        <v>0.26250000000000001</v>
      </c>
      <c r="H37" s="22">
        <v>7</v>
      </c>
      <c r="I37" s="22">
        <v>84</v>
      </c>
      <c r="J37" s="22">
        <v>7</v>
      </c>
      <c r="K37" s="22">
        <v>0.35428571428571437</v>
      </c>
      <c r="L37" s="22">
        <v>96</v>
      </c>
      <c r="M37" s="22">
        <v>7</v>
      </c>
      <c r="N37" s="22">
        <v>7</v>
      </c>
      <c r="P37" s="22">
        <v>31</v>
      </c>
    </row>
    <row r="38" spans="1:16" x14ac:dyDescent="0.2">
      <c r="A38">
        <v>563937624</v>
      </c>
      <c r="B38" s="22">
        <v>0.20262857142857144</v>
      </c>
      <c r="C38" s="22">
        <v>0.1</v>
      </c>
      <c r="D38" s="22">
        <v>5</v>
      </c>
      <c r="E38" s="22">
        <v>5</v>
      </c>
      <c r="F38" s="22">
        <v>10</v>
      </c>
      <c r="G38" s="22">
        <v>0.28000000000000003</v>
      </c>
      <c r="H38" s="22">
        <v>5</v>
      </c>
      <c r="I38" s="22">
        <v>97</v>
      </c>
      <c r="J38" s="22">
        <v>5</v>
      </c>
      <c r="K38" s="22">
        <v>0.22714285714285715</v>
      </c>
      <c r="L38" s="22">
        <v>99</v>
      </c>
      <c r="M38" s="22">
        <v>5</v>
      </c>
      <c r="N38" s="22">
        <v>5</v>
      </c>
      <c r="P38" s="22">
        <v>10</v>
      </c>
    </row>
    <row r="39" spans="1:16" x14ac:dyDescent="0.2">
      <c r="A39">
        <v>684291511</v>
      </c>
      <c r="B39" s="22">
        <v>0.43091071428571437</v>
      </c>
      <c r="C39" s="22">
        <v>0.42000000000000004</v>
      </c>
      <c r="D39" s="22">
        <v>37</v>
      </c>
      <c r="E39" s="22">
        <v>37</v>
      </c>
      <c r="F39" s="22">
        <v>26</v>
      </c>
      <c r="G39" s="22">
        <v>0.4825000000000001</v>
      </c>
      <c r="H39" s="22">
        <v>37</v>
      </c>
      <c r="I39" s="22">
        <v>82</v>
      </c>
      <c r="J39" s="22">
        <v>37</v>
      </c>
      <c r="K39" s="22">
        <v>0.3914285714285714</v>
      </c>
      <c r="L39" s="22">
        <v>22</v>
      </c>
      <c r="M39" s="22">
        <v>37</v>
      </c>
      <c r="N39" s="22">
        <v>37</v>
      </c>
      <c r="P39" s="22">
        <v>26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3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4" bestFit="1" customWidth="1"/>
    <col min="2" max="2" width="7" bestFit="1" customWidth="1"/>
    <col min="3" max="3" width="4.5" bestFit="1" customWidth="1"/>
    <col min="4" max="5" width="6.5" bestFit="1" customWidth="1"/>
    <col min="6" max="6" width="5" bestFit="1" customWidth="1"/>
  </cols>
  <sheetData>
    <row r="1" spans="1:9" x14ac:dyDescent="0.2">
      <c r="A1" t="s">
        <v>547</v>
      </c>
      <c r="C1" t="s">
        <v>672</v>
      </c>
      <c r="F1" t="s">
        <v>673</v>
      </c>
    </row>
    <row r="2" spans="1:9" x14ac:dyDescent="0.2">
      <c r="D2" t="s">
        <v>67</v>
      </c>
      <c r="E2" t="s">
        <v>72</v>
      </c>
      <c r="G2" t="s">
        <v>13</v>
      </c>
      <c r="H2" t="s">
        <v>64</v>
      </c>
      <c r="I2" t="s">
        <v>72</v>
      </c>
    </row>
    <row r="3" spans="1:9" x14ac:dyDescent="0.2">
      <c r="D3">
        <v>50</v>
      </c>
      <c r="E3">
        <v>50</v>
      </c>
      <c r="G3">
        <v>5</v>
      </c>
      <c r="H3">
        <v>40</v>
      </c>
      <c r="I3">
        <v>50</v>
      </c>
    </row>
    <row r="4" spans="1:9" x14ac:dyDescent="0.2">
      <c r="D4">
        <v>0.2</v>
      </c>
      <c r="E4">
        <v>0.2</v>
      </c>
      <c r="G4">
        <v>1</v>
      </c>
      <c r="H4">
        <v>0.125</v>
      </c>
      <c r="I4">
        <v>0.2</v>
      </c>
    </row>
    <row r="5" spans="1:9" x14ac:dyDescent="0.2">
      <c r="A5">
        <v>598829620</v>
      </c>
      <c r="B5" s="22">
        <v>0.4</v>
      </c>
      <c r="C5" s="22">
        <v>0.4</v>
      </c>
      <c r="D5" s="22">
        <v>20</v>
      </c>
      <c r="E5" s="22">
        <v>20</v>
      </c>
      <c r="F5" s="22">
        <v>0.4</v>
      </c>
      <c r="G5" s="22">
        <v>3</v>
      </c>
      <c r="H5" s="22">
        <v>8</v>
      </c>
      <c r="I5" s="22">
        <v>20</v>
      </c>
    </row>
    <row r="6" spans="1:9" x14ac:dyDescent="0.2">
      <c r="A6">
        <v>684014860</v>
      </c>
      <c r="B6" s="22">
        <v>0.58875000000000011</v>
      </c>
      <c r="C6" s="22">
        <v>0.56000000000000005</v>
      </c>
      <c r="D6" s="22">
        <v>28</v>
      </c>
      <c r="E6" s="22">
        <v>28</v>
      </c>
      <c r="F6" s="22">
        <v>0.61750000000000005</v>
      </c>
      <c r="G6" s="22">
        <v>4</v>
      </c>
      <c r="H6" s="22">
        <v>22</v>
      </c>
      <c r="I6" s="22">
        <v>28</v>
      </c>
    </row>
    <row r="7" spans="1:9" x14ac:dyDescent="0.2">
      <c r="A7">
        <v>843228181</v>
      </c>
      <c r="B7" s="22">
        <v>0.49937500000000001</v>
      </c>
      <c r="C7" s="22">
        <v>0.42000000000000004</v>
      </c>
      <c r="D7" s="22">
        <v>21</v>
      </c>
      <c r="E7" s="22">
        <v>21</v>
      </c>
      <c r="F7" s="22">
        <v>0.57874999999999999</v>
      </c>
      <c r="G7" s="22">
        <v>5</v>
      </c>
      <c r="H7" s="22">
        <v>19</v>
      </c>
      <c r="I7" s="22">
        <v>21</v>
      </c>
    </row>
    <row r="8" spans="1:9" x14ac:dyDescent="0.2">
      <c r="A8">
        <v>820549378</v>
      </c>
      <c r="B8" s="22">
        <v>0.39187499999999997</v>
      </c>
      <c r="C8" s="22">
        <v>0.26</v>
      </c>
      <c r="D8" s="22">
        <v>13</v>
      </c>
      <c r="E8" s="22">
        <v>13</v>
      </c>
      <c r="F8" s="22">
        <v>0.52374999999999994</v>
      </c>
      <c r="G8" s="22">
        <v>4</v>
      </c>
      <c r="H8" s="22">
        <v>31</v>
      </c>
      <c r="I8" s="22">
        <v>13</v>
      </c>
    </row>
    <row r="9" spans="1:9" x14ac:dyDescent="0.2">
      <c r="A9">
        <v>533572169</v>
      </c>
      <c r="B9" s="22">
        <v>0.114375</v>
      </c>
      <c r="C9" s="22">
        <v>0.04</v>
      </c>
      <c r="D9" s="22">
        <v>2</v>
      </c>
      <c r="E9" s="22">
        <v>2</v>
      </c>
      <c r="F9" s="22">
        <v>0.18875</v>
      </c>
      <c r="G9" s="22">
        <v>0</v>
      </c>
      <c r="H9" s="22">
        <v>27</v>
      </c>
      <c r="I9" s="22">
        <v>2</v>
      </c>
    </row>
    <row r="10" spans="1:9" x14ac:dyDescent="0.2">
      <c r="A10">
        <v>975325712</v>
      </c>
      <c r="B10" s="22">
        <v>0.323125</v>
      </c>
      <c r="C10" s="22">
        <v>0.36</v>
      </c>
      <c r="D10" s="22">
        <v>18</v>
      </c>
      <c r="E10" s="22">
        <v>18</v>
      </c>
      <c r="F10" s="22">
        <v>0.28625</v>
      </c>
      <c r="G10" s="22">
        <v>2</v>
      </c>
      <c r="H10" s="22">
        <v>1</v>
      </c>
      <c r="I10" s="22">
        <v>18</v>
      </c>
    </row>
    <row r="11" spans="1:9" x14ac:dyDescent="0.2">
      <c r="A11">
        <v>310082419</v>
      </c>
      <c r="B11" s="22">
        <v>0.29312500000000002</v>
      </c>
      <c r="C11" s="22">
        <v>0.22000000000000003</v>
      </c>
      <c r="D11" s="22">
        <v>11</v>
      </c>
      <c r="E11" s="22">
        <v>11</v>
      </c>
      <c r="F11" s="22">
        <v>0.36625000000000002</v>
      </c>
      <c r="G11" s="22">
        <v>3</v>
      </c>
      <c r="H11" s="22">
        <v>17</v>
      </c>
      <c r="I11" s="22">
        <v>11</v>
      </c>
    </row>
    <row r="12" spans="1:9" x14ac:dyDescent="0.2">
      <c r="A12">
        <v>242132470</v>
      </c>
      <c r="B12" s="22">
        <v>0.44812500000000005</v>
      </c>
      <c r="C12" s="22">
        <v>0.56000000000000005</v>
      </c>
      <c r="D12" s="22">
        <v>28</v>
      </c>
      <c r="E12" s="22">
        <v>28</v>
      </c>
      <c r="F12" s="22">
        <v>0.33625000000000005</v>
      </c>
      <c r="G12" s="22">
        <v>0</v>
      </c>
      <c r="H12" s="22">
        <v>9</v>
      </c>
      <c r="I12" s="22">
        <v>28</v>
      </c>
    </row>
    <row r="13" spans="1:9" x14ac:dyDescent="0.2">
      <c r="A13">
        <v>208248363</v>
      </c>
      <c r="B13" s="22">
        <v>0.45937500000000003</v>
      </c>
      <c r="C13" s="22">
        <v>0.4</v>
      </c>
      <c r="D13" s="22">
        <v>20</v>
      </c>
      <c r="E13" s="22">
        <v>20</v>
      </c>
      <c r="F13" s="22">
        <v>0.51875000000000004</v>
      </c>
      <c r="G13" s="22">
        <v>4</v>
      </c>
      <c r="H13" s="22">
        <v>19</v>
      </c>
      <c r="I13" s="22">
        <v>20</v>
      </c>
    </row>
    <row r="14" spans="1:9" x14ac:dyDescent="0.2">
      <c r="A14">
        <v>277055951</v>
      </c>
      <c r="B14" s="22">
        <v>0.125</v>
      </c>
      <c r="C14" s="22">
        <v>0</v>
      </c>
      <c r="D14" s="22">
        <v>0</v>
      </c>
      <c r="E14" s="22">
        <v>0</v>
      </c>
      <c r="F14" s="22">
        <v>0.25</v>
      </c>
      <c r="G14" s="22">
        <v>2</v>
      </c>
      <c r="H14" s="22">
        <v>24</v>
      </c>
      <c r="I14" s="22">
        <v>0</v>
      </c>
    </row>
    <row r="15" spans="1:9" x14ac:dyDescent="0.2">
      <c r="A15">
        <v>902907559</v>
      </c>
      <c r="B15" s="22">
        <v>0.22750000000000001</v>
      </c>
      <c r="C15" s="22">
        <v>0.12000000000000002</v>
      </c>
      <c r="D15" s="22">
        <v>6</v>
      </c>
      <c r="E15" s="22">
        <v>6</v>
      </c>
      <c r="F15" s="22">
        <v>0.33500000000000002</v>
      </c>
      <c r="G15" s="22">
        <v>5</v>
      </c>
      <c r="H15" s="22">
        <v>4</v>
      </c>
      <c r="I15" s="22">
        <v>6</v>
      </c>
    </row>
    <row r="16" spans="1:9" x14ac:dyDescent="0.2">
      <c r="A16">
        <v>528297980</v>
      </c>
      <c r="B16" s="22">
        <v>0.58374999999999999</v>
      </c>
      <c r="C16" s="22">
        <v>0.62</v>
      </c>
      <c r="D16" s="22">
        <v>31</v>
      </c>
      <c r="E16" s="22">
        <v>31</v>
      </c>
      <c r="F16" s="22">
        <v>0.54749999999999999</v>
      </c>
      <c r="G16" s="22">
        <v>3</v>
      </c>
      <c r="H16" s="22">
        <v>14</v>
      </c>
      <c r="I16" s="22">
        <v>31</v>
      </c>
    </row>
    <row r="17" spans="1:9" x14ac:dyDescent="0.2">
      <c r="A17">
        <v>444882790</v>
      </c>
      <c r="B17" s="22">
        <v>0.28000000000000003</v>
      </c>
      <c r="C17" s="22">
        <v>0.14000000000000001</v>
      </c>
      <c r="D17" s="22">
        <v>7</v>
      </c>
      <c r="E17" s="22">
        <v>7</v>
      </c>
      <c r="F17" s="22">
        <v>0.42000000000000004</v>
      </c>
      <c r="G17" s="22">
        <v>4</v>
      </c>
      <c r="H17" s="22">
        <v>24</v>
      </c>
      <c r="I17" s="22">
        <v>7</v>
      </c>
    </row>
    <row r="18" spans="1:9" x14ac:dyDescent="0.2">
      <c r="A18">
        <v>112085131</v>
      </c>
      <c r="B18" s="22">
        <v>0.21937499999999999</v>
      </c>
      <c r="C18" s="22">
        <v>0.18</v>
      </c>
      <c r="D18" s="22">
        <v>9</v>
      </c>
      <c r="E18" s="22">
        <v>9</v>
      </c>
      <c r="F18" s="22">
        <v>0.25874999999999998</v>
      </c>
      <c r="G18" s="22">
        <v>0</v>
      </c>
      <c r="H18" s="22">
        <v>27</v>
      </c>
      <c r="I18" s="22">
        <v>9</v>
      </c>
    </row>
    <row r="19" spans="1:9" x14ac:dyDescent="0.2">
      <c r="A19">
        <v>588642518</v>
      </c>
      <c r="B19" s="22">
        <v>0.52875000000000005</v>
      </c>
      <c r="C19" s="22">
        <v>0.68</v>
      </c>
      <c r="D19" s="22">
        <v>34</v>
      </c>
      <c r="E19" s="22">
        <v>34</v>
      </c>
      <c r="F19" s="22">
        <v>0.37750000000000006</v>
      </c>
      <c r="G19" s="22">
        <v>0</v>
      </c>
      <c r="H19" s="22">
        <v>6</v>
      </c>
      <c r="I19" s="22">
        <v>34</v>
      </c>
    </row>
    <row r="20" spans="1:9" x14ac:dyDescent="0.2">
      <c r="A20">
        <v>414520736</v>
      </c>
      <c r="B20" s="22">
        <v>0.18312500000000001</v>
      </c>
      <c r="C20" s="22">
        <v>0.14000000000000001</v>
      </c>
      <c r="D20" s="22">
        <v>7</v>
      </c>
      <c r="E20" s="22">
        <v>7</v>
      </c>
      <c r="F20" s="22">
        <v>0.22625000000000001</v>
      </c>
      <c r="G20" s="22">
        <v>1</v>
      </c>
      <c r="H20" s="22">
        <v>17</v>
      </c>
      <c r="I20" s="22">
        <v>7</v>
      </c>
    </row>
    <row r="21" spans="1:9" x14ac:dyDescent="0.2">
      <c r="A21">
        <v>356558346</v>
      </c>
      <c r="B21" s="22">
        <v>0.13312500000000002</v>
      </c>
      <c r="C21" s="22">
        <v>0.04</v>
      </c>
      <c r="D21" s="22">
        <v>2</v>
      </c>
      <c r="E21" s="22">
        <v>2</v>
      </c>
      <c r="F21" s="22">
        <v>0.22625000000000001</v>
      </c>
      <c r="G21" s="22">
        <v>3</v>
      </c>
      <c r="H21" s="22">
        <v>9</v>
      </c>
      <c r="I21" s="22">
        <v>2</v>
      </c>
    </row>
    <row r="22" spans="1:9" x14ac:dyDescent="0.2">
      <c r="A22">
        <v>970698993</v>
      </c>
      <c r="B22" s="22">
        <v>0.15375</v>
      </c>
      <c r="C22" s="22">
        <v>0.08</v>
      </c>
      <c r="D22" s="22">
        <v>4</v>
      </c>
      <c r="E22" s="22">
        <v>4</v>
      </c>
      <c r="F22" s="22">
        <v>0.22749999999999998</v>
      </c>
      <c r="G22" s="22">
        <v>2</v>
      </c>
      <c r="H22" s="22">
        <v>14</v>
      </c>
      <c r="I22" s="22">
        <v>4</v>
      </c>
    </row>
    <row r="23" spans="1:9" x14ac:dyDescent="0.2">
      <c r="A23">
        <v>633537205</v>
      </c>
      <c r="B23" s="22">
        <v>0.1125</v>
      </c>
      <c r="C23" s="22">
        <v>0.1</v>
      </c>
      <c r="D23" s="22">
        <v>5</v>
      </c>
      <c r="E23" s="22">
        <v>5</v>
      </c>
      <c r="F23" s="22">
        <v>0.125</v>
      </c>
      <c r="G23" s="22">
        <v>1</v>
      </c>
      <c r="H23" s="22">
        <v>4</v>
      </c>
      <c r="I23" s="22">
        <v>5</v>
      </c>
    </row>
    <row r="24" spans="1:9" x14ac:dyDescent="0.2">
      <c r="A24">
        <v>534292868</v>
      </c>
      <c r="B24" s="22">
        <v>0.11624999999999999</v>
      </c>
      <c r="C24" s="22">
        <v>0.08</v>
      </c>
      <c r="D24" s="22">
        <v>4</v>
      </c>
      <c r="E24" s="22">
        <v>4</v>
      </c>
      <c r="F24" s="22">
        <v>0.1525</v>
      </c>
      <c r="G24" s="22">
        <v>2</v>
      </c>
      <c r="H24" s="22">
        <v>2</v>
      </c>
      <c r="I24" s="22">
        <v>4</v>
      </c>
    </row>
    <row r="25" spans="1:9" x14ac:dyDescent="0.2">
      <c r="A25">
        <v>816787809</v>
      </c>
      <c r="B25" s="22">
        <v>0.63312500000000005</v>
      </c>
      <c r="C25" s="22">
        <v>0.64</v>
      </c>
      <c r="D25" s="22">
        <v>32</v>
      </c>
      <c r="E25" s="22">
        <v>32</v>
      </c>
      <c r="F25" s="22">
        <v>0.62624999999999997</v>
      </c>
      <c r="G25" s="22">
        <v>5</v>
      </c>
      <c r="H25" s="22">
        <v>9</v>
      </c>
      <c r="I25" s="22">
        <v>32</v>
      </c>
    </row>
    <row r="26" spans="1:9" x14ac:dyDescent="0.2">
      <c r="A26">
        <v>220052551</v>
      </c>
      <c r="B26" s="22">
        <v>0.20187500000000003</v>
      </c>
      <c r="C26" s="22">
        <v>0.14000000000000001</v>
      </c>
      <c r="D26" s="22">
        <v>7</v>
      </c>
      <c r="E26" s="22">
        <v>7</v>
      </c>
      <c r="F26" s="22">
        <v>0.26375000000000004</v>
      </c>
      <c r="G26" s="22">
        <v>3</v>
      </c>
      <c r="H26" s="22">
        <v>7</v>
      </c>
      <c r="I26" s="22">
        <v>7</v>
      </c>
    </row>
    <row r="27" spans="1:9" x14ac:dyDescent="0.2">
      <c r="A27">
        <v>858571733</v>
      </c>
      <c r="B27" s="22">
        <v>0.15125</v>
      </c>
      <c r="C27" s="22">
        <v>0.16</v>
      </c>
      <c r="D27" s="22">
        <v>8</v>
      </c>
      <c r="E27" s="22">
        <v>8</v>
      </c>
      <c r="F27" s="22">
        <v>0.14250000000000002</v>
      </c>
      <c r="G27" s="22">
        <v>1</v>
      </c>
      <c r="H27" s="22">
        <v>2</v>
      </c>
      <c r="I27" s="22">
        <v>8</v>
      </c>
    </row>
    <row r="28" spans="1:9" x14ac:dyDescent="0.2">
      <c r="A28">
        <v>363436152</v>
      </c>
      <c r="B28" s="22">
        <v>0.45437500000000008</v>
      </c>
      <c r="C28" s="22">
        <v>0.46000000000000008</v>
      </c>
      <c r="D28" s="22">
        <v>23</v>
      </c>
      <c r="E28" s="22">
        <v>23</v>
      </c>
      <c r="F28" s="22">
        <v>0.44875000000000009</v>
      </c>
      <c r="G28" s="22">
        <v>2</v>
      </c>
      <c r="H28" s="22">
        <v>19</v>
      </c>
      <c r="I28" s="22">
        <v>23</v>
      </c>
    </row>
    <row r="29" spans="1:9" x14ac:dyDescent="0.2">
      <c r="A29">
        <v>393495083</v>
      </c>
      <c r="B29" s="22">
        <v>0.16312499999999999</v>
      </c>
      <c r="C29" s="22">
        <v>0.18</v>
      </c>
      <c r="D29" s="22">
        <v>9</v>
      </c>
      <c r="E29" s="22">
        <v>9</v>
      </c>
      <c r="F29" s="22">
        <v>0.14624999999999999</v>
      </c>
      <c r="G29" s="22">
        <v>1</v>
      </c>
      <c r="H29" s="22">
        <v>1</v>
      </c>
      <c r="I29" s="22">
        <v>9</v>
      </c>
    </row>
    <row r="30" spans="1:9" x14ac:dyDescent="0.2">
      <c r="A30">
        <v>769635714</v>
      </c>
      <c r="B30" s="22">
        <v>0.53312500000000007</v>
      </c>
      <c r="C30" s="22">
        <v>0.64</v>
      </c>
      <c r="D30" s="22">
        <v>32</v>
      </c>
      <c r="E30" s="22">
        <v>32</v>
      </c>
      <c r="F30" s="22">
        <v>0.42625000000000002</v>
      </c>
      <c r="G30" s="22">
        <v>2</v>
      </c>
      <c r="H30" s="22">
        <v>1</v>
      </c>
      <c r="I30" s="22">
        <v>32</v>
      </c>
    </row>
    <row r="31" spans="1:9" x14ac:dyDescent="0.2">
      <c r="A31">
        <v>373048949</v>
      </c>
      <c r="B31" s="22">
        <v>0.36875000000000002</v>
      </c>
      <c r="C31" s="22">
        <v>0.3</v>
      </c>
      <c r="D31" s="22">
        <v>15</v>
      </c>
      <c r="E31" s="22">
        <v>15</v>
      </c>
      <c r="F31" s="22">
        <v>0.4375</v>
      </c>
      <c r="G31" s="22">
        <v>2</v>
      </c>
      <c r="H31" s="22">
        <v>30</v>
      </c>
      <c r="I31" s="22">
        <v>15</v>
      </c>
    </row>
    <row r="32" spans="1:9" x14ac:dyDescent="0.2">
      <c r="A32">
        <v>357061292</v>
      </c>
      <c r="B32" s="22">
        <v>0.52187499999999998</v>
      </c>
      <c r="C32" s="22">
        <v>0.5</v>
      </c>
      <c r="D32" s="22">
        <v>25</v>
      </c>
      <c r="E32" s="22">
        <v>25</v>
      </c>
      <c r="F32" s="22">
        <v>0.54374999999999996</v>
      </c>
      <c r="G32" s="22">
        <v>5</v>
      </c>
      <c r="H32" s="22">
        <v>7</v>
      </c>
      <c r="I32" s="22">
        <v>25</v>
      </c>
    </row>
    <row r="33" spans="1:9" x14ac:dyDescent="0.2">
      <c r="A33">
        <v>837310284</v>
      </c>
      <c r="B33" s="22">
        <v>0.35125000000000001</v>
      </c>
      <c r="C33" s="22">
        <v>0.36</v>
      </c>
      <c r="D33" s="22">
        <v>18</v>
      </c>
      <c r="E33" s="22">
        <v>18</v>
      </c>
      <c r="F33" s="22">
        <v>0.34249999999999997</v>
      </c>
      <c r="G33" s="22">
        <v>0</v>
      </c>
      <c r="H33" s="22">
        <v>26</v>
      </c>
      <c r="I33" s="22">
        <v>18</v>
      </c>
    </row>
    <row r="34" spans="1:9" x14ac:dyDescent="0.2">
      <c r="A34">
        <v>815854164</v>
      </c>
      <c r="B34" s="22">
        <v>0.49</v>
      </c>
      <c r="C34" s="22">
        <v>0.62</v>
      </c>
      <c r="D34" s="22">
        <v>31</v>
      </c>
      <c r="E34" s="22">
        <v>31</v>
      </c>
      <c r="F34" s="22">
        <v>0.36</v>
      </c>
      <c r="G34" s="22">
        <v>0</v>
      </c>
      <c r="H34" s="22">
        <v>8</v>
      </c>
      <c r="I34" s="22">
        <v>31</v>
      </c>
    </row>
    <row r="35" spans="1:9" x14ac:dyDescent="0.2">
      <c r="A35">
        <v>315378369</v>
      </c>
      <c r="B35" s="22">
        <v>0.32624999999999998</v>
      </c>
      <c r="C35" s="22">
        <v>0.36</v>
      </c>
      <c r="D35" s="22">
        <v>18</v>
      </c>
      <c r="E35" s="22">
        <v>18</v>
      </c>
      <c r="F35" s="22">
        <v>0.29249999999999998</v>
      </c>
      <c r="G35" s="22">
        <v>2</v>
      </c>
      <c r="H35" s="22">
        <v>2</v>
      </c>
      <c r="I35" s="22">
        <v>18</v>
      </c>
    </row>
    <row r="36" spans="1:9" x14ac:dyDescent="0.2">
      <c r="A36">
        <v>564410540</v>
      </c>
      <c r="B36" s="22">
        <v>0.69937499999999997</v>
      </c>
      <c r="C36" s="22">
        <v>0.72</v>
      </c>
      <c r="D36" s="22">
        <v>36</v>
      </c>
      <c r="E36" s="22">
        <v>36</v>
      </c>
      <c r="F36" s="22">
        <v>0.67874999999999996</v>
      </c>
      <c r="G36" s="22">
        <v>2</v>
      </c>
      <c r="H36" s="22">
        <v>35</v>
      </c>
      <c r="I36" s="22">
        <v>36</v>
      </c>
    </row>
    <row r="37" spans="1:9" x14ac:dyDescent="0.2">
      <c r="A37">
        <v>126539887</v>
      </c>
      <c r="B37" s="22">
        <v>0.62124999999999997</v>
      </c>
      <c r="C37" s="22">
        <v>0.62</v>
      </c>
      <c r="D37" s="22">
        <v>31</v>
      </c>
      <c r="E37" s="22">
        <v>31</v>
      </c>
      <c r="F37" s="22">
        <v>0.62249999999999994</v>
      </c>
      <c r="G37" s="22">
        <v>3</v>
      </c>
      <c r="H37" s="22">
        <v>26</v>
      </c>
      <c r="I37" s="22">
        <v>31</v>
      </c>
    </row>
    <row r="38" spans="1:9" x14ac:dyDescent="0.2">
      <c r="A38">
        <v>563937624</v>
      </c>
      <c r="B38" s="22">
        <v>0.33750000000000002</v>
      </c>
      <c r="C38" s="22">
        <v>0.2</v>
      </c>
      <c r="D38" s="22">
        <v>10</v>
      </c>
      <c r="E38" s="22">
        <v>10</v>
      </c>
      <c r="F38" s="22">
        <v>0.47499999999999998</v>
      </c>
      <c r="G38" s="22">
        <v>4</v>
      </c>
      <c r="H38" s="22">
        <v>28</v>
      </c>
      <c r="I38" s="22">
        <v>10</v>
      </c>
    </row>
    <row r="39" spans="1:9" x14ac:dyDescent="0.2">
      <c r="A39">
        <v>684291511</v>
      </c>
      <c r="B39" s="22">
        <v>0.49</v>
      </c>
      <c r="C39" s="22">
        <v>0.52</v>
      </c>
      <c r="D39" s="22">
        <v>26</v>
      </c>
      <c r="E39" s="22">
        <v>26</v>
      </c>
      <c r="F39" s="22">
        <v>0.45999999999999996</v>
      </c>
      <c r="G39" s="22">
        <v>2</v>
      </c>
      <c r="H39" s="22">
        <v>16</v>
      </c>
      <c r="I39" s="22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Assessment Documentation</vt:lpstr>
      <vt:lpstr>CourseInfo</vt:lpstr>
      <vt:lpstr>Master</vt:lpstr>
      <vt:lpstr>Marks</vt:lpstr>
      <vt:lpstr>Mapping</vt:lpstr>
      <vt:lpstr>A1</vt:lpstr>
      <vt:lpstr>A2</vt:lpstr>
      <vt:lpstr>A3</vt:lpstr>
      <vt:lpstr>A4</vt:lpstr>
      <vt:lpstr>ProgInd</vt:lpstr>
      <vt:lpstr>A13</vt:lpstr>
      <vt:lpstr>A5</vt:lpstr>
      <vt:lpstr>A6</vt:lpstr>
      <vt:lpstr>A7</vt:lpstr>
      <vt:lpstr>A8</vt:lpstr>
      <vt:lpstr>A9</vt:lpstr>
      <vt:lpstr>A10</vt:lpstr>
      <vt:lpstr>A11</vt:lpstr>
      <vt:lpstr>A12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kmckay</dc:creator>
  <cp:lastModifiedBy>Microsoft Office User</cp:lastModifiedBy>
  <dcterms:created xsi:type="dcterms:W3CDTF">2012-12-27T13:24:28Z</dcterms:created>
  <dcterms:modified xsi:type="dcterms:W3CDTF">2017-11-20T15:54:16Z</dcterms:modified>
</cp:coreProperties>
</file>